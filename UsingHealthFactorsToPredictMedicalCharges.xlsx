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de\Desktop\"/>
    </mc:Choice>
  </mc:AlternateContent>
  <xr:revisionPtr revIDLastSave="0" documentId="13_ncr:1_{E05CE8F0-8C34-451F-AA99-AA5BB8DDFD45}" xr6:coauthVersionLast="47" xr6:coauthVersionMax="47" xr10:uidLastSave="{00000000-0000-0000-0000-000000000000}"/>
  <bookViews>
    <workbookView xWindow="3405" yWindow="1815" windowWidth="21600" windowHeight="11295" tabRatio="601" xr2:uid="{3526E689-F985-402E-B047-52A0A7C71387}"/>
  </bookViews>
  <sheets>
    <sheet name="Project_Analysis" sheetId="1" r:id="rId1"/>
  </sheets>
  <definedNames>
    <definedName name="MAX_Cost">Project_Analysis!$R$112</definedName>
    <definedName name="solver_adj" localSheetId="0" hidden="1">Project_Analysis!$U$109:$AB$109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Project_Analysis!$AC$109</definedName>
    <definedName name="solver_lhs10" localSheetId="0" hidden="1">Project_Analysis!$Z$96:$AB$96</definedName>
    <definedName name="solver_lhs2" localSheetId="0" hidden="1">Project_Analysis!$R$110</definedName>
    <definedName name="solver_lhs3" localSheetId="0" hidden="1">Project_Analysis!$U$109</definedName>
    <definedName name="solver_lhs4" localSheetId="0" hidden="1">Project_Analysis!$U$109:$AB$109</definedName>
    <definedName name="solver_lhs5" localSheetId="0" hidden="1">Project_Analysis!$U$109:$AB$109</definedName>
    <definedName name="solver_lhs6" localSheetId="0" hidden="1">Project_Analysis!$W$109</definedName>
    <definedName name="solver_lhs7" localSheetId="0" hidden="1">Project_Analysis!$X$109:$AB$109</definedName>
    <definedName name="solver_lhs8" localSheetId="0" hidden="1">Project_Analysis!$Z$94:$AB$94</definedName>
    <definedName name="solver_lhs9" localSheetId="0" hidden="1">Project_Analysis!$Z$96:$AB$96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Project_Analysis!$R$110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5</definedName>
    <definedName name="solver_rel2" localSheetId="0" hidden="1">1</definedName>
    <definedName name="solver_rel3" localSheetId="0" hidden="1">4</definedName>
    <definedName name="solver_rel4" localSheetId="0" hidden="1">1</definedName>
    <definedName name="solver_rel5" localSheetId="0" hidden="1">3</definedName>
    <definedName name="solver_rel6" localSheetId="0" hidden="1">4</definedName>
    <definedName name="solver_rel7" localSheetId="0" hidden="1">5</definedName>
    <definedName name="solver_rel8" localSheetId="0" hidden="1">1</definedName>
    <definedName name="solver_rel9" localSheetId="0" hidden="1">1</definedName>
    <definedName name="solver_rhs1" localSheetId="0" hidden="1">Project_Analysis!$AE$109</definedName>
    <definedName name="solver_rhs10" localSheetId="0" hidden="1">"binary"</definedName>
    <definedName name="solver_rhs2" localSheetId="0" hidden="1">Project_Analysis!$R$112</definedName>
    <definedName name="solver_rhs3" localSheetId="0" hidden="1">"integer"</definedName>
    <definedName name="solver_rhs4" localSheetId="0" hidden="1">Project_Analysis!$U$111:$AB$111</definedName>
    <definedName name="solver_rhs5" localSheetId="0" hidden="1">Project_Analysis!$U$107:$AB$107</definedName>
    <definedName name="solver_rhs6" localSheetId="0" hidden="1">"integer"</definedName>
    <definedName name="solver_rhs7" localSheetId="0" hidden="1">"binary"</definedName>
    <definedName name="solver_rhs8" localSheetId="0" hidden="1">Project_Analysis!$Z$96:$AB$96</definedName>
    <definedName name="solver_rhs9" localSheetId="0" hidden="1">Project_Analysis!$Z$98:$AB$98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3</definedName>
    <definedName name="Total_Cost">Project_Analysis!$R$110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06" i="1" l="1"/>
  <c r="W106" i="1"/>
  <c r="X106" i="1"/>
  <c r="Y106" i="1"/>
  <c r="Z106" i="1"/>
  <c r="AA106" i="1"/>
  <c r="AB106" i="1"/>
  <c r="U106" i="1"/>
  <c r="U93" i="1"/>
  <c r="V111" i="1"/>
  <c r="W111" i="1"/>
  <c r="U111" i="1"/>
  <c r="V107" i="1"/>
  <c r="W107" i="1"/>
  <c r="U107" i="1"/>
  <c r="R109" i="1"/>
  <c r="R110" i="1" s="1"/>
  <c r="AC109" i="1"/>
  <c r="R108" i="1"/>
  <c r="W22" i="1"/>
  <c r="X22" i="1"/>
  <c r="Y22" i="1"/>
  <c r="Z22" i="1"/>
  <c r="AA22" i="1"/>
  <c r="AB22" i="1"/>
  <c r="AC22" i="1"/>
  <c r="V22" i="1"/>
  <c r="W23" i="1"/>
  <c r="X23" i="1"/>
  <c r="V23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3" i="1"/>
  <c r="R95" i="1"/>
  <c r="R96" i="1"/>
  <c r="R97" i="1" s="1"/>
  <c r="AC96" i="1"/>
  <c r="V93" i="1"/>
  <c r="W93" i="1"/>
  <c r="X93" i="1"/>
  <c r="Y93" i="1"/>
  <c r="Z93" i="1"/>
  <c r="AA93" i="1"/>
  <c r="AB93" i="1"/>
  <c r="V98" i="1"/>
  <c r="W98" i="1"/>
  <c r="U98" i="1"/>
  <c r="V94" i="1"/>
  <c r="W94" i="1"/>
  <c r="U94" i="1"/>
  <c r="Y111" i="1" l="1"/>
  <c r="Z23" i="1"/>
  <c r="Y107" i="1"/>
  <c r="X83" i="1"/>
  <c r="X82" i="1"/>
  <c r="X81" i="1"/>
  <c r="X80" i="1"/>
  <c r="X79" i="1"/>
  <c r="X78" i="1"/>
  <c r="AE67" i="1"/>
  <c r="AE66" i="1"/>
  <c r="AE65" i="1"/>
  <c r="AE64" i="1"/>
  <c r="AE63" i="1"/>
  <c r="K1340" i="1" l="1"/>
  <c r="J1340" i="1"/>
  <c r="I1340" i="1"/>
  <c r="G1340" i="1"/>
  <c r="M1340" i="1" s="1" a="1"/>
  <c r="M1340" i="1" s="1"/>
  <c r="K1339" i="1"/>
  <c r="J1339" i="1"/>
  <c r="I1339" i="1"/>
  <c r="G1339" i="1"/>
  <c r="M1339" i="1" s="1" a="1"/>
  <c r="M1339" i="1" s="1"/>
  <c r="K1338" i="1"/>
  <c r="J1338" i="1"/>
  <c r="I1338" i="1"/>
  <c r="M1338" i="1" s="1" a="1"/>
  <c r="M1338" i="1" s="1"/>
  <c r="G1338" i="1"/>
  <c r="K1337" i="1"/>
  <c r="J1337" i="1"/>
  <c r="I1337" i="1"/>
  <c r="G1337" i="1"/>
  <c r="K1336" i="1"/>
  <c r="J1336" i="1"/>
  <c r="I1336" i="1"/>
  <c r="G1336" i="1"/>
  <c r="K1335" i="1"/>
  <c r="J1335" i="1"/>
  <c r="I1335" i="1"/>
  <c r="G1335" i="1"/>
  <c r="K1334" i="1"/>
  <c r="J1334" i="1"/>
  <c r="I1334" i="1"/>
  <c r="M1334" i="1" s="1" a="1"/>
  <c r="M1334" i="1" s="1"/>
  <c r="G1334" i="1"/>
  <c r="K1333" i="1"/>
  <c r="J1333" i="1"/>
  <c r="I1333" i="1"/>
  <c r="G1333" i="1"/>
  <c r="K1332" i="1"/>
  <c r="J1332" i="1"/>
  <c r="I1332" i="1"/>
  <c r="G1332" i="1"/>
  <c r="K1331" i="1"/>
  <c r="J1331" i="1"/>
  <c r="I1331" i="1"/>
  <c r="G1331" i="1"/>
  <c r="K1330" i="1"/>
  <c r="J1330" i="1"/>
  <c r="I1330" i="1"/>
  <c r="G1330" i="1"/>
  <c r="K1329" i="1"/>
  <c r="J1329" i="1"/>
  <c r="I1329" i="1"/>
  <c r="G1329" i="1"/>
  <c r="K1328" i="1"/>
  <c r="J1328" i="1"/>
  <c r="I1328" i="1"/>
  <c r="G1328" i="1"/>
  <c r="K1327" i="1"/>
  <c r="J1327" i="1"/>
  <c r="I1327" i="1"/>
  <c r="G1327" i="1"/>
  <c r="K1326" i="1"/>
  <c r="J1326" i="1"/>
  <c r="I1326" i="1"/>
  <c r="G1326" i="1"/>
  <c r="K1325" i="1"/>
  <c r="J1325" i="1"/>
  <c r="I1325" i="1"/>
  <c r="G1325" i="1"/>
  <c r="K1324" i="1"/>
  <c r="J1324" i="1"/>
  <c r="I1324" i="1"/>
  <c r="G1324" i="1"/>
  <c r="K1323" i="1"/>
  <c r="J1323" i="1"/>
  <c r="I1323" i="1"/>
  <c r="G1323" i="1"/>
  <c r="K1322" i="1"/>
  <c r="J1322" i="1"/>
  <c r="I1322" i="1"/>
  <c r="M1322" i="1" s="1" a="1"/>
  <c r="M1322" i="1" s="1"/>
  <c r="G1322" i="1"/>
  <c r="K1321" i="1"/>
  <c r="J1321" i="1"/>
  <c r="I1321" i="1"/>
  <c r="G1321" i="1"/>
  <c r="K1320" i="1"/>
  <c r="J1320" i="1"/>
  <c r="I1320" i="1"/>
  <c r="G1320" i="1"/>
  <c r="K1319" i="1"/>
  <c r="J1319" i="1"/>
  <c r="I1319" i="1"/>
  <c r="G1319" i="1"/>
  <c r="K1318" i="1"/>
  <c r="J1318" i="1"/>
  <c r="I1318" i="1"/>
  <c r="G1318" i="1"/>
  <c r="K1317" i="1"/>
  <c r="J1317" i="1"/>
  <c r="I1317" i="1"/>
  <c r="G1317" i="1"/>
  <c r="K1316" i="1"/>
  <c r="J1316" i="1"/>
  <c r="I1316" i="1"/>
  <c r="G1316" i="1"/>
  <c r="K1315" i="1"/>
  <c r="J1315" i="1"/>
  <c r="I1315" i="1"/>
  <c r="G1315" i="1"/>
  <c r="K1314" i="1"/>
  <c r="J1314" i="1"/>
  <c r="I1314" i="1"/>
  <c r="G1314" i="1"/>
  <c r="K1313" i="1"/>
  <c r="J1313" i="1"/>
  <c r="I1313" i="1"/>
  <c r="G1313" i="1"/>
  <c r="K1312" i="1"/>
  <c r="J1312" i="1"/>
  <c r="I1312" i="1"/>
  <c r="G1312" i="1"/>
  <c r="K1311" i="1"/>
  <c r="J1311" i="1"/>
  <c r="I1311" i="1"/>
  <c r="G1311" i="1"/>
  <c r="K1310" i="1"/>
  <c r="J1310" i="1"/>
  <c r="I1310" i="1"/>
  <c r="G1310" i="1"/>
  <c r="K1309" i="1"/>
  <c r="J1309" i="1"/>
  <c r="I1309" i="1"/>
  <c r="G1309" i="1"/>
  <c r="K1308" i="1"/>
  <c r="J1308" i="1"/>
  <c r="I1308" i="1"/>
  <c r="G1308" i="1"/>
  <c r="K1307" i="1"/>
  <c r="J1307" i="1"/>
  <c r="I1307" i="1"/>
  <c r="G1307" i="1"/>
  <c r="K1306" i="1"/>
  <c r="J1306" i="1"/>
  <c r="I1306" i="1"/>
  <c r="G1306" i="1"/>
  <c r="K1305" i="1"/>
  <c r="J1305" i="1"/>
  <c r="I1305" i="1"/>
  <c r="G1305" i="1"/>
  <c r="K1304" i="1"/>
  <c r="J1304" i="1"/>
  <c r="I1304" i="1"/>
  <c r="G1304" i="1"/>
  <c r="K1303" i="1"/>
  <c r="J1303" i="1"/>
  <c r="I1303" i="1"/>
  <c r="G1303" i="1"/>
  <c r="K1302" i="1"/>
  <c r="J1302" i="1"/>
  <c r="I1302" i="1"/>
  <c r="G1302" i="1"/>
  <c r="K1301" i="1"/>
  <c r="J1301" i="1"/>
  <c r="I1301" i="1"/>
  <c r="G1301" i="1"/>
  <c r="K1300" i="1"/>
  <c r="J1300" i="1"/>
  <c r="I1300" i="1"/>
  <c r="G1300" i="1"/>
  <c r="K1299" i="1"/>
  <c r="J1299" i="1"/>
  <c r="I1299" i="1"/>
  <c r="G1299" i="1"/>
  <c r="K1298" i="1"/>
  <c r="J1298" i="1"/>
  <c r="I1298" i="1"/>
  <c r="G1298" i="1"/>
  <c r="K1297" i="1"/>
  <c r="J1297" i="1"/>
  <c r="I1297" i="1"/>
  <c r="G1297" i="1"/>
  <c r="K1296" i="1"/>
  <c r="J1296" i="1"/>
  <c r="I1296" i="1"/>
  <c r="G1296" i="1"/>
  <c r="K1295" i="1"/>
  <c r="J1295" i="1"/>
  <c r="I1295" i="1"/>
  <c r="G1295" i="1"/>
  <c r="K1294" i="1"/>
  <c r="J1294" i="1"/>
  <c r="I1294" i="1"/>
  <c r="G1294" i="1"/>
  <c r="K1293" i="1"/>
  <c r="J1293" i="1"/>
  <c r="I1293" i="1"/>
  <c r="G1293" i="1"/>
  <c r="K1292" i="1"/>
  <c r="J1292" i="1"/>
  <c r="I1292" i="1"/>
  <c r="G1292" i="1"/>
  <c r="K1291" i="1"/>
  <c r="J1291" i="1"/>
  <c r="I1291" i="1"/>
  <c r="G1291" i="1"/>
  <c r="K1290" i="1"/>
  <c r="J1290" i="1"/>
  <c r="I1290" i="1"/>
  <c r="G1290" i="1"/>
  <c r="K1289" i="1"/>
  <c r="J1289" i="1"/>
  <c r="I1289" i="1"/>
  <c r="G1289" i="1"/>
  <c r="K1288" i="1"/>
  <c r="J1288" i="1"/>
  <c r="I1288" i="1"/>
  <c r="G1288" i="1"/>
  <c r="K1287" i="1"/>
  <c r="J1287" i="1"/>
  <c r="I1287" i="1"/>
  <c r="G1287" i="1"/>
  <c r="K1286" i="1"/>
  <c r="J1286" i="1"/>
  <c r="I1286" i="1"/>
  <c r="G1286" i="1"/>
  <c r="K1285" i="1"/>
  <c r="J1285" i="1"/>
  <c r="I1285" i="1"/>
  <c r="G1285" i="1"/>
  <c r="K1284" i="1"/>
  <c r="J1284" i="1"/>
  <c r="I1284" i="1"/>
  <c r="G1284" i="1"/>
  <c r="K1283" i="1"/>
  <c r="J1283" i="1"/>
  <c r="I1283" i="1"/>
  <c r="G1283" i="1"/>
  <c r="K1282" i="1"/>
  <c r="J1282" i="1"/>
  <c r="I1282" i="1"/>
  <c r="G1282" i="1"/>
  <c r="K1281" i="1"/>
  <c r="J1281" i="1"/>
  <c r="I1281" i="1"/>
  <c r="G1281" i="1"/>
  <c r="K1280" i="1"/>
  <c r="J1280" i="1"/>
  <c r="I1280" i="1"/>
  <c r="G1280" i="1"/>
  <c r="K1279" i="1"/>
  <c r="J1279" i="1"/>
  <c r="I1279" i="1"/>
  <c r="G1279" i="1"/>
  <c r="K1278" i="1"/>
  <c r="J1278" i="1"/>
  <c r="I1278" i="1"/>
  <c r="G1278" i="1"/>
  <c r="K1277" i="1"/>
  <c r="J1277" i="1"/>
  <c r="I1277" i="1"/>
  <c r="G1277" i="1"/>
  <c r="K1276" i="1"/>
  <c r="J1276" i="1"/>
  <c r="I1276" i="1"/>
  <c r="G1276" i="1"/>
  <c r="K1275" i="1"/>
  <c r="J1275" i="1"/>
  <c r="I1275" i="1"/>
  <c r="G1275" i="1"/>
  <c r="K1274" i="1"/>
  <c r="J1274" i="1"/>
  <c r="I1274" i="1"/>
  <c r="G1274" i="1"/>
  <c r="K1273" i="1"/>
  <c r="J1273" i="1"/>
  <c r="I1273" i="1"/>
  <c r="G1273" i="1"/>
  <c r="K1272" i="1"/>
  <c r="J1272" i="1"/>
  <c r="I1272" i="1"/>
  <c r="G1272" i="1"/>
  <c r="K1271" i="1"/>
  <c r="J1271" i="1"/>
  <c r="I1271" i="1"/>
  <c r="G1271" i="1"/>
  <c r="K1270" i="1"/>
  <c r="J1270" i="1"/>
  <c r="I1270" i="1"/>
  <c r="G1270" i="1"/>
  <c r="K1269" i="1"/>
  <c r="J1269" i="1"/>
  <c r="I1269" i="1"/>
  <c r="G1269" i="1"/>
  <c r="K1268" i="1"/>
  <c r="J1268" i="1"/>
  <c r="I1268" i="1"/>
  <c r="G1268" i="1"/>
  <c r="K1267" i="1"/>
  <c r="J1267" i="1"/>
  <c r="I1267" i="1"/>
  <c r="G1267" i="1"/>
  <c r="K1266" i="1"/>
  <c r="J1266" i="1"/>
  <c r="I1266" i="1"/>
  <c r="G1266" i="1"/>
  <c r="K1265" i="1"/>
  <c r="J1265" i="1"/>
  <c r="I1265" i="1"/>
  <c r="G1265" i="1"/>
  <c r="K1264" i="1"/>
  <c r="J1264" i="1"/>
  <c r="I1264" i="1"/>
  <c r="G1264" i="1"/>
  <c r="K1263" i="1"/>
  <c r="J1263" i="1"/>
  <c r="I1263" i="1"/>
  <c r="G1263" i="1"/>
  <c r="K1262" i="1"/>
  <c r="J1262" i="1"/>
  <c r="I1262" i="1"/>
  <c r="G1262" i="1"/>
  <c r="K1261" i="1"/>
  <c r="J1261" i="1"/>
  <c r="I1261" i="1"/>
  <c r="G1261" i="1"/>
  <c r="K1260" i="1"/>
  <c r="J1260" i="1"/>
  <c r="I1260" i="1"/>
  <c r="G1260" i="1"/>
  <c r="K1259" i="1"/>
  <c r="J1259" i="1"/>
  <c r="I1259" i="1"/>
  <c r="G1259" i="1"/>
  <c r="K1258" i="1"/>
  <c r="J1258" i="1"/>
  <c r="I1258" i="1"/>
  <c r="G1258" i="1"/>
  <c r="K1257" i="1"/>
  <c r="J1257" i="1"/>
  <c r="I1257" i="1"/>
  <c r="G1257" i="1"/>
  <c r="K1256" i="1"/>
  <c r="J1256" i="1"/>
  <c r="I1256" i="1"/>
  <c r="G1256" i="1"/>
  <c r="K1255" i="1"/>
  <c r="J1255" i="1"/>
  <c r="I1255" i="1"/>
  <c r="G1255" i="1"/>
  <c r="K1254" i="1"/>
  <c r="J1254" i="1"/>
  <c r="I1254" i="1"/>
  <c r="G1254" i="1"/>
  <c r="K1253" i="1"/>
  <c r="J1253" i="1"/>
  <c r="I1253" i="1"/>
  <c r="G1253" i="1"/>
  <c r="K1252" i="1"/>
  <c r="J1252" i="1"/>
  <c r="I1252" i="1"/>
  <c r="G1252" i="1"/>
  <c r="K1251" i="1"/>
  <c r="J1251" i="1"/>
  <c r="I1251" i="1"/>
  <c r="G1251" i="1"/>
  <c r="K1250" i="1"/>
  <c r="J1250" i="1"/>
  <c r="I1250" i="1"/>
  <c r="G1250" i="1"/>
  <c r="K1249" i="1"/>
  <c r="J1249" i="1"/>
  <c r="I1249" i="1"/>
  <c r="G1249" i="1"/>
  <c r="K1248" i="1"/>
  <c r="J1248" i="1"/>
  <c r="I1248" i="1"/>
  <c r="G1248" i="1"/>
  <c r="K1247" i="1"/>
  <c r="J1247" i="1"/>
  <c r="I1247" i="1"/>
  <c r="G1247" i="1"/>
  <c r="K1246" i="1"/>
  <c r="J1246" i="1"/>
  <c r="I1246" i="1"/>
  <c r="G1246" i="1"/>
  <c r="K1245" i="1"/>
  <c r="J1245" i="1"/>
  <c r="I1245" i="1"/>
  <c r="G1245" i="1"/>
  <c r="K1244" i="1"/>
  <c r="J1244" i="1"/>
  <c r="I1244" i="1"/>
  <c r="G1244" i="1"/>
  <c r="K1243" i="1"/>
  <c r="J1243" i="1"/>
  <c r="I1243" i="1"/>
  <c r="G1243" i="1"/>
  <c r="K1242" i="1"/>
  <c r="J1242" i="1"/>
  <c r="I1242" i="1"/>
  <c r="G1242" i="1"/>
  <c r="K1241" i="1"/>
  <c r="J1241" i="1"/>
  <c r="I1241" i="1"/>
  <c r="G1241" i="1"/>
  <c r="K1240" i="1"/>
  <c r="J1240" i="1"/>
  <c r="I1240" i="1"/>
  <c r="G1240" i="1"/>
  <c r="K1239" i="1"/>
  <c r="J1239" i="1"/>
  <c r="I1239" i="1"/>
  <c r="G1239" i="1"/>
  <c r="K1238" i="1"/>
  <c r="J1238" i="1"/>
  <c r="I1238" i="1"/>
  <c r="G1238" i="1"/>
  <c r="K1237" i="1"/>
  <c r="J1237" i="1"/>
  <c r="I1237" i="1"/>
  <c r="G1237" i="1"/>
  <c r="K1236" i="1"/>
  <c r="J1236" i="1"/>
  <c r="I1236" i="1"/>
  <c r="G1236" i="1"/>
  <c r="K1235" i="1"/>
  <c r="J1235" i="1"/>
  <c r="I1235" i="1"/>
  <c r="G1235" i="1"/>
  <c r="K1234" i="1"/>
  <c r="J1234" i="1"/>
  <c r="I1234" i="1"/>
  <c r="G1234" i="1"/>
  <c r="K1233" i="1"/>
  <c r="J1233" i="1"/>
  <c r="I1233" i="1"/>
  <c r="G1233" i="1"/>
  <c r="K1232" i="1"/>
  <c r="J1232" i="1"/>
  <c r="I1232" i="1"/>
  <c r="G1232" i="1"/>
  <c r="K1231" i="1"/>
  <c r="J1231" i="1"/>
  <c r="I1231" i="1"/>
  <c r="G1231" i="1"/>
  <c r="K1230" i="1"/>
  <c r="J1230" i="1"/>
  <c r="I1230" i="1"/>
  <c r="G1230" i="1"/>
  <c r="K1229" i="1"/>
  <c r="J1229" i="1"/>
  <c r="I1229" i="1"/>
  <c r="G1229" i="1"/>
  <c r="K1228" i="1"/>
  <c r="J1228" i="1"/>
  <c r="I1228" i="1"/>
  <c r="G1228" i="1"/>
  <c r="K1227" i="1"/>
  <c r="J1227" i="1"/>
  <c r="I1227" i="1"/>
  <c r="G1227" i="1"/>
  <c r="K1226" i="1"/>
  <c r="J1226" i="1"/>
  <c r="I1226" i="1"/>
  <c r="G1226" i="1"/>
  <c r="K1225" i="1"/>
  <c r="J1225" i="1"/>
  <c r="I1225" i="1"/>
  <c r="G1225" i="1"/>
  <c r="K1224" i="1"/>
  <c r="J1224" i="1"/>
  <c r="I1224" i="1"/>
  <c r="G1224" i="1"/>
  <c r="K1223" i="1"/>
  <c r="J1223" i="1"/>
  <c r="I1223" i="1"/>
  <c r="G1223" i="1"/>
  <c r="K1222" i="1"/>
  <c r="J1222" i="1"/>
  <c r="I1222" i="1"/>
  <c r="G1222" i="1"/>
  <c r="K1221" i="1"/>
  <c r="J1221" i="1"/>
  <c r="I1221" i="1"/>
  <c r="G1221" i="1"/>
  <c r="K1220" i="1"/>
  <c r="J1220" i="1"/>
  <c r="I1220" i="1"/>
  <c r="G1220" i="1"/>
  <c r="K1219" i="1"/>
  <c r="J1219" i="1"/>
  <c r="I1219" i="1"/>
  <c r="G1219" i="1"/>
  <c r="K1218" i="1"/>
  <c r="J1218" i="1"/>
  <c r="I1218" i="1"/>
  <c r="G1218" i="1"/>
  <c r="K1217" i="1"/>
  <c r="J1217" i="1"/>
  <c r="I1217" i="1"/>
  <c r="G1217" i="1"/>
  <c r="K1216" i="1"/>
  <c r="J1216" i="1"/>
  <c r="I1216" i="1"/>
  <c r="G1216" i="1"/>
  <c r="K1215" i="1"/>
  <c r="J1215" i="1"/>
  <c r="I1215" i="1"/>
  <c r="G1215" i="1"/>
  <c r="K1214" i="1"/>
  <c r="J1214" i="1"/>
  <c r="I1214" i="1"/>
  <c r="G1214" i="1"/>
  <c r="K1213" i="1"/>
  <c r="J1213" i="1"/>
  <c r="I1213" i="1"/>
  <c r="G1213" i="1"/>
  <c r="K1212" i="1"/>
  <c r="J1212" i="1"/>
  <c r="I1212" i="1"/>
  <c r="G1212" i="1"/>
  <c r="K1211" i="1"/>
  <c r="J1211" i="1"/>
  <c r="I1211" i="1"/>
  <c r="G1211" i="1"/>
  <c r="K1210" i="1"/>
  <c r="J1210" i="1"/>
  <c r="I1210" i="1"/>
  <c r="G1210" i="1"/>
  <c r="K1209" i="1"/>
  <c r="J1209" i="1"/>
  <c r="I1209" i="1"/>
  <c r="G1209" i="1"/>
  <c r="K1208" i="1"/>
  <c r="J1208" i="1"/>
  <c r="I1208" i="1"/>
  <c r="G1208" i="1"/>
  <c r="K1207" i="1"/>
  <c r="J1207" i="1"/>
  <c r="I1207" i="1"/>
  <c r="G1207" i="1"/>
  <c r="K1206" i="1"/>
  <c r="J1206" i="1"/>
  <c r="I1206" i="1"/>
  <c r="G1206" i="1"/>
  <c r="K1205" i="1"/>
  <c r="J1205" i="1"/>
  <c r="I1205" i="1"/>
  <c r="G1205" i="1"/>
  <c r="K1204" i="1"/>
  <c r="J1204" i="1"/>
  <c r="I1204" i="1"/>
  <c r="G1204" i="1"/>
  <c r="K1203" i="1"/>
  <c r="J1203" i="1"/>
  <c r="I1203" i="1"/>
  <c r="G1203" i="1"/>
  <c r="K1202" i="1"/>
  <c r="J1202" i="1"/>
  <c r="I1202" i="1"/>
  <c r="G1202" i="1"/>
  <c r="K1201" i="1"/>
  <c r="J1201" i="1"/>
  <c r="I1201" i="1"/>
  <c r="G1201" i="1"/>
  <c r="K1200" i="1"/>
  <c r="J1200" i="1"/>
  <c r="I1200" i="1"/>
  <c r="G1200" i="1"/>
  <c r="K1199" i="1"/>
  <c r="J1199" i="1"/>
  <c r="I1199" i="1"/>
  <c r="G1199" i="1"/>
  <c r="K1198" i="1"/>
  <c r="J1198" i="1"/>
  <c r="I1198" i="1"/>
  <c r="G1198" i="1"/>
  <c r="M1198" i="1" s="1" a="1"/>
  <c r="M1198" i="1" s="1"/>
  <c r="N1198" i="1" s="1"/>
  <c r="K1197" i="1"/>
  <c r="J1197" i="1"/>
  <c r="I1197" i="1"/>
  <c r="G1197" i="1"/>
  <c r="K1196" i="1"/>
  <c r="J1196" i="1"/>
  <c r="I1196" i="1"/>
  <c r="G1196" i="1"/>
  <c r="K1195" i="1"/>
  <c r="J1195" i="1"/>
  <c r="I1195" i="1"/>
  <c r="G1195" i="1"/>
  <c r="K1194" i="1"/>
  <c r="J1194" i="1"/>
  <c r="I1194" i="1"/>
  <c r="G1194" i="1"/>
  <c r="K1193" i="1"/>
  <c r="J1193" i="1"/>
  <c r="I1193" i="1"/>
  <c r="G1193" i="1"/>
  <c r="K1192" i="1"/>
  <c r="J1192" i="1"/>
  <c r="I1192" i="1"/>
  <c r="G1192" i="1"/>
  <c r="M1192" i="1" s="1" a="1"/>
  <c r="M1192" i="1" s="1"/>
  <c r="N1192" i="1" s="1"/>
  <c r="K1191" i="1"/>
  <c r="J1191" i="1"/>
  <c r="I1191" i="1"/>
  <c r="G1191" i="1"/>
  <c r="K1190" i="1"/>
  <c r="J1190" i="1"/>
  <c r="I1190" i="1"/>
  <c r="G1190" i="1"/>
  <c r="K1189" i="1"/>
  <c r="J1189" i="1"/>
  <c r="I1189" i="1"/>
  <c r="G1189" i="1"/>
  <c r="K1188" i="1"/>
  <c r="J1188" i="1"/>
  <c r="I1188" i="1"/>
  <c r="G1188" i="1"/>
  <c r="K1187" i="1"/>
  <c r="J1187" i="1"/>
  <c r="I1187" i="1"/>
  <c r="G1187" i="1"/>
  <c r="K1186" i="1"/>
  <c r="J1186" i="1"/>
  <c r="I1186" i="1"/>
  <c r="G1186" i="1"/>
  <c r="K1185" i="1"/>
  <c r="J1185" i="1"/>
  <c r="I1185" i="1"/>
  <c r="G1185" i="1"/>
  <c r="K1184" i="1"/>
  <c r="J1184" i="1"/>
  <c r="I1184" i="1"/>
  <c r="G1184" i="1"/>
  <c r="K1183" i="1"/>
  <c r="J1183" i="1"/>
  <c r="I1183" i="1"/>
  <c r="G1183" i="1"/>
  <c r="K1182" i="1"/>
  <c r="J1182" i="1"/>
  <c r="I1182" i="1"/>
  <c r="G1182" i="1"/>
  <c r="K1181" i="1"/>
  <c r="J1181" i="1"/>
  <c r="I1181" i="1"/>
  <c r="G1181" i="1"/>
  <c r="K1180" i="1"/>
  <c r="J1180" i="1"/>
  <c r="I1180" i="1"/>
  <c r="G1180" i="1"/>
  <c r="K1179" i="1"/>
  <c r="J1179" i="1"/>
  <c r="I1179" i="1"/>
  <c r="G1179" i="1"/>
  <c r="K1178" i="1"/>
  <c r="J1178" i="1"/>
  <c r="I1178" i="1"/>
  <c r="G1178" i="1"/>
  <c r="K1177" i="1"/>
  <c r="J1177" i="1"/>
  <c r="I1177" i="1"/>
  <c r="G1177" i="1"/>
  <c r="K1176" i="1"/>
  <c r="J1176" i="1"/>
  <c r="I1176" i="1"/>
  <c r="G1176" i="1"/>
  <c r="K1175" i="1"/>
  <c r="J1175" i="1"/>
  <c r="I1175" i="1"/>
  <c r="G1175" i="1"/>
  <c r="K1174" i="1"/>
  <c r="J1174" i="1"/>
  <c r="I1174" i="1"/>
  <c r="G1174" i="1"/>
  <c r="K1173" i="1"/>
  <c r="J1173" i="1"/>
  <c r="I1173" i="1"/>
  <c r="G1173" i="1"/>
  <c r="K1172" i="1"/>
  <c r="J1172" i="1"/>
  <c r="I1172" i="1"/>
  <c r="G1172" i="1"/>
  <c r="K1171" i="1"/>
  <c r="J1171" i="1"/>
  <c r="I1171" i="1"/>
  <c r="G1171" i="1"/>
  <c r="K1170" i="1"/>
  <c r="J1170" i="1"/>
  <c r="I1170" i="1"/>
  <c r="G1170" i="1"/>
  <c r="K1169" i="1"/>
  <c r="J1169" i="1"/>
  <c r="I1169" i="1"/>
  <c r="G1169" i="1"/>
  <c r="K1168" i="1"/>
  <c r="J1168" i="1"/>
  <c r="I1168" i="1"/>
  <c r="G1168" i="1"/>
  <c r="K1167" i="1"/>
  <c r="J1167" i="1"/>
  <c r="I1167" i="1"/>
  <c r="G1167" i="1"/>
  <c r="K1166" i="1"/>
  <c r="J1166" i="1"/>
  <c r="I1166" i="1"/>
  <c r="G1166" i="1"/>
  <c r="K1165" i="1"/>
  <c r="J1165" i="1"/>
  <c r="I1165" i="1"/>
  <c r="G1165" i="1"/>
  <c r="K1164" i="1"/>
  <c r="J1164" i="1"/>
  <c r="I1164" i="1"/>
  <c r="G1164" i="1"/>
  <c r="K1163" i="1"/>
  <c r="J1163" i="1"/>
  <c r="I1163" i="1"/>
  <c r="G1163" i="1"/>
  <c r="K1162" i="1"/>
  <c r="J1162" i="1"/>
  <c r="I1162" i="1"/>
  <c r="G1162" i="1"/>
  <c r="K1161" i="1"/>
  <c r="J1161" i="1"/>
  <c r="I1161" i="1"/>
  <c r="G1161" i="1"/>
  <c r="K1160" i="1"/>
  <c r="J1160" i="1"/>
  <c r="I1160" i="1"/>
  <c r="G1160" i="1"/>
  <c r="K1159" i="1"/>
  <c r="J1159" i="1"/>
  <c r="I1159" i="1"/>
  <c r="G1159" i="1"/>
  <c r="K1158" i="1"/>
  <c r="J1158" i="1"/>
  <c r="I1158" i="1"/>
  <c r="G1158" i="1"/>
  <c r="K1157" i="1"/>
  <c r="J1157" i="1"/>
  <c r="I1157" i="1"/>
  <c r="G1157" i="1"/>
  <c r="K1156" i="1"/>
  <c r="J1156" i="1"/>
  <c r="I1156" i="1"/>
  <c r="G1156" i="1"/>
  <c r="K1155" i="1"/>
  <c r="J1155" i="1"/>
  <c r="I1155" i="1"/>
  <c r="G1155" i="1"/>
  <c r="K1154" i="1"/>
  <c r="J1154" i="1"/>
  <c r="I1154" i="1"/>
  <c r="G1154" i="1"/>
  <c r="K1153" i="1"/>
  <c r="J1153" i="1"/>
  <c r="I1153" i="1"/>
  <c r="G1153" i="1"/>
  <c r="K1152" i="1"/>
  <c r="J1152" i="1"/>
  <c r="I1152" i="1"/>
  <c r="G1152" i="1"/>
  <c r="K1151" i="1"/>
  <c r="J1151" i="1"/>
  <c r="I1151" i="1"/>
  <c r="G1151" i="1"/>
  <c r="K1150" i="1"/>
  <c r="J1150" i="1"/>
  <c r="I1150" i="1"/>
  <c r="G1150" i="1"/>
  <c r="K1149" i="1"/>
  <c r="J1149" i="1"/>
  <c r="I1149" i="1"/>
  <c r="G1149" i="1"/>
  <c r="K1148" i="1"/>
  <c r="J1148" i="1"/>
  <c r="I1148" i="1"/>
  <c r="G1148" i="1"/>
  <c r="K1147" i="1"/>
  <c r="J1147" i="1"/>
  <c r="I1147" i="1"/>
  <c r="G1147" i="1"/>
  <c r="K1146" i="1"/>
  <c r="J1146" i="1"/>
  <c r="I1146" i="1"/>
  <c r="G1146" i="1"/>
  <c r="K1145" i="1"/>
  <c r="J1145" i="1"/>
  <c r="I1145" i="1"/>
  <c r="G1145" i="1"/>
  <c r="K1144" i="1"/>
  <c r="J1144" i="1"/>
  <c r="I1144" i="1"/>
  <c r="G1144" i="1"/>
  <c r="K1143" i="1"/>
  <c r="J1143" i="1"/>
  <c r="I1143" i="1"/>
  <c r="G1143" i="1"/>
  <c r="K1142" i="1"/>
  <c r="J1142" i="1"/>
  <c r="I1142" i="1"/>
  <c r="G1142" i="1"/>
  <c r="K1141" i="1"/>
  <c r="J1141" i="1"/>
  <c r="I1141" i="1"/>
  <c r="G1141" i="1"/>
  <c r="K1140" i="1"/>
  <c r="J1140" i="1"/>
  <c r="I1140" i="1"/>
  <c r="G1140" i="1"/>
  <c r="K1139" i="1"/>
  <c r="J1139" i="1"/>
  <c r="I1139" i="1"/>
  <c r="G1139" i="1"/>
  <c r="K1138" i="1"/>
  <c r="J1138" i="1"/>
  <c r="I1138" i="1"/>
  <c r="G1138" i="1"/>
  <c r="K1137" i="1"/>
  <c r="J1137" i="1"/>
  <c r="I1137" i="1"/>
  <c r="G1137" i="1"/>
  <c r="K1136" i="1"/>
  <c r="J1136" i="1"/>
  <c r="I1136" i="1"/>
  <c r="G1136" i="1"/>
  <c r="K1135" i="1"/>
  <c r="J1135" i="1"/>
  <c r="I1135" i="1"/>
  <c r="G1135" i="1"/>
  <c r="K1134" i="1"/>
  <c r="J1134" i="1"/>
  <c r="I1134" i="1"/>
  <c r="G1134" i="1"/>
  <c r="K1133" i="1"/>
  <c r="J1133" i="1"/>
  <c r="I1133" i="1"/>
  <c r="G1133" i="1"/>
  <c r="K1132" i="1"/>
  <c r="J1132" i="1"/>
  <c r="I1132" i="1"/>
  <c r="G1132" i="1"/>
  <c r="K1131" i="1"/>
  <c r="J1131" i="1"/>
  <c r="I1131" i="1"/>
  <c r="G1131" i="1"/>
  <c r="K1130" i="1"/>
  <c r="J1130" i="1"/>
  <c r="I1130" i="1"/>
  <c r="G1130" i="1"/>
  <c r="K1129" i="1"/>
  <c r="J1129" i="1"/>
  <c r="I1129" i="1"/>
  <c r="G1129" i="1"/>
  <c r="K1128" i="1"/>
  <c r="J1128" i="1"/>
  <c r="I1128" i="1"/>
  <c r="G1128" i="1"/>
  <c r="K1127" i="1"/>
  <c r="J1127" i="1"/>
  <c r="I1127" i="1"/>
  <c r="G1127" i="1"/>
  <c r="K1126" i="1"/>
  <c r="J1126" i="1"/>
  <c r="I1126" i="1"/>
  <c r="G1126" i="1"/>
  <c r="K1125" i="1"/>
  <c r="J1125" i="1"/>
  <c r="I1125" i="1"/>
  <c r="G1125" i="1"/>
  <c r="K1124" i="1"/>
  <c r="J1124" i="1"/>
  <c r="I1124" i="1"/>
  <c r="G1124" i="1"/>
  <c r="K1123" i="1"/>
  <c r="J1123" i="1"/>
  <c r="I1123" i="1"/>
  <c r="G1123" i="1"/>
  <c r="K1122" i="1"/>
  <c r="J1122" i="1"/>
  <c r="I1122" i="1"/>
  <c r="G1122" i="1"/>
  <c r="K1121" i="1"/>
  <c r="J1121" i="1"/>
  <c r="I1121" i="1"/>
  <c r="G1121" i="1"/>
  <c r="K1120" i="1"/>
  <c r="J1120" i="1"/>
  <c r="I1120" i="1"/>
  <c r="G1120" i="1"/>
  <c r="M1120" i="1" s="1" a="1"/>
  <c r="M1120" i="1" s="1"/>
  <c r="N1120" i="1" s="1"/>
  <c r="K1119" i="1"/>
  <c r="J1119" i="1"/>
  <c r="I1119" i="1"/>
  <c r="G1119" i="1"/>
  <c r="K1118" i="1"/>
  <c r="J1118" i="1"/>
  <c r="I1118" i="1"/>
  <c r="G1118" i="1"/>
  <c r="K1117" i="1"/>
  <c r="J1117" i="1"/>
  <c r="I1117" i="1"/>
  <c r="G1117" i="1"/>
  <c r="K1116" i="1"/>
  <c r="J1116" i="1"/>
  <c r="I1116" i="1"/>
  <c r="G1116" i="1"/>
  <c r="K1115" i="1"/>
  <c r="J1115" i="1"/>
  <c r="I1115" i="1"/>
  <c r="G1115" i="1"/>
  <c r="K1114" i="1"/>
  <c r="J1114" i="1"/>
  <c r="I1114" i="1"/>
  <c r="G1114" i="1"/>
  <c r="K1113" i="1"/>
  <c r="J1113" i="1"/>
  <c r="I1113" i="1"/>
  <c r="G1113" i="1"/>
  <c r="K1112" i="1"/>
  <c r="J1112" i="1"/>
  <c r="I1112" i="1"/>
  <c r="G1112" i="1"/>
  <c r="K1111" i="1"/>
  <c r="J1111" i="1"/>
  <c r="I1111" i="1"/>
  <c r="G1111" i="1"/>
  <c r="K1110" i="1"/>
  <c r="J1110" i="1"/>
  <c r="I1110" i="1"/>
  <c r="G1110" i="1"/>
  <c r="K1109" i="1"/>
  <c r="J1109" i="1"/>
  <c r="I1109" i="1"/>
  <c r="G1109" i="1"/>
  <c r="K1108" i="1"/>
  <c r="J1108" i="1"/>
  <c r="I1108" i="1"/>
  <c r="G1108" i="1"/>
  <c r="K1107" i="1"/>
  <c r="J1107" i="1"/>
  <c r="I1107" i="1"/>
  <c r="G1107" i="1"/>
  <c r="K1106" i="1"/>
  <c r="J1106" i="1"/>
  <c r="I1106" i="1"/>
  <c r="G1106" i="1"/>
  <c r="K1105" i="1"/>
  <c r="J1105" i="1"/>
  <c r="I1105" i="1"/>
  <c r="G1105" i="1"/>
  <c r="K1104" i="1"/>
  <c r="J1104" i="1"/>
  <c r="I1104" i="1"/>
  <c r="G1104" i="1"/>
  <c r="K1103" i="1"/>
  <c r="J1103" i="1"/>
  <c r="I1103" i="1"/>
  <c r="G1103" i="1"/>
  <c r="K1102" i="1"/>
  <c r="J1102" i="1"/>
  <c r="I1102" i="1"/>
  <c r="G1102" i="1"/>
  <c r="M1102" i="1" s="1" a="1"/>
  <c r="M1102" i="1" s="1"/>
  <c r="K1101" i="1"/>
  <c r="J1101" i="1"/>
  <c r="I1101" i="1"/>
  <c r="G1101" i="1"/>
  <c r="K1100" i="1"/>
  <c r="J1100" i="1"/>
  <c r="I1100" i="1"/>
  <c r="G1100" i="1"/>
  <c r="K1099" i="1"/>
  <c r="J1099" i="1"/>
  <c r="I1099" i="1"/>
  <c r="G1099" i="1"/>
  <c r="K1098" i="1"/>
  <c r="J1098" i="1"/>
  <c r="I1098" i="1"/>
  <c r="G1098" i="1"/>
  <c r="K1097" i="1"/>
  <c r="J1097" i="1"/>
  <c r="I1097" i="1"/>
  <c r="G1097" i="1"/>
  <c r="K1096" i="1"/>
  <c r="J1096" i="1"/>
  <c r="I1096" i="1"/>
  <c r="G1096" i="1"/>
  <c r="K1095" i="1"/>
  <c r="J1095" i="1"/>
  <c r="I1095" i="1"/>
  <c r="M1095" i="1" s="1" a="1"/>
  <c r="M1095" i="1" s="1"/>
  <c r="G1095" i="1"/>
  <c r="K1094" i="1"/>
  <c r="J1094" i="1"/>
  <c r="I1094" i="1"/>
  <c r="G1094" i="1"/>
  <c r="K1093" i="1"/>
  <c r="J1093" i="1"/>
  <c r="I1093" i="1"/>
  <c r="G1093" i="1"/>
  <c r="K1092" i="1"/>
  <c r="J1092" i="1"/>
  <c r="I1092" i="1"/>
  <c r="G1092" i="1"/>
  <c r="K1091" i="1"/>
  <c r="J1091" i="1"/>
  <c r="I1091" i="1"/>
  <c r="G1091" i="1"/>
  <c r="K1090" i="1"/>
  <c r="J1090" i="1"/>
  <c r="I1090" i="1"/>
  <c r="G1090" i="1"/>
  <c r="K1089" i="1"/>
  <c r="J1089" i="1"/>
  <c r="I1089" i="1"/>
  <c r="G1089" i="1"/>
  <c r="K1088" i="1"/>
  <c r="J1088" i="1"/>
  <c r="I1088" i="1"/>
  <c r="G1088" i="1"/>
  <c r="K1087" i="1"/>
  <c r="J1087" i="1"/>
  <c r="I1087" i="1"/>
  <c r="G1087" i="1"/>
  <c r="K1086" i="1"/>
  <c r="J1086" i="1"/>
  <c r="I1086" i="1"/>
  <c r="G1086" i="1"/>
  <c r="K1085" i="1"/>
  <c r="J1085" i="1"/>
  <c r="I1085" i="1"/>
  <c r="G1085" i="1"/>
  <c r="K1084" i="1"/>
  <c r="J1084" i="1"/>
  <c r="I1084" i="1"/>
  <c r="G1084" i="1"/>
  <c r="K1083" i="1"/>
  <c r="J1083" i="1"/>
  <c r="I1083" i="1"/>
  <c r="G1083" i="1"/>
  <c r="K1082" i="1"/>
  <c r="J1082" i="1"/>
  <c r="I1082" i="1"/>
  <c r="G1082" i="1"/>
  <c r="K1081" i="1"/>
  <c r="J1081" i="1"/>
  <c r="I1081" i="1"/>
  <c r="G1081" i="1"/>
  <c r="K1080" i="1"/>
  <c r="J1080" i="1"/>
  <c r="I1080" i="1"/>
  <c r="G1080" i="1"/>
  <c r="K1079" i="1"/>
  <c r="J1079" i="1"/>
  <c r="I1079" i="1"/>
  <c r="G1079" i="1"/>
  <c r="K1078" i="1"/>
  <c r="J1078" i="1"/>
  <c r="I1078" i="1"/>
  <c r="G1078" i="1"/>
  <c r="K1077" i="1"/>
  <c r="J1077" i="1"/>
  <c r="I1077" i="1"/>
  <c r="G1077" i="1"/>
  <c r="K1076" i="1"/>
  <c r="J1076" i="1"/>
  <c r="I1076" i="1"/>
  <c r="G1076" i="1"/>
  <c r="K1075" i="1"/>
  <c r="J1075" i="1"/>
  <c r="I1075" i="1"/>
  <c r="G1075" i="1"/>
  <c r="K1074" i="1"/>
  <c r="J1074" i="1"/>
  <c r="I1074" i="1"/>
  <c r="G1074" i="1"/>
  <c r="K1073" i="1"/>
  <c r="J1073" i="1"/>
  <c r="I1073" i="1"/>
  <c r="G1073" i="1"/>
  <c r="K1072" i="1"/>
  <c r="J1072" i="1"/>
  <c r="I1072" i="1"/>
  <c r="G1072" i="1"/>
  <c r="K1071" i="1"/>
  <c r="J1071" i="1"/>
  <c r="I1071" i="1"/>
  <c r="G1071" i="1"/>
  <c r="K1070" i="1"/>
  <c r="J1070" i="1"/>
  <c r="I1070" i="1"/>
  <c r="G1070" i="1"/>
  <c r="K1069" i="1"/>
  <c r="J1069" i="1"/>
  <c r="I1069" i="1"/>
  <c r="G1069" i="1"/>
  <c r="K1068" i="1"/>
  <c r="J1068" i="1"/>
  <c r="I1068" i="1"/>
  <c r="G1068" i="1"/>
  <c r="K1067" i="1"/>
  <c r="J1067" i="1"/>
  <c r="I1067" i="1"/>
  <c r="G1067" i="1"/>
  <c r="K1066" i="1"/>
  <c r="J1066" i="1"/>
  <c r="I1066" i="1"/>
  <c r="G1066" i="1"/>
  <c r="K1065" i="1"/>
  <c r="J1065" i="1"/>
  <c r="I1065" i="1"/>
  <c r="G1065" i="1"/>
  <c r="K1064" i="1"/>
  <c r="J1064" i="1"/>
  <c r="I1064" i="1"/>
  <c r="G1064" i="1"/>
  <c r="K1063" i="1"/>
  <c r="J1063" i="1"/>
  <c r="I1063" i="1"/>
  <c r="G1063" i="1"/>
  <c r="K1062" i="1"/>
  <c r="J1062" i="1"/>
  <c r="I1062" i="1"/>
  <c r="G1062" i="1"/>
  <c r="K1061" i="1"/>
  <c r="J1061" i="1"/>
  <c r="I1061" i="1"/>
  <c r="G1061" i="1"/>
  <c r="K1060" i="1"/>
  <c r="J1060" i="1"/>
  <c r="I1060" i="1"/>
  <c r="G1060" i="1"/>
  <c r="K1059" i="1"/>
  <c r="J1059" i="1"/>
  <c r="I1059" i="1"/>
  <c r="G1059" i="1"/>
  <c r="K1058" i="1"/>
  <c r="J1058" i="1"/>
  <c r="I1058" i="1"/>
  <c r="G1058" i="1"/>
  <c r="K1057" i="1"/>
  <c r="J1057" i="1"/>
  <c r="I1057" i="1"/>
  <c r="G1057" i="1"/>
  <c r="K1056" i="1"/>
  <c r="J1056" i="1"/>
  <c r="I1056" i="1"/>
  <c r="G1056" i="1"/>
  <c r="K1055" i="1"/>
  <c r="J1055" i="1"/>
  <c r="I1055" i="1"/>
  <c r="G1055" i="1"/>
  <c r="K1054" i="1"/>
  <c r="J1054" i="1"/>
  <c r="I1054" i="1"/>
  <c r="G1054" i="1"/>
  <c r="K1053" i="1"/>
  <c r="J1053" i="1"/>
  <c r="I1053" i="1"/>
  <c r="G1053" i="1"/>
  <c r="K1052" i="1"/>
  <c r="J1052" i="1"/>
  <c r="I1052" i="1"/>
  <c r="G1052" i="1"/>
  <c r="K1051" i="1"/>
  <c r="J1051" i="1"/>
  <c r="I1051" i="1"/>
  <c r="G1051" i="1"/>
  <c r="K1050" i="1"/>
  <c r="J1050" i="1"/>
  <c r="I1050" i="1"/>
  <c r="G1050" i="1"/>
  <c r="K1049" i="1"/>
  <c r="J1049" i="1"/>
  <c r="I1049" i="1"/>
  <c r="G1049" i="1"/>
  <c r="K1048" i="1"/>
  <c r="J1048" i="1"/>
  <c r="I1048" i="1"/>
  <c r="G1048" i="1"/>
  <c r="K1047" i="1"/>
  <c r="J1047" i="1"/>
  <c r="I1047" i="1"/>
  <c r="G1047" i="1"/>
  <c r="K1046" i="1"/>
  <c r="J1046" i="1"/>
  <c r="I1046" i="1"/>
  <c r="G1046" i="1"/>
  <c r="K1045" i="1"/>
  <c r="J1045" i="1"/>
  <c r="I1045" i="1"/>
  <c r="G1045" i="1"/>
  <c r="K1044" i="1"/>
  <c r="J1044" i="1"/>
  <c r="I1044" i="1"/>
  <c r="G1044" i="1"/>
  <c r="K1043" i="1"/>
  <c r="J1043" i="1"/>
  <c r="I1043" i="1"/>
  <c r="G1043" i="1"/>
  <c r="K1042" i="1"/>
  <c r="J1042" i="1"/>
  <c r="I1042" i="1"/>
  <c r="G1042" i="1"/>
  <c r="K1041" i="1"/>
  <c r="J1041" i="1"/>
  <c r="I1041" i="1"/>
  <c r="G1041" i="1"/>
  <c r="K1040" i="1"/>
  <c r="J1040" i="1"/>
  <c r="I1040" i="1"/>
  <c r="G1040" i="1"/>
  <c r="K1039" i="1"/>
  <c r="J1039" i="1"/>
  <c r="I1039" i="1"/>
  <c r="G1039" i="1"/>
  <c r="K1038" i="1"/>
  <c r="J1038" i="1"/>
  <c r="I1038" i="1"/>
  <c r="G1038" i="1"/>
  <c r="K1037" i="1"/>
  <c r="J1037" i="1"/>
  <c r="I1037" i="1"/>
  <c r="G1037" i="1"/>
  <c r="K1036" i="1"/>
  <c r="J1036" i="1"/>
  <c r="I1036" i="1"/>
  <c r="G1036" i="1"/>
  <c r="K1035" i="1"/>
  <c r="J1035" i="1"/>
  <c r="I1035" i="1"/>
  <c r="G1035" i="1"/>
  <c r="K1034" i="1"/>
  <c r="J1034" i="1"/>
  <c r="I1034" i="1"/>
  <c r="G1034" i="1"/>
  <c r="K1033" i="1"/>
  <c r="J1033" i="1"/>
  <c r="I1033" i="1"/>
  <c r="G1033" i="1"/>
  <c r="K1032" i="1"/>
  <c r="J1032" i="1"/>
  <c r="I1032" i="1"/>
  <c r="G1032" i="1"/>
  <c r="K1031" i="1"/>
  <c r="J1031" i="1"/>
  <c r="I1031" i="1"/>
  <c r="G1031" i="1"/>
  <c r="K1030" i="1"/>
  <c r="J1030" i="1"/>
  <c r="I1030" i="1"/>
  <c r="G1030" i="1"/>
  <c r="K1029" i="1"/>
  <c r="J1029" i="1"/>
  <c r="I1029" i="1"/>
  <c r="G1029" i="1"/>
  <c r="K1028" i="1"/>
  <c r="J1028" i="1"/>
  <c r="I1028" i="1"/>
  <c r="G1028" i="1"/>
  <c r="K1027" i="1"/>
  <c r="J1027" i="1"/>
  <c r="I1027" i="1"/>
  <c r="G1027" i="1"/>
  <c r="K1026" i="1"/>
  <c r="J1026" i="1"/>
  <c r="I1026" i="1"/>
  <c r="G1026" i="1"/>
  <c r="K1025" i="1"/>
  <c r="J1025" i="1"/>
  <c r="I1025" i="1"/>
  <c r="G1025" i="1"/>
  <c r="K1024" i="1"/>
  <c r="J1024" i="1"/>
  <c r="I1024" i="1"/>
  <c r="G1024" i="1"/>
  <c r="K1023" i="1"/>
  <c r="J1023" i="1"/>
  <c r="I1023" i="1"/>
  <c r="G1023" i="1"/>
  <c r="K1022" i="1"/>
  <c r="J1022" i="1"/>
  <c r="I1022" i="1"/>
  <c r="G1022" i="1"/>
  <c r="K1021" i="1"/>
  <c r="J1021" i="1"/>
  <c r="I1021" i="1"/>
  <c r="G1021" i="1"/>
  <c r="K1020" i="1"/>
  <c r="J1020" i="1"/>
  <c r="I1020" i="1"/>
  <c r="G1020" i="1"/>
  <c r="K1019" i="1"/>
  <c r="J1019" i="1"/>
  <c r="I1019" i="1"/>
  <c r="G1019" i="1"/>
  <c r="K1018" i="1"/>
  <c r="J1018" i="1"/>
  <c r="I1018" i="1"/>
  <c r="G1018" i="1"/>
  <c r="K1017" i="1"/>
  <c r="J1017" i="1"/>
  <c r="I1017" i="1"/>
  <c r="G1017" i="1"/>
  <c r="K1016" i="1"/>
  <c r="J1016" i="1"/>
  <c r="I1016" i="1"/>
  <c r="G1016" i="1"/>
  <c r="K1015" i="1"/>
  <c r="J1015" i="1"/>
  <c r="I1015" i="1"/>
  <c r="G1015" i="1"/>
  <c r="K1014" i="1"/>
  <c r="J1014" i="1"/>
  <c r="I1014" i="1"/>
  <c r="G1014" i="1"/>
  <c r="K1013" i="1"/>
  <c r="J1013" i="1"/>
  <c r="I1013" i="1"/>
  <c r="G1013" i="1"/>
  <c r="K1012" i="1"/>
  <c r="J1012" i="1"/>
  <c r="I1012" i="1"/>
  <c r="G1012" i="1"/>
  <c r="K1011" i="1"/>
  <c r="J1011" i="1"/>
  <c r="I1011" i="1"/>
  <c r="G1011" i="1"/>
  <c r="K1010" i="1"/>
  <c r="J1010" i="1"/>
  <c r="I1010" i="1"/>
  <c r="G1010" i="1"/>
  <c r="K1009" i="1"/>
  <c r="J1009" i="1"/>
  <c r="I1009" i="1"/>
  <c r="G1009" i="1"/>
  <c r="K1008" i="1"/>
  <c r="J1008" i="1"/>
  <c r="I1008" i="1"/>
  <c r="G1008" i="1"/>
  <c r="K1007" i="1"/>
  <c r="J1007" i="1"/>
  <c r="I1007" i="1"/>
  <c r="G1007" i="1"/>
  <c r="K1006" i="1"/>
  <c r="J1006" i="1"/>
  <c r="I1006" i="1"/>
  <c r="G1006" i="1"/>
  <c r="K1005" i="1"/>
  <c r="J1005" i="1"/>
  <c r="I1005" i="1"/>
  <c r="G1005" i="1"/>
  <c r="K1004" i="1"/>
  <c r="J1004" i="1"/>
  <c r="I1004" i="1"/>
  <c r="G1004" i="1"/>
  <c r="K1003" i="1"/>
  <c r="J1003" i="1"/>
  <c r="I1003" i="1"/>
  <c r="G1003" i="1"/>
  <c r="K1002" i="1"/>
  <c r="J1002" i="1"/>
  <c r="I1002" i="1"/>
  <c r="G1002" i="1"/>
  <c r="K1001" i="1"/>
  <c r="J1001" i="1"/>
  <c r="I1001" i="1"/>
  <c r="G1001" i="1"/>
  <c r="K1000" i="1"/>
  <c r="J1000" i="1"/>
  <c r="I1000" i="1"/>
  <c r="G1000" i="1"/>
  <c r="K999" i="1"/>
  <c r="J999" i="1"/>
  <c r="I999" i="1"/>
  <c r="G999" i="1"/>
  <c r="K998" i="1"/>
  <c r="J998" i="1"/>
  <c r="I998" i="1"/>
  <c r="G998" i="1"/>
  <c r="K997" i="1"/>
  <c r="J997" i="1"/>
  <c r="I997" i="1"/>
  <c r="G997" i="1"/>
  <c r="K996" i="1"/>
  <c r="J996" i="1"/>
  <c r="I996" i="1"/>
  <c r="G996" i="1"/>
  <c r="K995" i="1"/>
  <c r="J995" i="1"/>
  <c r="I995" i="1"/>
  <c r="G995" i="1"/>
  <c r="K994" i="1"/>
  <c r="J994" i="1"/>
  <c r="I994" i="1"/>
  <c r="G994" i="1"/>
  <c r="K993" i="1"/>
  <c r="J993" i="1"/>
  <c r="I993" i="1"/>
  <c r="G993" i="1"/>
  <c r="K992" i="1"/>
  <c r="J992" i="1"/>
  <c r="I992" i="1"/>
  <c r="G992" i="1"/>
  <c r="K991" i="1"/>
  <c r="J991" i="1"/>
  <c r="I991" i="1"/>
  <c r="G991" i="1"/>
  <c r="K990" i="1"/>
  <c r="J990" i="1"/>
  <c r="I990" i="1"/>
  <c r="G990" i="1"/>
  <c r="K989" i="1"/>
  <c r="J989" i="1"/>
  <c r="I989" i="1"/>
  <c r="G989" i="1"/>
  <c r="K988" i="1"/>
  <c r="J988" i="1"/>
  <c r="I988" i="1"/>
  <c r="G988" i="1"/>
  <c r="K987" i="1"/>
  <c r="J987" i="1"/>
  <c r="I987" i="1"/>
  <c r="G987" i="1"/>
  <c r="K986" i="1"/>
  <c r="J986" i="1"/>
  <c r="I986" i="1"/>
  <c r="G986" i="1"/>
  <c r="K985" i="1"/>
  <c r="J985" i="1"/>
  <c r="I985" i="1"/>
  <c r="G985" i="1"/>
  <c r="K984" i="1"/>
  <c r="J984" i="1"/>
  <c r="I984" i="1"/>
  <c r="G984" i="1"/>
  <c r="K983" i="1"/>
  <c r="J983" i="1"/>
  <c r="I983" i="1"/>
  <c r="G983" i="1"/>
  <c r="K982" i="1"/>
  <c r="J982" i="1"/>
  <c r="I982" i="1"/>
  <c r="G982" i="1"/>
  <c r="K981" i="1"/>
  <c r="J981" i="1"/>
  <c r="I981" i="1"/>
  <c r="G981" i="1"/>
  <c r="K980" i="1"/>
  <c r="J980" i="1"/>
  <c r="I980" i="1"/>
  <c r="G980" i="1"/>
  <c r="K979" i="1"/>
  <c r="J979" i="1"/>
  <c r="I979" i="1"/>
  <c r="G979" i="1"/>
  <c r="K978" i="1"/>
  <c r="J978" i="1"/>
  <c r="I978" i="1"/>
  <c r="G978" i="1"/>
  <c r="K977" i="1"/>
  <c r="J977" i="1"/>
  <c r="I977" i="1"/>
  <c r="G977" i="1"/>
  <c r="K976" i="1"/>
  <c r="J976" i="1"/>
  <c r="I976" i="1"/>
  <c r="G976" i="1"/>
  <c r="K975" i="1"/>
  <c r="J975" i="1"/>
  <c r="I975" i="1"/>
  <c r="G975" i="1"/>
  <c r="K974" i="1"/>
  <c r="J974" i="1"/>
  <c r="I974" i="1"/>
  <c r="G974" i="1"/>
  <c r="K973" i="1"/>
  <c r="J973" i="1"/>
  <c r="I973" i="1"/>
  <c r="G973" i="1"/>
  <c r="K972" i="1"/>
  <c r="J972" i="1"/>
  <c r="I972" i="1"/>
  <c r="G972" i="1"/>
  <c r="K971" i="1"/>
  <c r="J971" i="1"/>
  <c r="I971" i="1"/>
  <c r="G971" i="1"/>
  <c r="K970" i="1"/>
  <c r="J970" i="1"/>
  <c r="I970" i="1"/>
  <c r="G970" i="1"/>
  <c r="K969" i="1"/>
  <c r="J969" i="1"/>
  <c r="I969" i="1"/>
  <c r="G969" i="1"/>
  <c r="K968" i="1"/>
  <c r="J968" i="1"/>
  <c r="I968" i="1"/>
  <c r="G968" i="1"/>
  <c r="K967" i="1"/>
  <c r="J967" i="1"/>
  <c r="I967" i="1"/>
  <c r="G967" i="1"/>
  <c r="K966" i="1"/>
  <c r="J966" i="1"/>
  <c r="I966" i="1"/>
  <c r="G966" i="1"/>
  <c r="K965" i="1"/>
  <c r="J965" i="1"/>
  <c r="I965" i="1"/>
  <c r="G965" i="1"/>
  <c r="K964" i="1"/>
  <c r="J964" i="1"/>
  <c r="I964" i="1"/>
  <c r="G964" i="1"/>
  <c r="K963" i="1"/>
  <c r="J963" i="1"/>
  <c r="I963" i="1"/>
  <c r="G963" i="1"/>
  <c r="K962" i="1"/>
  <c r="J962" i="1"/>
  <c r="I962" i="1"/>
  <c r="G962" i="1"/>
  <c r="K961" i="1"/>
  <c r="J961" i="1"/>
  <c r="I961" i="1"/>
  <c r="G961" i="1"/>
  <c r="K960" i="1"/>
  <c r="J960" i="1"/>
  <c r="I960" i="1"/>
  <c r="G960" i="1"/>
  <c r="K959" i="1"/>
  <c r="J959" i="1"/>
  <c r="I959" i="1"/>
  <c r="G959" i="1"/>
  <c r="K958" i="1"/>
  <c r="J958" i="1"/>
  <c r="I958" i="1"/>
  <c r="G958" i="1"/>
  <c r="K957" i="1"/>
  <c r="J957" i="1"/>
  <c r="I957" i="1"/>
  <c r="G957" i="1"/>
  <c r="K956" i="1"/>
  <c r="J956" i="1"/>
  <c r="I956" i="1"/>
  <c r="G956" i="1"/>
  <c r="K955" i="1"/>
  <c r="J955" i="1"/>
  <c r="I955" i="1"/>
  <c r="G955" i="1"/>
  <c r="K954" i="1"/>
  <c r="J954" i="1"/>
  <c r="I954" i="1"/>
  <c r="G954" i="1"/>
  <c r="K953" i="1"/>
  <c r="J953" i="1"/>
  <c r="I953" i="1"/>
  <c r="G953" i="1"/>
  <c r="K952" i="1"/>
  <c r="J952" i="1"/>
  <c r="I952" i="1"/>
  <c r="G952" i="1"/>
  <c r="K951" i="1"/>
  <c r="J951" i="1"/>
  <c r="I951" i="1"/>
  <c r="G951" i="1"/>
  <c r="K950" i="1"/>
  <c r="J950" i="1"/>
  <c r="I950" i="1"/>
  <c r="G950" i="1"/>
  <c r="K949" i="1"/>
  <c r="J949" i="1"/>
  <c r="I949" i="1"/>
  <c r="G949" i="1"/>
  <c r="K948" i="1"/>
  <c r="J948" i="1"/>
  <c r="I948" i="1"/>
  <c r="G948" i="1"/>
  <c r="K947" i="1"/>
  <c r="J947" i="1"/>
  <c r="I947" i="1"/>
  <c r="G947" i="1"/>
  <c r="K946" i="1"/>
  <c r="J946" i="1"/>
  <c r="I946" i="1"/>
  <c r="G946" i="1"/>
  <c r="K945" i="1"/>
  <c r="J945" i="1"/>
  <c r="I945" i="1"/>
  <c r="G945" i="1"/>
  <c r="K944" i="1"/>
  <c r="J944" i="1"/>
  <c r="I944" i="1"/>
  <c r="G944" i="1"/>
  <c r="K943" i="1"/>
  <c r="J943" i="1"/>
  <c r="I943" i="1"/>
  <c r="G943" i="1"/>
  <c r="K942" i="1"/>
  <c r="J942" i="1"/>
  <c r="I942" i="1"/>
  <c r="G942" i="1"/>
  <c r="K941" i="1"/>
  <c r="J941" i="1"/>
  <c r="I941" i="1"/>
  <c r="G941" i="1"/>
  <c r="K940" i="1"/>
  <c r="J940" i="1"/>
  <c r="I940" i="1"/>
  <c r="G940" i="1"/>
  <c r="K939" i="1"/>
  <c r="J939" i="1"/>
  <c r="I939" i="1"/>
  <c r="G939" i="1"/>
  <c r="K938" i="1"/>
  <c r="J938" i="1"/>
  <c r="I938" i="1"/>
  <c r="G938" i="1"/>
  <c r="K937" i="1"/>
  <c r="J937" i="1"/>
  <c r="I937" i="1"/>
  <c r="G937" i="1"/>
  <c r="K936" i="1"/>
  <c r="J936" i="1"/>
  <c r="I936" i="1"/>
  <c r="G936" i="1"/>
  <c r="K935" i="1"/>
  <c r="J935" i="1"/>
  <c r="I935" i="1"/>
  <c r="G935" i="1"/>
  <c r="K934" i="1"/>
  <c r="J934" i="1"/>
  <c r="I934" i="1"/>
  <c r="G934" i="1"/>
  <c r="K933" i="1"/>
  <c r="J933" i="1"/>
  <c r="I933" i="1"/>
  <c r="G933" i="1"/>
  <c r="K932" i="1"/>
  <c r="J932" i="1"/>
  <c r="I932" i="1"/>
  <c r="G932" i="1"/>
  <c r="K931" i="1"/>
  <c r="J931" i="1"/>
  <c r="I931" i="1"/>
  <c r="G931" i="1"/>
  <c r="K930" i="1"/>
  <c r="J930" i="1"/>
  <c r="I930" i="1"/>
  <c r="G930" i="1"/>
  <c r="K929" i="1"/>
  <c r="J929" i="1"/>
  <c r="I929" i="1"/>
  <c r="G929" i="1"/>
  <c r="K928" i="1"/>
  <c r="J928" i="1"/>
  <c r="I928" i="1"/>
  <c r="G928" i="1"/>
  <c r="K927" i="1"/>
  <c r="J927" i="1"/>
  <c r="I927" i="1"/>
  <c r="G927" i="1"/>
  <c r="K926" i="1"/>
  <c r="J926" i="1"/>
  <c r="I926" i="1"/>
  <c r="G926" i="1"/>
  <c r="K925" i="1"/>
  <c r="J925" i="1"/>
  <c r="I925" i="1"/>
  <c r="G925" i="1"/>
  <c r="K924" i="1"/>
  <c r="J924" i="1"/>
  <c r="I924" i="1"/>
  <c r="G924" i="1"/>
  <c r="K923" i="1"/>
  <c r="J923" i="1"/>
  <c r="I923" i="1"/>
  <c r="G923" i="1"/>
  <c r="K922" i="1"/>
  <c r="J922" i="1"/>
  <c r="I922" i="1"/>
  <c r="G922" i="1"/>
  <c r="K921" i="1"/>
  <c r="J921" i="1"/>
  <c r="I921" i="1"/>
  <c r="G921" i="1"/>
  <c r="K920" i="1"/>
  <c r="J920" i="1"/>
  <c r="I920" i="1"/>
  <c r="G920" i="1"/>
  <c r="K919" i="1"/>
  <c r="J919" i="1"/>
  <c r="I919" i="1"/>
  <c r="G919" i="1"/>
  <c r="K918" i="1"/>
  <c r="J918" i="1"/>
  <c r="I918" i="1"/>
  <c r="G918" i="1"/>
  <c r="K917" i="1"/>
  <c r="J917" i="1"/>
  <c r="I917" i="1"/>
  <c r="G917" i="1"/>
  <c r="K916" i="1"/>
  <c r="J916" i="1"/>
  <c r="I916" i="1"/>
  <c r="G916" i="1"/>
  <c r="K915" i="1"/>
  <c r="J915" i="1"/>
  <c r="I915" i="1"/>
  <c r="G915" i="1"/>
  <c r="K914" i="1"/>
  <c r="J914" i="1"/>
  <c r="I914" i="1"/>
  <c r="G914" i="1"/>
  <c r="K913" i="1"/>
  <c r="J913" i="1"/>
  <c r="I913" i="1"/>
  <c r="G913" i="1"/>
  <c r="K912" i="1"/>
  <c r="J912" i="1"/>
  <c r="I912" i="1"/>
  <c r="G912" i="1"/>
  <c r="K911" i="1"/>
  <c r="J911" i="1"/>
  <c r="I911" i="1"/>
  <c r="G911" i="1"/>
  <c r="K910" i="1"/>
  <c r="J910" i="1"/>
  <c r="I910" i="1"/>
  <c r="G910" i="1"/>
  <c r="K909" i="1"/>
  <c r="J909" i="1"/>
  <c r="I909" i="1"/>
  <c r="G909" i="1"/>
  <c r="K908" i="1"/>
  <c r="J908" i="1"/>
  <c r="I908" i="1"/>
  <c r="G908" i="1"/>
  <c r="K907" i="1"/>
  <c r="J907" i="1"/>
  <c r="I907" i="1"/>
  <c r="G907" i="1"/>
  <c r="K906" i="1"/>
  <c r="J906" i="1"/>
  <c r="I906" i="1"/>
  <c r="G906" i="1"/>
  <c r="K905" i="1"/>
  <c r="J905" i="1"/>
  <c r="I905" i="1"/>
  <c r="G905" i="1"/>
  <c r="K904" i="1"/>
  <c r="J904" i="1"/>
  <c r="I904" i="1"/>
  <c r="G904" i="1"/>
  <c r="K903" i="1"/>
  <c r="J903" i="1"/>
  <c r="I903" i="1"/>
  <c r="G903" i="1"/>
  <c r="K902" i="1"/>
  <c r="J902" i="1"/>
  <c r="I902" i="1"/>
  <c r="G902" i="1"/>
  <c r="K901" i="1"/>
  <c r="J901" i="1"/>
  <c r="I901" i="1"/>
  <c r="G901" i="1"/>
  <c r="K900" i="1"/>
  <c r="J900" i="1"/>
  <c r="I900" i="1"/>
  <c r="G900" i="1"/>
  <c r="K899" i="1"/>
  <c r="J899" i="1"/>
  <c r="I899" i="1"/>
  <c r="G899" i="1"/>
  <c r="K898" i="1"/>
  <c r="J898" i="1"/>
  <c r="I898" i="1"/>
  <c r="G898" i="1"/>
  <c r="K897" i="1"/>
  <c r="J897" i="1"/>
  <c r="I897" i="1"/>
  <c r="G897" i="1"/>
  <c r="K896" i="1"/>
  <c r="J896" i="1"/>
  <c r="I896" i="1"/>
  <c r="G896" i="1"/>
  <c r="K895" i="1"/>
  <c r="J895" i="1"/>
  <c r="I895" i="1"/>
  <c r="G895" i="1"/>
  <c r="K894" i="1"/>
  <c r="J894" i="1"/>
  <c r="I894" i="1"/>
  <c r="G894" i="1"/>
  <c r="K893" i="1"/>
  <c r="J893" i="1"/>
  <c r="I893" i="1"/>
  <c r="G893" i="1"/>
  <c r="K892" i="1"/>
  <c r="J892" i="1"/>
  <c r="I892" i="1"/>
  <c r="G892" i="1"/>
  <c r="K891" i="1"/>
  <c r="J891" i="1"/>
  <c r="I891" i="1"/>
  <c r="G891" i="1"/>
  <c r="K890" i="1"/>
  <c r="J890" i="1"/>
  <c r="I890" i="1"/>
  <c r="G890" i="1"/>
  <c r="K889" i="1"/>
  <c r="J889" i="1"/>
  <c r="I889" i="1"/>
  <c r="G889" i="1"/>
  <c r="K888" i="1"/>
  <c r="J888" i="1"/>
  <c r="I888" i="1"/>
  <c r="G888" i="1"/>
  <c r="K887" i="1"/>
  <c r="J887" i="1"/>
  <c r="I887" i="1"/>
  <c r="G887" i="1"/>
  <c r="K886" i="1"/>
  <c r="J886" i="1"/>
  <c r="I886" i="1"/>
  <c r="G886" i="1"/>
  <c r="K885" i="1"/>
  <c r="J885" i="1"/>
  <c r="I885" i="1"/>
  <c r="G885" i="1"/>
  <c r="K884" i="1"/>
  <c r="J884" i="1"/>
  <c r="I884" i="1"/>
  <c r="G884" i="1"/>
  <c r="K883" i="1"/>
  <c r="J883" i="1"/>
  <c r="I883" i="1"/>
  <c r="G883" i="1"/>
  <c r="K882" i="1"/>
  <c r="J882" i="1"/>
  <c r="I882" i="1"/>
  <c r="G882" i="1"/>
  <c r="K881" i="1"/>
  <c r="J881" i="1"/>
  <c r="I881" i="1"/>
  <c r="G881" i="1"/>
  <c r="K880" i="1"/>
  <c r="J880" i="1"/>
  <c r="I880" i="1"/>
  <c r="G880" i="1"/>
  <c r="K879" i="1"/>
  <c r="J879" i="1"/>
  <c r="I879" i="1"/>
  <c r="G879" i="1"/>
  <c r="K878" i="1"/>
  <c r="J878" i="1"/>
  <c r="I878" i="1"/>
  <c r="G878" i="1"/>
  <c r="K877" i="1"/>
  <c r="J877" i="1"/>
  <c r="I877" i="1"/>
  <c r="G877" i="1"/>
  <c r="K876" i="1"/>
  <c r="J876" i="1"/>
  <c r="I876" i="1"/>
  <c r="G876" i="1"/>
  <c r="K875" i="1"/>
  <c r="J875" i="1"/>
  <c r="I875" i="1"/>
  <c r="G875" i="1"/>
  <c r="K874" i="1"/>
  <c r="J874" i="1"/>
  <c r="I874" i="1"/>
  <c r="G874" i="1"/>
  <c r="K873" i="1"/>
  <c r="J873" i="1"/>
  <c r="I873" i="1"/>
  <c r="G873" i="1"/>
  <c r="K872" i="1"/>
  <c r="J872" i="1"/>
  <c r="I872" i="1"/>
  <c r="G872" i="1"/>
  <c r="K871" i="1"/>
  <c r="J871" i="1"/>
  <c r="I871" i="1"/>
  <c r="G871" i="1"/>
  <c r="K870" i="1"/>
  <c r="J870" i="1"/>
  <c r="I870" i="1"/>
  <c r="G870" i="1"/>
  <c r="K869" i="1"/>
  <c r="J869" i="1"/>
  <c r="I869" i="1"/>
  <c r="G869" i="1"/>
  <c r="K868" i="1"/>
  <c r="J868" i="1"/>
  <c r="I868" i="1"/>
  <c r="G868" i="1"/>
  <c r="K867" i="1"/>
  <c r="J867" i="1"/>
  <c r="I867" i="1"/>
  <c r="G867" i="1"/>
  <c r="K866" i="1"/>
  <c r="J866" i="1"/>
  <c r="I866" i="1"/>
  <c r="G866" i="1"/>
  <c r="K865" i="1"/>
  <c r="J865" i="1"/>
  <c r="I865" i="1"/>
  <c r="G865" i="1"/>
  <c r="K864" i="1"/>
  <c r="J864" i="1"/>
  <c r="I864" i="1"/>
  <c r="G864" i="1"/>
  <c r="K863" i="1"/>
  <c r="J863" i="1"/>
  <c r="I863" i="1"/>
  <c r="G863" i="1"/>
  <c r="K862" i="1"/>
  <c r="J862" i="1"/>
  <c r="I862" i="1"/>
  <c r="G862" i="1"/>
  <c r="K861" i="1"/>
  <c r="J861" i="1"/>
  <c r="I861" i="1"/>
  <c r="G861" i="1"/>
  <c r="K860" i="1"/>
  <c r="J860" i="1"/>
  <c r="I860" i="1"/>
  <c r="G860" i="1"/>
  <c r="K859" i="1"/>
  <c r="J859" i="1"/>
  <c r="I859" i="1"/>
  <c r="G859" i="1"/>
  <c r="K858" i="1"/>
  <c r="J858" i="1"/>
  <c r="I858" i="1"/>
  <c r="G858" i="1"/>
  <c r="K857" i="1"/>
  <c r="J857" i="1"/>
  <c r="I857" i="1"/>
  <c r="G857" i="1"/>
  <c r="K856" i="1"/>
  <c r="J856" i="1"/>
  <c r="I856" i="1"/>
  <c r="G856" i="1"/>
  <c r="K855" i="1"/>
  <c r="J855" i="1"/>
  <c r="I855" i="1"/>
  <c r="G855" i="1"/>
  <c r="K854" i="1"/>
  <c r="J854" i="1"/>
  <c r="I854" i="1"/>
  <c r="G854" i="1"/>
  <c r="K853" i="1"/>
  <c r="J853" i="1"/>
  <c r="I853" i="1"/>
  <c r="G853" i="1"/>
  <c r="K852" i="1"/>
  <c r="J852" i="1"/>
  <c r="I852" i="1"/>
  <c r="G852" i="1"/>
  <c r="K851" i="1"/>
  <c r="J851" i="1"/>
  <c r="I851" i="1"/>
  <c r="G851" i="1"/>
  <c r="K850" i="1"/>
  <c r="J850" i="1"/>
  <c r="I850" i="1"/>
  <c r="G850" i="1"/>
  <c r="K849" i="1"/>
  <c r="J849" i="1"/>
  <c r="I849" i="1"/>
  <c r="G849" i="1"/>
  <c r="K848" i="1"/>
  <c r="J848" i="1"/>
  <c r="I848" i="1"/>
  <c r="G848" i="1"/>
  <c r="K847" i="1"/>
  <c r="J847" i="1"/>
  <c r="I847" i="1"/>
  <c r="G847" i="1"/>
  <c r="K846" i="1"/>
  <c r="J846" i="1"/>
  <c r="I846" i="1"/>
  <c r="G846" i="1"/>
  <c r="K845" i="1"/>
  <c r="J845" i="1"/>
  <c r="I845" i="1"/>
  <c r="G845" i="1"/>
  <c r="K844" i="1"/>
  <c r="J844" i="1"/>
  <c r="I844" i="1"/>
  <c r="G844" i="1"/>
  <c r="K843" i="1"/>
  <c r="J843" i="1"/>
  <c r="I843" i="1"/>
  <c r="G843" i="1"/>
  <c r="K842" i="1"/>
  <c r="J842" i="1"/>
  <c r="I842" i="1"/>
  <c r="G842" i="1"/>
  <c r="K841" i="1"/>
  <c r="J841" i="1"/>
  <c r="I841" i="1"/>
  <c r="G841" i="1"/>
  <c r="K840" i="1"/>
  <c r="J840" i="1"/>
  <c r="I840" i="1"/>
  <c r="G840" i="1"/>
  <c r="K839" i="1"/>
  <c r="J839" i="1"/>
  <c r="I839" i="1"/>
  <c r="G839" i="1"/>
  <c r="K838" i="1"/>
  <c r="J838" i="1"/>
  <c r="I838" i="1"/>
  <c r="G838" i="1"/>
  <c r="K837" i="1"/>
  <c r="J837" i="1"/>
  <c r="I837" i="1"/>
  <c r="G837" i="1"/>
  <c r="K836" i="1"/>
  <c r="J836" i="1"/>
  <c r="I836" i="1"/>
  <c r="G836" i="1"/>
  <c r="K835" i="1"/>
  <c r="J835" i="1"/>
  <c r="I835" i="1"/>
  <c r="G835" i="1"/>
  <c r="K834" i="1"/>
  <c r="J834" i="1"/>
  <c r="I834" i="1"/>
  <c r="G834" i="1"/>
  <c r="K833" i="1"/>
  <c r="J833" i="1"/>
  <c r="I833" i="1"/>
  <c r="G833" i="1"/>
  <c r="K832" i="1"/>
  <c r="J832" i="1"/>
  <c r="I832" i="1"/>
  <c r="G832" i="1"/>
  <c r="K831" i="1"/>
  <c r="J831" i="1"/>
  <c r="I831" i="1"/>
  <c r="G831" i="1"/>
  <c r="K830" i="1"/>
  <c r="J830" i="1"/>
  <c r="I830" i="1"/>
  <c r="G830" i="1"/>
  <c r="K829" i="1"/>
  <c r="J829" i="1"/>
  <c r="I829" i="1"/>
  <c r="G829" i="1"/>
  <c r="K828" i="1"/>
  <c r="J828" i="1"/>
  <c r="I828" i="1"/>
  <c r="G828" i="1"/>
  <c r="K827" i="1"/>
  <c r="J827" i="1"/>
  <c r="I827" i="1"/>
  <c r="G827" i="1"/>
  <c r="K826" i="1"/>
  <c r="J826" i="1"/>
  <c r="I826" i="1"/>
  <c r="G826" i="1"/>
  <c r="K825" i="1"/>
  <c r="J825" i="1"/>
  <c r="I825" i="1"/>
  <c r="G825" i="1"/>
  <c r="K824" i="1"/>
  <c r="J824" i="1"/>
  <c r="I824" i="1"/>
  <c r="G824" i="1"/>
  <c r="K823" i="1"/>
  <c r="J823" i="1"/>
  <c r="I823" i="1"/>
  <c r="G823" i="1"/>
  <c r="K822" i="1"/>
  <c r="J822" i="1"/>
  <c r="I822" i="1"/>
  <c r="G822" i="1"/>
  <c r="K821" i="1"/>
  <c r="J821" i="1"/>
  <c r="I821" i="1"/>
  <c r="G821" i="1"/>
  <c r="K820" i="1"/>
  <c r="J820" i="1"/>
  <c r="I820" i="1"/>
  <c r="G820" i="1"/>
  <c r="K819" i="1"/>
  <c r="J819" i="1"/>
  <c r="I819" i="1"/>
  <c r="G819" i="1"/>
  <c r="K818" i="1"/>
  <c r="J818" i="1"/>
  <c r="I818" i="1"/>
  <c r="G818" i="1"/>
  <c r="K817" i="1"/>
  <c r="J817" i="1"/>
  <c r="I817" i="1"/>
  <c r="G817" i="1"/>
  <c r="K816" i="1"/>
  <c r="J816" i="1"/>
  <c r="I816" i="1"/>
  <c r="G816" i="1"/>
  <c r="K815" i="1"/>
  <c r="J815" i="1"/>
  <c r="I815" i="1"/>
  <c r="G815" i="1"/>
  <c r="K814" i="1"/>
  <c r="J814" i="1"/>
  <c r="I814" i="1"/>
  <c r="G814" i="1"/>
  <c r="K813" i="1"/>
  <c r="J813" i="1"/>
  <c r="I813" i="1"/>
  <c r="G813" i="1"/>
  <c r="K812" i="1"/>
  <c r="J812" i="1"/>
  <c r="I812" i="1"/>
  <c r="G812" i="1"/>
  <c r="K811" i="1"/>
  <c r="J811" i="1"/>
  <c r="I811" i="1"/>
  <c r="G811" i="1"/>
  <c r="K810" i="1"/>
  <c r="J810" i="1"/>
  <c r="I810" i="1"/>
  <c r="G810" i="1"/>
  <c r="K809" i="1"/>
  <c r="J809" i="1"/>
  <c r="I809" i="1"/>
  <c r="G809" i="1"/>
  <c r="K808" i="1"/>
  <c r="J808" i="1"/>
  <c r="I808" i="1"/>
  <c r="G808" i="1"/>
  <c r="K807" i="1"/>
  <c r="J807" i="1"/>
  <c r="I807" i="1"/>
  <c r="G807" i="1"/>
  <c r="K806" i="1"/>
  <c r="J806" i="1"/>
  <c r="I806" i="1"/>
  <c r="G806" i="1"/>
  <c r="K805" i="1"/>
  <c r="J805" i="1"/>
  <c r="I805" i="1"/>
  <c r="G805" i="1"/>
  <c r="K804" i="1"/>
  <c r="J804" i="1"/>
  <c r="I804" i="1"/>
  <c r="G804" i="1"/>
  <c r="K803" i="1"/>
  <c r="J803" i="1"/>
  <c r="I803" i="1"/>
  <c r="G803" i="1"/>
  <c r="K802" i="1"/>
  <c r="J802" i="1"/>
  <c r="I802" i="1"/>
  <c r="G802" i="1"/>
  <c r="K801" i="1"/>
  <c r="J801" i="1"/>
  <c r="I801" i="1"/>
  <c r="G801" i="1"/>
  <c r="K800" i="1"/>
  <c r="J800" i="1"/>
  <c r="I800" i="1"/>
  <c r="G800" i="1"/>
  <c r="K799" i="1"/>
  <c r="J799" i="1"/>
  <c r="I799" i="1"/>
  <c r="G799" i="1"/>
  <c r="K798" i="1"/>
  <c r="J798" i="1"/>
  <c r="I798" i="1"/>
  <c r="G798" i="1"/>
  <c r="K797" i="1"/>
  <c r="J797" i="1"/>
  <c r="I797" i="1"/>
  <c r="G797" i="1"/>
  <c r="K796" i="1"/>
  <c r="J796" i="1"/>
  <c r="I796" i="1"/>
  <c r="G796" i="1"/>
  <c r="K795" i="1"/>
  <c r="J795" i="1"/>
  <c r="I795" i="1"/>
  <c r="G795" i="1"/>
  <c r="K794" i="1"/>
  <c r="J794" i="1"/>
  <c r="I794" i="1"/>
  <c r="G794" i="1"/>
  <c r="K793" i="1"/>
  <c r="J793" i="1"/>
  <c r="I793" i="1"/>
  <c r="G793" i="1"/>
  <c r="K792" i="1"/>
  <c r="J792" i="1"/>
  <c r="I792" i="1"/>
  <c r="G792" i="1"/>
  <c r="K791" i="1"/>
  <c r="J791" i="1"/>
  <c r="I791" i="1"/>
  <c r="G791" i="1"/>
  <c r="K790" i="1"/>
  <c r="J790" i="1"/>
  <c r="I790" i="1"/>
  <c r="G790" i="1"/>
  <c r="K789" i="1"/>
  <c r="J789" i="1"/>
  <c r="I789" i="1"/>
  <c r="G789" i="1"/>
  <c r="K788" i="1"/>
  <c r="J788" i="1"/>
  <c r="I788" i="1"/>
  <c r="G788" i="1"/>
  <c r="K787" i="1"/>
  <c r="J787" i="1"/>
  <c r="I787" i="1"/>
  <c r="G787" i="1"/>
  <c r="K786" i="1"/>
  <c r="J786" i="1"/>
  <c r="I786" i="1"/>
  <c r="G786" i="1"/>
  <c r="K785" i="1"/>
  <c r="J785" i="1"/>
  <c r="I785" i="1"/>
  <c r="G785" i="1"/>
  <c r="K784" i="1"/>
  <c r="J784" i="1"/>
  <c r="I784" i="1"/>
  <c r="G784" i="1"/>
  <c r="K783" i="1"/>
  <c r="J783" i="1"/>
  <c r="I783" i="1"/>
  <c r="G783" i="1"/>
  <c r="K782" i="1"/>
  <c r="J782" i="1"/>
  <c r="I782" i="1"/>
  <c r="G782" i="1"/>
  <c r="K781" i="1"/>
  <c r="J781" i="1"/>
  <c r="I781" i="1"/>
  <c r="G781" i="1"/>
  <c r="K780" i="1"/>
  <c r="J780" i="1"/>
  <c r="I780" i="1"/>
  <c r="G780" i="1"/>
  <c r="K779" i="1"/>
  <c r="J779" i="1"/>
  <c r="I779" i="1"/>
  <c r="G779" i="1"/>
  <c r="K778" i="1"/>
  <c r="J778" i="1"/>
  <c r="I778" i="1"/>
  <c r="G778" i="1"/>
  <c r="K777" i="1"/>
  <c r="J777" i="1"/>
  <c r="I777" i="1"/>
  <c r="G777" i="1"/>
  <c r="K776" i="1"/>
  <c r="J776" i="1"/>
  <c r="I776" i="1"/>
  <c r="G776" i="1"/>
  <c r="K775" i="1"/>
  <c r="J775" i="1"/>
  <c r="I775" i="1"/>
  <c r="G775" i="1"/>
  <c r="K774" i="1"/>
  <c r="J774" i="1"/>
  <c r="I774" i="1"/>
  <c r="G774" i="1"/>
  <c r="K773" i="1"/>
  <c r="J773" i="1"/>
  <c r="I773" i="1"/>
  <c r="G773" i="1"/>
  <c r="K772" i="1"/>
  <c r="J772" i="1"/>
  <c r="I772" i="1"/>
  <c r="G772" i="1"/>
  <c r="K771" i="1"/>
  <c r="J771" i="1"/>
  <c r="I771" i="1"/>
  <c r="G771" i="1"/>
  <c r="K770" i="1"/>
  <c r="J770" i="1"/>
  <c r="I770" i="1"/>
  <c r="G770" i="1"/>
  <c r="K769" i="1"/>
  <c r="J769" i="1"/>
  <c r="I769" i="1"/>
  <c r="G769" i="1"/>
  <c r="K768" i="1"/>
  <c r="J768" i="1"/>
  <c r="I768" i="1"/>
  <c r="G768" i="1"/>
  <c r="K767" i="1"/>
  <c r="J767" i="1"/>
  <c r="I767" i="1"/>
  <c r="G767" i="1"/>
  <c r="K766" i="1"/>
  <c r="J766" i="1"/>
  <c r="I766" i="1"/>
  <c r="G766" i="1"/>
  <c r="K765" i="1"/>
  <c r="J765" i="1"/>
  <c r="I765" i="1"/>
  <c r="G765" i="1"/>
  <c r="K764" i="1"/>
  <c r="J764" i="1"/>
  <c r="I764" i="1"/>
  <c r="G764" i="1"/>
  <c r="K763" i="1"/>
  <c r="J763" i="1"/>
  <c r="I763" i="1"/>
  <c r="G763" i="1"/>
  <c r="K762" i="1"/>
  <c r="J762" i="1"/>
  <c r="I762" i="1"/>
  <c r="G762" i="1"/>
  <c r="K761" i="1"/>
  <c r="J761" i="1"/>
  <c r="I761" i="1"/>
  <c r="G761" i="1"/>
  <c r="K760" i="1"/>
  <c r="J760" i="1"/>
  <c r="I760" i="1"/>
  <c r="G760" i="1"/>
  <c r="K759" i="1"/>
  <c r="J759" i="1"/>
  <c r="I759" i="1"/>
  <c r="G759" i="1"/>
  <c r="K758" i="1"/>
  <c r="J758" i="1"/>
  <c r="I758" i="1"/>
  <c r="G758" i="1"/>
  <c r="K757" i="1"/>
  <c r="J757" i="1"/>
  <c r="I757" i="1"/>
  <c r="G757" i="1"/>
  <c r="K756" i="1"/>
  <c r="J756" i="1"/>
  <c r="I756" i="1"/>
  <c r="G756" i="1"/>
  <c r="K755" i="1"/>
  <c r="J755" i="1"/>
  <c r="I755" i="1"/>
  <c r="G755" i="1"/>
  <c r="K754" i="1"/>
  <c r="J754" i="1"/>
  <c r="I754" i="1"/>
  <c r="G754" i="1"/>
  <c r="K753" i="1"/>
  <c r="J753" i="1"/>
  <c r="I753" i="1"/>
  <c r="G753" i="1"/>
  <c r="K752" i="1"/>
  <c r="J752" i="1"/>
  <c r="I752" i="1"/>
  <c r="G752" i="1"/>
  <c r="K751" i="1"/>
  <c r="J751" i="1"/>
  <c r="I751" i="1"/>
  <c r="G751" i="1"/>
  <c r="K750" i="1"/>
  <c r="J750" i="1"/>
  <c r="I750" i="1"/>
  <c r="G750" i="1"/>
  <c r="K749" i="1"/>
  <c r="J749" i="1"/>
  <c r="I749" i="1"/>
  <c r="G749" i="1"/>
  <c r="K748" i="1"/>
  <c r="J748" i="1"/>
  <c r="I748" i="1"/>
  <c r="G748" i="1"/>
  <c r="K747" i="1"/>
  <c r="J747" i="1"/>
  <c r="I747" i="1"/>
  <c r="G747" i="1"/>
  <c r="K746" i="1"/>
  <c r="J746" i="1"/>
  <c r="I746" i="1"/>
  <c r="G746" i="1"/>
  <c r="K745" i="1"/>
  <c r="J745" i="1"/>
  <c r="I745" i="1"/>
  <c r="G745" i="1"/>
  <c r="K744" i="1"/>
  <c r="J744" i="1"/>
  <c r="I744" i="1"/>
  <c r="G744" i="1"/>
  <c r="K743" i="1"/>
  <c r="J743" i="1"/>
  <c r="I743" i="1"/>
  <c r="G743" i="1"/>
  <c r="K742" i="1"/>
  <c r="J742" i="1"/>
  <c r="I742" i="1"/>
  <c r="G742" i="1"/>
  <c r="K741" i="1"/>
  <c r="J741" i="1"/>
  <c r="I741" i="1"/>
  <c r="G741" i="1"/>
  <c r="K740" i="1"/>
  <c r="J740" i="1"/>
  <c r="I740" i="1"/>
  <c r="G740" i="1"/>
  <c r="K739" i="1"/>
  <c r="J739" i="1"/>
  <c r="I739" i="1"/>
  <c r="G739" i="1"/>
  <c r="K738" i="1"/>
  <c r="J738" i="1"/>
  <c r="I738" i="1"/>
  <c r="G738" i="1"/>
  <c r="K737" i="1"/>
  <c r="J737" i="1"/>
  <c r="I737" i="1"/>
  <c r="G737" i="1"/>
  <c r="K736" i="1"/>
  <c r="J736" i="1"/>
  <c r="I736" i="1"/>
  <c r="G736" i="1"/>
  <c r="K735" i="1"/>
  <c r="J735" i="1"/>
  <c r="I735" i="1"/>
  <c r="G735" i="1"/>
  <c r="K734" i="1"/>
  <c r="J734" i="1"/>
  <c r="I734" i="1"/>
  <c r="G734" i="1"/>
  <c r="K733" i="1"/>
  <c r="J733" i="1"/>
  <c r="I733" i="1"/>
  <c r="G733" i="1"/>
  <c r="K732" i="1"/>
  <c r="J732" i="1"/>
  <c r="I732" i="1"/>
  <c r="G732" i="1"/>
  <c r="K731" i="1"/>
  <c r="J731" i="1"/>
  <c r="I731" i="1"/>
  <c r="G731" i="1"/>
  <c r="K730" i="1"/>
  <c r="J730" i="1"/>
  <c r="I730" i="1"/>
  <c r="G730" i="1"/>
  <c r="K729" i="1"/>
  <c r="J729" i="1"/>
  <c r="I729" i="1"/>
  <c r="G729" i="1"/>
  <c r="K728" i="1"/>
  <c r="J728" i="1"/>
  <c r="I728" i="1"/>
  <c r="G728" i="1"/>
  <c r="K727" i="1"/>
  <c r="J727" i="1"/>
  <c r="I727" i="1"/>
  <c r="G727" i="1"/>
  <c r="K726" i="1"/>
  <c r="J726" i="1"/>
  <c r="I726" i="1"/>
  <c r="G726" i="1"/>
  <c r="K725" i="1"/>
  <c r="J725" i="1"/>
  <c r="I725" i="1"/>
  <c r="G725" i="1"/>
  <c r="K724" i="1"/>
  <c r="J724" i="1"/>
  <c r="I724" i="1"/>
  <c r="G724" i="1"/>
  <c r="K723" i="1"/>
  <c r="J723" i="1"/>
  <c r="I723" i="1"/>
  <c r="G723" i="1"/>
  <c r="K722" i="1"/>
  <c r="J722" i="1"/>
  <c r="I722" i="1"/>
  <c r="G722" i="1"/>
  <c r="K721" i="1"/>
  <c r="J721" i="1"/>
  <c r="I721" i="1"/>
  <c r="G721" i="1"/>
  <c r="K720" i="1"/>
  <c r="J720" i="1"/>
  <c r="I720" i="1"/>
  <c r="G720" i="1"/>
  <c r="K719" i="1"/>
  <c r="J719" i="1"/>
  <c r="I719" i="1"/>
  <c r="G719" i="1"/>
  <c r="K718" i="1"/>
  <c r="J718" i="1"/>
  <c r="I718" i="1"/>
  <c r="G718" i="1"/>
  <c r="K717" i="1"/>
  <c r="J717" i="1"/>
  <c r="I717" i="1"/>
  <c r="G717" i="1"/>
  <c r="K716" i="1"/>
  <c r="J716" i="1"/>
  <c r="I716" i="1"/>
  <c r="G716" i="1"/>
  <c r="K715" i="1"/>
  <c r="J715" i="1"/>
  <c r="I715" i="1"/>
  <c r="G715" i="1"/>
  <c r="K714" i="1"/>
  <c r="J714" i="1"/>
  <c r="I714" i="1"/>
  <c r="G714" i="1"/>
  <c r="K713" i="1"/>
  <c r="J713" i="1"/>
  <c r="I713" i="1"/>
  <c r="G713" i="1"/>
  <c r="K712" i="1"/>
  <c r="J712" i="1"/>
  <c r="I712" i="1"/>
  <c r="G712" i="1"/>
  <c r="K711" i="1"/>
  <c r="J711" i="1"/>
  <c r="I711" i="1"/>
  <c r="G711" i="1"/>
  <c r="K710" i="1"/>
  <c r="J710" i="1"/>
  <c r="I710" i="1"/>
  <c r="G710" i="1"/>
  <c r="K709" i="1"/>
  <c r="J709" i="1"/>
  <c r="I709" i="1"/>
  <c r="G709" i="1"/>
  <c r="K708" i="1"/>
  <c r="J708" i="1"/>
  <c r="I708" i="1"/>
  <c r="G708" i="1"/>
  <c r="K707" i="1"/>
  <c r="J707" i="1"/>
  <c r="I707" i="1"/>
  <c r="G707" i="1"/>
  <c r="K706" i="1"/>
  <c r="J706" i="1"/>
  <c r="I706" i="1"/>
  <c r="G706" i="1"/>
  <c r="K705" i="1"/>
  <c r="J705" i="1"/>
  <c r="I705" i="1"/>
  <c r="G705" i="1"/>
  <c r="K704" i="1"/>
  <c r="J704" i="1"/>
  <c r="I704" i="1"/>
  <c r="G704" i="1"/>
  <c r="K703" i="1"/>
  <c r="J703" i="1"/>
  <c r="I703" i="1"/>
  <c r="G703" i="1"/>
  <c r="K702" i="1"/>
  <c r="J702" i="1"/>
  <c r="I702" i="1"/>
  <c r="G702" i="1"/>
  <c r="K701" i="1"/>
  <c r="J701" i="1"/>
  <c r="I701" i="1"/>
  <c r="G701" i="1"/>
  <c r="K700" i="1"/>
  <c r="J700" i="1"/>
  <c r="I700" i="1"/>
  <c r="G700" i="1"/>
  <c r="K699" i="1"/>
  <c r="J699" i="1"/>
  <c r="I699" i="1"/>
  <c r="G699" i="1"/>
  <c r="K698" i="1"/>
  <c r="J698" i="1"/>
  <c r="I698" i="1"/>
  <c r="G698" i="1"/>
  <c r="K697" i="1"/>
  <c r="J697" i="1"/>
  <c r="I697" i="1"/>
  <c r="G697" i="1"/>
  <c r="K696" i="1"/>
  <c r="J696" i="1"/>
  <c r="I696" i="1"/>
  <c r="G696" i="1"/>
  <c r="K695" i="1"/>
  <c r="J695" i="1"/>
  <c r="I695" i="1"/>
  <c r="G695" i="1"/>
  <c r="K694" i="1"/>
  <c r="J694" i="1"/>
  <c r="I694" i="1"/>
  <c r="G694" i="1"/>
  <c r="K693" i="1"/>
  <c r="J693" i="1"/>
  <c r="I693" i="1"/>
  <c r="G693" i="1"/>
  <c r="K692" i="1"/>
  <c r="J692" i="1"/>
  <c r="I692" i="1"/>
  <c r="G692" i="1"/>
  <c r="K691" i="1"/>
  <c r="J691" i="1"/>
  <c r="I691" i="1"/>
  <c r="G691" i="1"/>
  <c r="K690" i="1"/>
  <c r="J690" i="1"/>
  <c r="I690" i="1"/>
  <c r="G690" i="1"/>
  <c r="K689" i="1"/>
  <c r="J689" i="1"/>
  <c r="I689" i="1"/>
  <c r="G689" i="1"/>
  <c r="K688" i="1"/>
  <c r="J688" i="1"/>
  <c r="I688" i="1"/>
  <c r="G688" i="1"/>
  <c r="K687" i="1"/>
  <c r="J687" i="1"/>
  <c r="I687" i="1"/>
  <c r="G687" i="1"/>
  <c r="K686" i="1"/>
  <c r="J686" i="1"/>
  <c r="I686" i="1"/>
  <c r="G686" i="1"/>
  <c r="K685" i="1"/>
  <c r="J685" i="1"/>
  <c r="I685" i="1"/>
  <c r="G685" i="1"/>
  <c r="K684" i="1"/>
  <c r="J684" i="1"/>
  <c r="I684" i="1"/>
  <c r="G684" i="1"/>
  <c r="K683" i="1"/>
  <c r="J683" i="1"/>
  <c r="I683" i="1"/>
  <c r="G683" i="1"/>
  <c r="K682" i="1"/>
  <c r="J682" i="1"/>
  <c r="I682" i="1"/>
  <c r="G682" i="1"/>
  <c r="K681" i="1"/>
  <c r="J681" i="1"/>
  <c r="I681" i="1"/>
  <c r="G681" i="1"/>
  <c r="K680" i="1"/>
  <c r="J680" i="1"/>
  <c r="I680" i="1"/>
  <c r="G680" i="1"/>
  <c r="K679" i="1"/>
  <c r="J679" i="1"/>
  <c r="I679" i="1"/>
  <c r="G679" i="1"/>
  <c r="K678" i="1"/>
  <c r="J678" i="1"/>
  <c r="I678" i="1"/>
  <c r="G678" i="1"/>
  <c r="K677" i="1"/>
  <c r="J677" i="1"/>
  <c r="I677" i="1"/>
  <c r="G677" i="1"/>
  <c r="K676" i="1"/>
  <c r="J676" i="1"/>
  <c r="I676" i="1"/>
  <c r="G676" i="1"/>
  <c r="K675" i="1"/>
  <c r="J675" i="1"/>
  <c r="I675" i="1"/>
  <c r="G675" i="1"/>
  <c r="K674" i="1"/>
  <c r="J674" i="1"/>
  <c r="I674" i="1"/>
  <c r="G674" i="1"/>
  <c r="K673" i="1"/>
  <c r="J673" i="1"/>
  <c r="I673" i="1"/>
  <c r="G673" i="1"/>
  <c r="K672" i="1"/>
  <c r="J672" i="1"/>
  <c r="I672" i="1"/>
  <c r="G672" i="1"/>
  <c r="K671" i="1"/>
  <c r="J671" i="1"/>
  <c r="I671" i="1"/>
  <c r="G671" i="1"/>
  <c r="K670" i="1"/>
  <c r="J670" i="1"/>
  <c r="I670" i="1"/>
  <c r="G670" i="1"/>
  <c r="K669" i="1"/>
  <c r="J669" i="1"/>
  <c r="I669" i="1"/>
  <c r="G669" i="1"/>
  <c r="K668" i="1"/>
  <c r="J668" i="1"/>
  <c r="I668" i="1"/>
  <c r="G668" i="1"/>
  <c r="K667" i="1"/>
  <c r="J667" i="1"/>
  <c r="I667" i="1"/>
  <c r="G667" i="1"/>
  <c r="K666" i="1"/>
  <c r="J666" i="1"/>
  <c r="I666" i="1"/>
  <c r="G666" i="1"/>
  <c r="K665" i="1"/>
  <c r="J665" i="1"/>
  <c r="I665" i="1"/>
  <c r="G665" i="1"/>
  <c r="K664" i="1"/>
  <c r="J664" i="1"/>
  <c r="I664" i="1"/>
  <c r="G664" i="1"/>
  <c r="K663" i="1"/>
  <c r="J663" i="1"/>
  <c r="I663" i="1"/>
  <c r="G663" i="1"/>
  <c r="K662" i="1"/>
  <c r="J662" i="1"/>
  <c r="I662" i="1"/>
  <c r="G662" i="1"/>
  <c r="K661" i="1"/>
  <c r="J661" i="1"/>
  <c r="I661" i="1"/>
  <c r="G661" i="1"/>
  <c r="K660" i="1"/>
  <c r="J660" i="1"/>
  <c r="I660" i="1"/>
  <c r="G660" i="1"/>
  <c r="K659" i="1"/>
  <c r="J659" i="1"/>
  <c r="I659" i="1"/>
  <c r="G659" i="1"/>
  <c r="K658" i="1"/>
  <c r="J658" i="1"/>
  <c r="I658" i="1"/>
  <c r="G658" i="1"/>
  <c r="K657" i="1"/>
  <c r="J657" i="1"/>
  <c r="I657" i="1"/>
  <c r="G657" i="1"/>
  <c r="K656" i="1"/>
  <c r="J656" i="1"/>
  <c r="I656" i="1"/>
  <c r="G656" i="1"/>
  <c r="K655" i="1"/>
  <c r="J655" i="1"/>
  <c r="I655" i="1"/>
  <c r="G655" i="1"/>
  <c r="K654" i="1"/>
  <c r="J654" i="1"/>
  <c r="I654" i="1"/>
  <c r="G654" i="1"/>
  <c r="K653" i="1"/>
  <c r="J653" i="1"/>
  <c r="I653" i="1"/>
  <c r="G653" i="1"/>
  <c r="K652" i="1"/>
  <c r="J652" i="1"/>
  <c r="I652" i="1"/>
  <c r="G652" i="1"/>
  <c r="K651" i="1"/>
  <c r="J651" i="1"/>
  <c r="I651" i="1"/>
  <c r="G651" i="1"/>
  <c r="K650" i="1"/>
  <c r="J650" i="1"/>
  <c r="I650" i="1"/>
  <c r="G650" i="1"/>
  <c r="K649" i="1"/>
  <c r="J649" i="1"/>
  <c r="I649" i="1"/>
  <c r="G649" i="1"/>
  <c r="K648" i="1"/>
  <c r="J648" i="1"/>
  <c r="I648" i="1"/>
  <c r="G648" i="1"/>
  <c r="K647" i="1"/>
  <c r="J647" i="1"/>
  <c r="I647" i="1"/>
  <c r="G647" i="1"/>
  <c r="K646" i="1"/>
  <c r="J646" i="1"/>
  <c r="I646" i="1"/>
  <c r="G646" i="1"/>
  <c r="K645" i="1"/>
  <c r="J645" i="1"/>
  <c r="I645" i="1"/>
  <c r="G645" i="1"/>
  <c r="K644" i="1"/>
  <c r="J644" i="1"/>
  <c r="I644" i="1"/>
  <c r="G644" i="1"/>
  <c r="K643" i="1"/>
  <c r="J643" i="1"/>
  <c r="I643" i="1"/>
  <c r="G643" i="1"/>
  <c r="K642" i="1"/>
  <c r="J642" i="1"/>
  <c r="I642" i="1"/>
  <c r="G642" i="1"/>
  <c r="K641" i="1"/>
  <c r="J641" i="1"/>
  <c r="I641" i="1"/>
  <c r="G641" i="1"/>
  <c r="K640" i="1"/>
  <c r="J640" i="1"/>
  <c r="I640" i="1"/>
  <c r="G640" i="1"/>
  <c r="K639" i="1"/>
  <c r="J639" i="1"/>
  <c r="I639" i="1"/>
  <c r="G639" i="1"/>
  <c r="K638" i="1"/>
  <c r="J638" i="1"/>
  <c r="I638" i="1"/>
  <c r="G638" i="1"/>
  <c r="K637" i="1"/>
  <c r="J637" i="1"/>
  <c r="I637" i="1"/>
  <c r="G637" i="1"/>
  <c r="K636" i="1"/>
  <c r="J636" i="1"/>
  <c r="I636" i="1"/>
  <c r="G636" i="1"/>
  <c r="K635" i="1"/>
  <c r="J635" i="1"/>
  <c r="I635" i="1"/>
  <c r="G635" i="1"/>
  <c r="K634" i="1"/>
  <c r="J634" i="1"/>
  <c r="I634" i="1"/>
  <c r="G634" i="1"/>
  <c r="K633" i="1"/>
  <c r="J633" i="1"/>
  <c r="I633" i="1"/>
  <c r="G633" i="1"/>
  <c r="K632" i="1"/>
  <c r="J632" i="1"/>
  <c r="I632" i="1"/>
  <c r="G632" i="1"/>
  <c r="K631" i="1"/>
  <c r="J631" i="1"/>
  <c r="I631" i="1"/>
  <c r="G631" i="1"/>
  <c r="K630" i="1"/>
  <c r="J630" i="1"/>
  <c r="I630" i="1"/>
  <c r="G630" i="1"/>
  <c r="K629" i="1"/>
  <c r="J629" i="1"/>
  <c r="I629" i="1"/>
  <c r="G629" i="1"/>
  <c r="K628" i="1"/>
  <c r="J628" i="1"/>
  <c r="I628" i="1"/>
  <c r="G628" i="1"/>
  <c r="K627" i="1"/>
  <c r="J627" i="1"/>
  <c r="I627" i="1"/>
  <c r="G627" i="1"/>
  <c r="K626" i="1"/>
  <c r="J626" i="1"/>
  <c r="I626" i="1"/>
  <c r="G626" i="1"/>
  <c r="K625" i="1"/>
  <c r="J625" i="1"/>
  <c r="I625" i="1"/>
  <c r="G625" i="1"/>
  <c r="K624" i="1"/>
  <c r="J624" i="1"/>
  <c r="I624" i="1"/>
  <c r="G624" i="1"/>
  <c r="K623" i="1"/>
  <c r="J623" i="1"/>
  <c r="I623" i="1"/>
  <c r="G623" i="1"/>
  <c r="K622" i="1"/>
  <c r="J622" i="1"/>
  <c r="I622" i="1"/>
  <c r="G622" i="1"/>
  <c r="K621" i="1"/>
  <c r="J621" i="1"/>
  <c r="I621" i="1"/>
  <c r="G621" i="1"/>
  <c r="K620" i="1"/>
  <c r="J620" i="1"/>
  <c r="I620" i="1"/>
  <c r="G620" i="1"/>
  <c r="K619" i="1"/>
  <c r="J619" i="1"/>
  <c r="I619" i="1"/>
  <c r="G619" i="1"/>
  <c r="K618" i="1"/>
  <c r="J618" i="1"/>
  <c r="I618" i="1"/>
  <c r="G618" i="1"/>
  <c r="K617" i="1"/>
  <c r="J617" i="1"/>
  <c r="I617" i="1"/>
  <c r="G617" i="1"/>
  <c r="K616" i="1"/>
  <c r="J616" i="1"/>
  <c r="I616" i="1"/>
  <c r="G616" i="1"/>
  <c r="K615" i="1"/>
  <c r="J615" i="1"/>
  <c r="I615" i="1"/>
  <c r="G615" i="1"/>
  <c r="K614" i="1"/>
  <c r="J614" i="1"/>
  <c r="I614" i="1"/>
  <c r="G614" i="1"/>
  <c r="K613" i="1"/>
  <c r="J613" i="1"/>
  <c r="I613" i="1"/>
  <c r="G613" i="1"/>
  <c r="K612" i="1"/>
  <c r="J612" i="1"/>
  <c r="I612" i="1"/>
  <c r="G612" i="1"/>
  <c r="K611" i="1"/>
  <c r="J611" i="1"/>
  <c r="I611" i="1"/>
  <c r="G611" i="1"/>
  <c r="K610" i="1"/>
  <c r="J610" i="1"/>
  <c r="I610" i="1"/>
  <c r="G610" i="1"/>
  <c r="K609" i="1"/>
  <c r="J609" i="1"/>
  <c r="I609" i="1"/>
  <c r="G609" i="1"/>
  <c r="K608" i="1"/>
  <c r="J608" i="1"/>
  <c r="I608" i="1"/>
  <c r="G608" i="1"/>
  <c r="K607" i="1"/>
  <c r="J607" i="1"/>
  <c r="I607" i="1"/>
  <c r="G607" i="1"/>
  <c r="K606" i="1"/>
  <c r="J606" i="1"/>
  <c r="I606" i="1"/>
  <c r="G606" i="1"/>
  <c r="K605" i="1"/>
  <c r="J605" i="1"/>
  <c r="I605" i="1"/>
  <c r="G605" i="1"/>
  <c r="K604" i="1"/>
  <c r="J604" i="1"/>
  <c r="I604" i="1"/>
  <c r="G604" i="1"/>
  <c r="K603" i="1"/>
  <c r="J603" i="1"/>
  <c r="I603" i="1"/>
  <c r="G603" i="1"/>
  <c r="K602" i="1"/>
  <c r="J602" i="1"/>
  <c r="I602" i="1"/>
  <c r="G602" i="1"/>
  <c r="K601" i="1"/>
  <c r="J601" i="1"/>
  <c r="I601" i="1"/>
  <c r="G601" i="1"/>
  <c r="K600" i="1"/>
  <c r="J600" i="1"/>
  <c r="I600" i="1"/>
  <c r="G600" i="1"/>
  <c r="K599" i="1"/>
  <c r="J599" i="1"/>
  <c r="I599" i="1"/>
  <c r="G599" i="1"/>
  <c r="K598" i="1"/>
  <c r="J598" i="1"/>
  <c r="I598" i="1"/>
  <c r="G598" i="1"/>
  <c r="K597" i="1"/>
  <c r="J597" i="1"/>
  <c r="I597" i="1"/>
  <c r="G597" i="1"/>
  <c r="K596" i="1"/>
  <c r="J596" i="1"/>
  <c r="I596" i="1"/>
  <c r="G596" i="1"/>
  <c r="K595" i="1"/>
  <c r="J595" i="1"/>
  <c r="I595" i="1"/>
  <c r="G595" i="1"/>
  <c r="K594" i="1"/>
  <c r="J594" i="1"/>
  <c r="I594" i="1"/>
  <c r="G594" i="1"/>
  <c r="K593" i="1"/>
  <c r="J593" i="1"/>
  <c r="I593" i="1"/>
  <c r="G593" i="1"/>
  <c r="K592" i="1"/>
  <c r="J592" i="1"/>
  <c r="I592" i="1"/>
  <c r="G592" i="1"/>
  <c r="K591" i="1"/>
  <c r="J591" i="1"/>
  <c r="I591" i="1"/>
  <c r="G591" i="1"/>
  <c r="K590" i="1"/>
  <c r="J590" i="1"/>
  <c r="I590" i="1"/>
  <c r="G590" i="1"/>
  <c r="K589" i="1"/>
  <c r="J589" i="1"/>
  <c r="I589" i="1"/>
  <c r="G589" i="1"/>
  <c r="K588" i="1"/>
  <c r="J588" i="1"/>
  <c r="I588" i="1"/>
  <c r="G588" i="1"/>
  <c r="K587" i="1"/>
  <c r="J587" i="1"/>
  <c r="I587" i="1"/>
  <c r="G587" i="1"/>
  <c r="K586" i="1"/>
  <c r="J586" i="1"/>
  <c r="I586" i="1"/>
  <c r="G586" i="1"/>
  <c r="K585" i="1"/>
  <c r="J585" i="1"/>
  <c r="I585" i="1"/>
  <c r="G585" i="1"/>
  <c r="K584" i="1"/>
  <c r="J584" i="1"/>
  <c r="I584" i="1"/>
  <c r="G584" i="1"/>
  <c r="K583" i="1"/>
  <c r="J583" i="1"/>
  <c r="I583" i="1"/>
  <c r="G583" i="1"/>
  <c r="K582" i="1"/>
  <c r="J582" i="1"/>
  <c r="I582" i="1"/>
  <c r="G582" i="1"/>
  <c r="K581" i="1"/>
  <c r="J581" i="1"/>
  <c r="I581" i="1"/>
  <c r="G581" i="1"/>
  <c r="K580" i="1"/>
  <c r="J580" i="1"/>
  <c r="I580" i="1"/>
  <c r="G580" i="1"/>
  <c r="K579" i="1"/>
  <c r="J579" i="1"/>
  <c r="I579" i="1"/>
  <c r="G579" i="1"/>
  <c r="K578" i="1"/>
  <c r="J578" i="1"/>
  <c r="I578" i="1"/>
  <c r="G578" i="1"/>
  <c r="K577" i="1"/>
  <c r="J577" i="1"/>
  <c r="I577" i="1"/>
  <c r="G577" i="1"/>
  <c r="K576" i="1"/>
  <c r="J576" i="1"/>
  <c r="I576" i="1"/>
  <c r="G576" i="1"/>
  <c r="K575" i="1"/>
  <c r="J575" i="1"/>
  <c r="I575" i="1"/>
  <c r="G575" i="1"/>
  <c r="K574" i="1"/>
  <c r="J574" i="1"/>
  <c r="I574" i="1"/>
  <c r="G574" i="1"/>
  <c r="K573" i="1"/>
  <c r="J573" i="1"/>
  <c r="I573" i="1"/>
  <c r="G573" i="1"/>
  <c r="K572" i="1"/>
  <c r="J572" i="1"/>
  <c r="I572" i="1"/>
  <c r="G572" i="1"/>
  <c r="K571" i="1"/>
  <c r="J571" i="1"/>
  <c r="I571" i="1"/>
  <c r="G571" i="1"/>
  <c r="K570" i="1"/>
  <c r="J570" i="1"/>
  <c r="I570" i="1"/>
  <c r="G570" i="1"/>
  <c r="K569" i="1"/>
  <c r="J569" i="1"/>
  <c r="I569" i="1"/>
  <c r="G569" i="1"/>
  <c r="K568" i="1"/>
  <c r="J568" i="1"/>
  <c r="I568" i="1"/>
  <c r="G568" i="1"/>
  <c r="K567" i="1"/>
  <c r="J567" i="1"/>
  <c r="I567" i="1"/>
  <c r="G567" i="1"/>
  <c r="K566" i="1"/>
  <c r="J566" i="1"/>
  <c r="I566" i="1"/>
  <c r="G566" i="1"/>
  <c r="K565" i="1"/>
  <c r="J565" i="1"/>
  <c r="I565" i="1"/>
  <c r="G565" i="1"/>
  <c r="K564" i="1"/>
  <c r="J564" i="1"/>
  <c r="I564" i="1"/>
  <c r="G564" i="1"/>
  <c r="K563" i="1"/>
  <c r="J563" i="1"/>
  <c r="I563" i="1"/>
  <c r="G563" i="1"/>
  <c r="K562" i="1"/>
  <c r="J562" i="1"/>
  <c r="I562" i="1"/>
  <c r="G562" i="1"/>
  <c r="K561" i="1"/>
  <c r="J561" i="1"/>
  <c r="I561" i="1"/>
  <c r="G561" i="1"/>
  <c r="K560" i="1"/>
  <c r="J560" i="1"/>
  <c r="I560" i="1"/>
  <c r="G560" i="1"/>
  <c r="K559" i="1"/>
  <c r="J559" i="1"/>
  <c r="I559" i="1"/>
  <c r="G559" i="1"/>
  <c r="K558" i="1"/>
  <c r="J558" i="1"/>
  <c r="I558" i="1"/>
  <c r="G558" i="1"/>
  <c r="K557" i="1"/>
  <c r="J557" i="1"/>
  <c r="I557" i="1"/>
  <c r="G557" i="1"/>
  <c r="K556" i="1"/>
  <c r="J556" i="1"/>
  <c r="I556" i="1"/>
  <c r="G556" i="1"/>
  <c r="K555" i="1"/>
  <c r="J555" i="1"/>
  <c r="I555" i="1"/>
  <c r="G555" i="1"/>
  <c r="K554" i="1"/>
  <c r="J554" i="1"/>
  <c r="I554" i="1"/>
  <c r="G554" i="1"/>
  <c r="K553" i="1"/>
  <c r="J553" i="1"/>
  <c r="I553" i="1"/>
  <c r="G553" i="1"/>
  <c r="K552" i="1"/>
  <c r="J552" i="1"/>
  <c r="I552" i="1"/>
  <c r="G552" i="1"/>
  <c r="K551" i="1"/>
  <c r="J551" i="1"/>
  <c r="I551" i="1"/>
  <c r="G551" i="1"/>
  <c r="K550" i="1"/>
  <c r="J550" i="1"/>
  <c r="I550" i="1"/>
  <c r="G550" i="1"/>
  <c r="K549" i="1"/>
  <c r="J549" i="1"/>
  <c r="I549" i="1"/>
  <c r="G549" i="1"/>
  <c r="K548" i="1"/>
  <c r="J548" i="1"/>
  <c r="I548" i="1"/>
  <c r="G548" i="1"/>
  <c r="K547" i="1"/>
  <c r="J547" i="1"/>
  <c r="I547" i="1"/>
  <c r="G547" i="1"/>
  <c r="K546" i="1"/>
  <c r="J546" i="1"/>
  <c r="I546" i="1"/>
  <c r="G546" i="1"/>
  <c r="K545" i="1"/>
  <c r="J545" i="1"/>
  <c r="I545" i="1"/>
  <c r="G545" i="1"/>
  <c r="K544" i="1"/>
  <c r="J544" i="1"/>
  <c r="I544" i="1"/>
  <c r="G544" i="1"/>
  <c r="K543" i="1"/>
  <c r="J543" i="1"/>
  <c r="I543" i="1"/>
  <c r="G543" i="1"/>
  <c r="K542" i="1"/>
  <c r="J542" i="1"/>
  <c r="I542" i="1"/>
  <c r="G542" i="1"/>
  <c r="K541" i="1"/>
  <c r="J541" i="1"/>
  <c r="I541" i="1"/>
  <c r="G541" i="1"/>
  <c r="K540" i="1"/>
  <c r="J540" i="1"/>
  <c r="I540" i="1"/>
  <c r="G540" i="1"/>
  <c r="K539" i="1"/>
  <c r="J539" i="1"/>
  <c r="I539" i="1"/>
  <c r="G539" i="1"/>
  <c r="K538" i="1"/>
  <c r="J538" i="1"/>
  <c r="I538" i="1"/>
  <c r="G538" i="1"/>
  <c r="K537" i="1"/>
  <c r="J537" i="1"/>
  <c r="I537" i="1"/>
  <c r="G537" i="1"/>
  <c r="K536" i="1"/>
  <c r="J536" i="1"/>
  <c r="I536" i="1"/>
  <c r="G536" i="1"/>
  <c r="K535" i="1"/>
  <c r="J535" i="1"/>
  <c r="I535" i="1"/>
  <c r="G535" i="1"/>
  <c r="K534" i="1"/>
  <c r="J534" i="1"/>
  <c r="I534" i="1"/>
  <c r="G534" i="1"/>
  <c r="K533" i="1"/>
  <c r="J533" i="1"/>
  <c r="I533" i="1"/>
  <c r="G533" i="1"/>
  <c r="K532" i="1"/>
  <c r="J532" i="1"/>
  <c r="I532" i="1"/>
  <c r="G532" i="1"/>
  <c r="K531" i="1"/>
  <c r="J531" i="1"/>
  <c r="I531" i="1"/>
  <c r="G531" i="1"/>
  <c r="K530" i="1"/>
  <c r="J530" i="1"/>
  <c r="I530" i="1"/>
  <c r="G530" i="1"/>
  <c r="K529" i="1"/>
  <c r="J529" i="1"/>
  <c r="I529" i="1"/>
  <c r="G529" i="1"/>
  <c r="K528" i="1"/>
  <c r="J528" i="1"/>
  <c r="I528" i="1"/>
  <c r="G528" i="1"/>
  <c r="K527" i="1"/>
  <c r="J527" i="1"/>
  <c r="I527" i="1"/>
  <c r="G527" i="1"/>
  <c r="K526" i="1"/>
  <c r="J526" i="1"/>
  <c r="I526" i="1"/>
  <c r="G526" i="1"/>
  <c r="K525" i="1"/>
  <c r="J525" i="1"/>
  <c r="I525" i="1"/>
  <c r="G525" i="1"/>
  <c r="K524" i="1"/>
  <c r="J524" i="1"/>
  <c r="I524" i="1"/>
  <c r="G524" i="1"/>
  <c r="K523" i="1"/>
  <c r="J523" i="1"/>
  <c r="I523" i="1"/>
  <c r="G523" i="1"/>
  <c r="K522" i="1"/>
  <c r="J522" i="1"/>
  <c r="I522" i="1"/>
  <c r="G522" i="1"/>
  <c r="K521" i="1"/>
  <c r="J521" i="1"/>
  <c r="I521" i="1"/>
  <c r="G521" i="1"/>
  <c r="K520" i="1"/>
  <c r="J520" i="1"/>
  <c r="I520" i="1"/>
  <c r="G520" i="1"/>
  <c r="K519" i="1"/>
  <c r="J519" i="1"/>
  <c r="I519" i="1"/>
  <c r="G519" i="1"/>
  <c r="K518" i="1"/>
  <c r="J518" i="1"/>
  <c r="I518" i="1"/>
  <c r="G518" i="1"/>
  <c r="K517" i="1"/>
  <c r="J517" i="1"/>
  <c r="I517" i="1"/>
  <c r="G517" i="1"/>
  <c r="K516" i="1"/>
  <c r="J516" i="1"/>
  <c r="I516" i="1"/>
  <c r="G516" i="1"/>
  <c r="K515" i="1"/>
  <c r="J515" i="1"/>
  <c r="I515" i="1"/>
  <c r="G515" i="1"/>
  <c r="K514" i="1"/>
  <c r="J514" i="1"/>
  <c r="I514" i="1"/>
  <c r="G514" i="1"/>
  <c r="K513" i="1"/>
  <c r="J513" i="1"/>
  <c r="I513" i="1"/>
  <c r="G513" i="1"/>
  <c r="K512" i="1"/>
  <c r="J512" i="1"/>
  <c r="I512" i="1"/>
  <c r="G512" i="1"/>
  <c r="K511" i="1"/>
  <c r="J511" i="1"/>
  <c r="I511" i="1"/>
  <c r="G511" i="1"/>
  <c r="K510" i="1"/>
  <c r="J510" i="1"/>
  <c r="I510" i="1"/>
  <c r="G510" i="1"/>
  <c r="K509" i="1"/>
  <c r="J509" i="1"/>
  <c r="I509" i="1"/>
  <c r="G509" i="1"/>
  <c r="K508" i="1"/>
  <c r="J508" i="1"/>
  <c r="I508" i="1"/>
  <c r="G508" i="1"/>
  <c r="K507" i="1"/>
  <c r="J507" i="1"/>
  <c r="I507" i="1"/>
  <c r="G507" i="1"/>
  <c r="K506" i="1"/>
  <c r="J506" i="1"/>
  <c r="I506" i="1"/>
  <c r="G506" i="1"/>
  <c r="K505" i="1"/>
  <c r="J505" i="1"/>
  <c r="I505" i="1"/>
  <c r="G505" i="1"/>
  <c r="K504" i="1"/>
  <c r="J504" i="1"/>
  <c r="I504" i="1"/>
  <c r="G504" i="1"/>
  <c r="K503" i="1"/>
  <c r="J503" i="1"/>
  <c r="I503" i="1"/>
  <c r="G503" i="1"/>
  <c r="K502" i="1"/>
  <c r="J502" i="1"/>
  <c r="I502" i="1"/>
  <c r="G502" i="1"/>
  <c r="K501" i="1"/>
  <c r="J501" i="1"/>
  <c r="I501" i="1"/>
  <c r="G501" i="1"/>
  <c r="K500" i="1"/>
  <c r="J500" i="1"/>
  <c r="I500" i="1"/>
  <c r="G500" i="1"/>
  <c r="K499" i="1"/>
  <c r="J499" i="1"/>
  <c r="I499" i="1"/>
  <c r="G499" i="1"/>
  <c r="K498" i="1"/>
  <c r="J498" i="1"/>
  <c r="I498" i="1"/>
  <c r="G498" i="1"/>
  <c r="K497" i="1"/>
  <c r="J497" i="1"/>
  <c r="I497" i="1"/>
  <c r="G497" i="1"/>
  <c r="K496" i="1"/>
  <c r="J496" i="1"/>
  <c r="I496" i="1"/>
  <c r="G496" i="1"/>
  <c r="K495" i="1"/>
  <c r="J495" i="1"/>
  <c r="I495" i="1"/>
  <c r="G495" i="1"/>
  <c r="K494" i="1"/>
  <c r="J494" i="1"/>
  <c r="I494" i="1"/>
  <c r="G494" i="1"/>
  <c r="K493" i="1"/>
  <c r="J493" i="1"/>
  <c r="I493" i="1"/>
  <c r="G493" i="1"/>
  <c r="K492" i="1"/>
  <c r="J492" i="1"/>
  <c r="I492" i="1"/>
  <c r="G492" i="1"/>
  <c r="K491" i="1"/>
  <c r="J491" i="1"/>
  <c r="I491" i="1"/>
  <c r="G491" i="1"/>
  <c r="K490" i="1"/>
  <c r="J490" i="1"/>
  <c r="I490" i="1"/>
  <c r="G490" i="1"/>
  <c r="K489" i="1"/>
  <c r="J489" i="1"/>
  <c r="I489" i="1"/>
  <c r="G489" i="1"/>
  <c r="K488" i="1"/>
  <c r="J488" i="1"/>
  <c r="I488" i="1"/>
  <c r="G488" i="1"/>
  <c r="K487" i="1"/>
  <c r="J487" i="1"/>
  <c r="I487" i="1"/>
  <c r="G487" i="1"/>
  <c r="K486" i="1"/>
  <c r="J486" i="1"/>
  <c r="I486" i="1"/>
  <c r="G486" i="1"/>
  <c r="K485" i="1"/>
  <c r="J485" i="1"/>
  <c r="I485" i="1"/>
  <c r="G485" i="1"/>
  <c r="K484" i="1"/>
  <c r="J484" i="1"/>
  <c r="I484" i="1"/>
  <c r="G484" i="1"/>
  <c r="K483" i="1"/>
  <c r="J483" i="1"/>
  <c r="I483" i="1"/>
  <c r="G483" i="1"/>
  <c r="K482" i="1"/>
  <c r="J482" i="1"/>
  <c r="I482" i="1"/>
  <c r="G482" i="1"/>
  <c r="K481" i="1"/>
  <c r="J481" i="1"/>
  <c r="I481" i="1"/>
  <c r="G481" i="1"/>
  <c r="K480" i="1"/>
  <c r="J480" i="1"/>
  <c r="I480" i="1"/>
  <c r="G480" i="1"/>
  <c r="K479" i="1"/>
  <c r="J479" i="1"/>
  <c r="I479" i="1"/>
  <c r="G479" i="1"/>
  <c r="K478" i="1"/>
  <c r="J478" i="1"/>
  <c r="I478" i="1"/>
  <c r="G478" i="1"/>
  <c r="K477" i="1"/>
  <c r="J477" i="1"/>
  <c r="I477" i="1"/>
  <c r="G477" i="1"/>
  <c r="K476" i="1"/>
  <c r="J476" i="1"/>
  <c r="I476" i="1"/>
  <c r="G476" i="1"/>
  <c r="K475" i="1"/>
  <c r="J475" i="1"/>
  <c r="I475" i="1"/>
  <c r="G475" i="1"/>
  <c r="K474" i="1"/>
  <c r="J474" i="1"/>
  <c r="I474" i="1"/>
  <c r="G474" i="1"/>
  <c r="K473" i="1"/>
  <c r="J473" i="1"/>
  <c r="I473" i="1"/>
  <c r="G473" i="1"/>
  <c r="K472" i="1"/>
  <c r="J472" i="1"/>
  <c r="I472" i="1"/>
  <c r="G472" i="1"/>
  <c r="K471" i="1"/>
  <c r="J471" i="1"/>
  <c r="I471" i="1"/>
  <c r="G471" i="1"/>
  <c r="K470" i="1"/>
  <c r="J470" i="1"/>
  <c r="I470" i="1"/>
  <c r="G470" i="1"/>
  <c r="K469" i="1"/>
  <c r="J469" i="1"/>
  <c r="I469" i="1"/>
  <c r="G469" i="1"/>
  <c r="K468" i="1"/>
  <c r="J468" i="1"/>
  <c r="I468" i="1"/>
  <c r="G468" i="1"/>
  <c r="K467" i="1"/>
  <c r="J467" i="1"/>
  <c r="I467" i="1"/>
  <c r="G467" i="1"/>
  <c r="K466" i="1"/>
  <c r="J466" i="1"/>
  <c r="I466" i="1"/>
  <c r="G466" i="1"/>
  <c r="K465" i="1"/>
  <c r="J465" i="1"/>
  <c r="I465" i="1"/>
  <c r="M465" i="1" s="1" a="1"/>
  <c r="M465" i="1" s="1"/>
  <c r="G465" i="1"/>
  <c r="K464" i="1"/>
  <c r="J464" i="1"/>
  <c r="I464" i="1"/>
  <c r="G464" i="1"/>
  <c r="K463" i="1"/>
  <c r="J463" i="1"/>
  <c r="I463" i="1"/>
  <c r="G463" i="1"/>
  <c r="K462" i="1"/>
  <c r="J462" i="1"/>
  <c r="I462" i="1"/>
  <c r="G462" i="1"/>
  <c r="K461" i="1"/>
  <c r="J461" i="1"/>
  <c r="I461" i="1"/>
  <c r="G461" i="1"/>
  <c r="K460" i="1"/>
  <c r="J460" i="1"/>
  <c r="I460" i="1"/>
  <c r="G460" i="1"/>
  <c r="K459" i="1"/>
  <c r="J459" i="1"/>
  <c r="I459" i="1"/>
  <c r="G459" i="1"/>
  <c r="K458" i="1"/>
  <c r="J458" i="1"/>
  <c r="I458" i="1"/>
  <c r="G458" i="1"/>
  <c r="K457" i="1"/>
  <c r="J457" i="1"/>
  <c r="I457" i="1"/>
  <c r="G457" i="1"/>
  <c r="K456" i="1"/>
  <c r="J456" i="1"/>
  <c r="I456" i="1"/>
  <c r="G456" i="1"/>
  <c r="K455" i="1"/>
  <c r="J455" i="1"/>
  <c r="I455" i="1"/>
  <c r="G455" i="1"/>
  <c r="K454" i="1"/>
  <c r="J454" i="1"/>
  <c r="I454" i="1"/>
  <c r="G454" i="1"/>
  <c r="K453" i="1"/>
  <c r="J453" i="1"/>
  <c r="I453" i="1"/>
  <c r="G453" i="1"/>
  <c r="K452" i="1"/>
  <c r="J452" i="1"/>
  <c r="I452" i="1"/>
  <c r="G452" i="1"/>
  <c r="K451" i="1"/>
  <c r="J451" i="1"/>
  <c r="I451" i="1"/>
  <c r="G451" i="1"/>
  <c r="K450" i="1"/>
  <c r="J450" i="1"/>
  <c r="I450" i="1"/>
  <c r="G450" i="1"/>
  <c r="K449" i="1"/>
  <c r="J449" i="1"/>
  <c r="I449" i="1"/>
  <c r="G449" i="1"/>
  <c r="K448" i="1"/>
  <c r="J448" i="1"/>
  <c r="I448" i="1"/>
  <c r="G448" i="1"/>
  <c r="K447" i="1"/>
  <c r="J447" i="1"/>
  <c r="I447" i="1"/>
  <c r="G447" i="1"/>
  <c r="K446" i="1"/>
  <c r="J446" i="1"/>
  <c r="I446" i="1"/>
  <c r="G446" i="1"/>
  <c r="K445" i="1"/>
  <c r="J445" i="1"/>
  <c r="I445" i="1"/>
  <c r="G445" i="1"/>
  <c r="K444" i="1"/>
  <c r="J444" i="1"/>
  <c r="I444" i="1"/>
  <c r="G444" i="1"/>
  <c r="K443" i="1"/>
  <c r="J443" i="1"/>
  <c r="I443" i="1"/>
  <c r="G443" i="1"/>
  <c r="K442" i="1"/>
  <c r="J442" i="1"/>
  <c r="I442" i="1"/>
  <c r="G442" i="1"/>
  <c r="K441" i="1"/>
  <c r="J441" i="1"/>
  <c r="I441" i="1"/>
  <c r="G441" i="1"/>
  <c r="K440" i="1"/>
  <c r="J440" i="1"/>
  <c r="I440" i="1"/>
  <c r="G440" i="1"/>
  <c r="K439" i="1"/>
  <c r="J439" i="1"/>
  <c r="I439" i="1"/>
  <c r="G439" i="1"/>
  <c r="K438" i="1"/>
  <c r="J438" i="1"/>
  <c r="I438" i="1"/>
  <c r="G438" i="1"/>
  <c r="K437" i="1"/>
  <c r="J437" i="1"/>
  <c r="I437" i="1"/>
  <c r="G437" i="1"/>
  <c r="K436" i="1"/>
  <c r="J436" i="1"/>
  <c r="I436" i="1"/>
  <c r="G436" i="1"/>
  <c r="K435" i="1"/>
  <c r="J435" i="1"/>
  <c r="I435" i="1"/>
  <c r="G435" i="1"/>
  <c r="K434" i="1"/>
  <c r="J434" i="1"/>
  <c r="I434" i="1"/>
  <c r="G434" i="1"/>
  <c r="K433" i="1"/>
  <c r="J433" i="1"/>
  <c r="I433" i="1"/>
  <c r="G433" i="1"/>
  <c r="K432" i="1"/>
  <c r="J432" i="1"/>
  <c r="I432" i="1"/>
  <c r="G432" i="1"/>
  <c r="K431" i="1"/>
  <c r="J431" i="1"/>
  <c r="I431" i="1"/>
  <c r="G431" i="1"/>
  <c r="K430" i="1"/>
  <c r="J430" i="1"/>
  <c r="I430" i="1"/>
  <c r="G430" i="1"/>
  <c r="K429" i="1"/>
  <c r="J429" i="1"/>
  <c r="I429" i="1"/>
  <c r="G429" i="1"/>
  <c r="K428" i="1"/>
  <c r="J428" i="1"/>
  <c r="I428" i="1"/>
  <c r="G428" i="1"/>
  <c r="K427" i="1"/>
  <c r="J427" i="1"/>
  <c r="I427" i="1"/>
  <c r="G427" i="1"/>
  <c r="K426" i="1"/>
  <c r="J426" i="1"/>
  <c r="I426" i="1"/>
  <c r="G426" i="1"/>
  <c r="K425" i="1"/>
  <c r="J425" i="1"/>
  <c r="I425" i="1"/>
  <c r="G425" i="1"/>
  <c r="K424" i="1"/>
  <c r="J424" i="1"/>
  <c r="I424" i="1"/>
  <c r="G424" i="1"/>
  <c r="K423" i="1"/>
  <c r="J423" i="1"/>
  <c r="I423" i="1"/>
  <c r="G423" i="1"/>
  <c r="K422" i="1"/>
  <c r="J422" i="1"/>
  <c r="I422" i="1"/>
  <c r="G422" i="1"/>
  <c r="K421" i="1"/>
  <c r="J421" i="1"/>
  <c r="I421" i="1"/>
  <c r="G421" i="1"/>
  <c r="K420" i="1"/>
  <c r="J420" i="1"/>
  <c r="I420" i="1"/>
  <c r="G420" i="1"/>
  <c r="K419" i="1"/>
  <c r="J419" i="1"/>
  <c r="I419" i="1"/>
  <c r="G419" i="1"/>
  <c r="K418" i="1"/>
  <c r="J418" i="1"/>
  <c r="I418" i="1"/>
  <c r="G418" i="1"/>
  <c r="K417" i="1"/>
  <c r="J417" i="1"/>
  <c r="I417" i="1"/>
  <c r="G417" i="1"/>
  <c r="M417" i="1" s="1" a="1"/>
  <c r="M417" i="1" s="1"/>
  <c r="N417" i="1" s="1"/>
  <c r="K416" i="1"/>
  <c r="J416" i="1"/>
  <c r="I416" i="1"/>
  <c r="G416" i="1"/>
  <c r="K415" i="1"/>
  <c r="J415" i="1"/>
  <c r="I415" i="1"/>
  <c r="G415" i="1"/>
  <c r="K414" i="1"/>
  <c r="J414" i="1"/>
  <c r="I414" i="1"/>
  <c r="G414" i="1"/>
  <c r="K413" i="1"/>
  <c r="J413" i="1"/>
  <c r="I413" i="1"/>
  <c r="G413" i="1"/>
  <c r="K412" i="1"/>
  <c r="J412" i="1"/>
  <c r="I412" i="1"/>
  <c r="G412" i="1"/>
  <c r="K411" i="1"/>
  <c r="J411" i="1"/>
  <c r="I411" i="1"/>
  <c r="G411" i="1"/>
  <c r="K410" i="1"/>
  <c r="J410" i="1"/>
  <c r="I410" i="1"/>
  <c r="G410" i="1"/>
  <c r="K409" i="1"/>
  <c r="J409" i="1"/>
  <c r="I409" i="1"/>
  <c r="G409" i="1"/>
  <c r="K408" i="1"/>
  <c r="J408" i="1"/>
  <c r="I408" i="1"/>
  <c r="G408" i="1"/>
  <c r="K407" i="1"/>
  <c r="J407" i="1"/>
  <c r="I407" i="1"/>
  <c r="G407" i="1"/>
  <c r="K406" i="1"/>
  <c r="J406" i="1"/>
  <c r="I406" i="1"/>
  <c r="G406" i="1"/>
  <c r="K405" i="1"/>
  <c r="J405" i="1"/>
  <c r="I405" i="1"/>
  <c r="G405" i="1"/>
  <c r="K404" i="1"/>
  <c r="J404" i="1"/>
  <c r="I404" i="1"/>
  <c r="G404" i="1"/>
  <c r="K403" i="1"/>
  <c r="J403" i="1"/>
  <c r="I403" i="1"/>
  <c r="G403" i="1"/>
  <c r="K402" i="1"/>
  <c r="J402" i="1"/>
  <c r="I402" i="1"/>
  <c r="G402" i="1"/>
  <c r="K401" i="1"/>
  <c r="J401" i="1"/>
  <c r="I401" i="1"/>
  <c r="G401" i="1"/>
  <c r="K400" i="1"/>
  <c r="J400" i="1"/>
  <c r="I400" i="1"/>
  <c r="G400" i="1"/>
  <c r="K399" i="1"/>
  <c r="J399" i="1"/>
  <c r="I399" i="1"/>
  <c r="G399" i="1"/>
  <c r="K398" i="1"/>
  <c r="J398" i="1"/>
  <c r="I398" i="1"/>
  <c r="G398" i="1"/>
  <c r="K397" i="1"/>
  <c r="J397" i="1"/>
  <c r="I397" i="1"/>
  <c r="G397" i="1"/>
  <c r="K396" i="1"/>
  <c r="J396" i="1"/>
  <c r="I396" i="1"/>
  <c r="G396" i="1"/>
  <c r="K395" i="1"/>
  <c r="J395" i="1"/>
  <c r="I395" i="1"/>
  <c r="G395" i="1"/>
  <c r="K394" i="1"/>
  <c r="J394" i="1"/>
  <c r="I394" i="1"/>
  <c r="G394" i="1"/>
  <c r="K393" i="1"/>
  <c r="J393" i="1"/>
  <c r="I393" i="1"/>
  <c r="G393" i="1"/>
  <c r="K392" i="1"/>
  <c r="J392" i="1"/>
  <c r="I392" i="1"/>
  <c r="G392" i="1"/>
  <c r="K391" i="1"/>
  <c r="J391" i="1"/>
  <c r="I391" i="1"/>
  <c r="G391" i="1"/>
  <c r="K390" i="1"/>
  <c r="J390" i="1"/>
  <c r="I390" i="1"/>
  <c r="G390" i="1"/>
  <c r="K389" i="1"/>
  <c r="J389" i="1"/>
  <c r="I389" i="1"/>
  <c r="G389" i="1"/>
  <c r="K388" i="1"/>
  <c r="J388" i="1"/>
  <c r="I388" i="1"/>
  <c r="G388" i="1"/>
  <c r="K387" i="1"/>
  <c r="J387" i="1"/>
  <c r="I387" i="1"/>
  <c r="G387" i="1"/>
  <c r="K386" i="1"/>
  <c r="J386" i="1"/>
  <c r="I386" i="1"/>
  <c r="G386" i="1"/>
  <c r="K385" i="1"/>
  <c r="J385" i="1"/>
  <c r="I385" i="1"/>
  <c r="G385" i="1"/>
  <c r="K384" i="1"/>
  <c r="J384" i="1"/>
  <c r="I384" i="1"/>
  <c r="G384" i="1"/>
  <c r="K383" i="1"/>
  <c r="J383" i="1"/>
  <c r="I383" i="1"/>
  <c r="G383" i="1"/>
  <c r="K382" i="1"/>
  <c r="J382" i="1"/>
  <c r="I382" i="1"/>
  <c r="G382" i="1"/>
  <c r="K381" i="1"/>
  <c r="J381" i="1"/>
  <c r="I381" i="1"/>
  <c r="G381" i="1"/>
  <c r="K380" i="1"/>
  <c r="J380" i="1"/>
  <c r="I380" i="1"/>
  <c r="G380" i="1"/>
  <c r="K379" i="1"/>
  <c r="J379" i="1"/>
  <c r="I379" i="1"/>
  <c r="G379" i="1"/>
  <c r="K378" i="1"/>
  <c r="J378" i="1"/>
  <c r="I378" i="1"/>
  <c r="G378" i="1"/>
  <c r="K377" i="1"/>
  <c r="J377" i="1"/>
  <c r="I377" i="1"/>
  <c r="G377" i="1"/>
  <c r="K376" i="1"/>
  <c r="J376" i="1"/>
  <c r="I376" i="1"/>
  <c r="G376" i="1"/>
  <c r="K375" i="1"/>
  <c r="J375" i="1"/>
  <c r="I375" i="1"/>
  <c r="G375" i="1"/>
  <c r="K374" i="1"/>
  <c r="J374" i="1"/>
  <c r="I374" i="1"/>
  <c r="G374" i="1"/>
  <c r="K373" i="1"/>
  <c r="J373" i="1"/>
  <c r="I373" i="1"/>
  <c r="G373" i="1"/>
  <c r="K372" i="1"/>
  <c r="J372" i="1"/>
  <c r="I372" i="1"/>
  <c r="G372" i="1"/>
  <c r="K371" i="1"/>
  <c r="J371" i="1"/>
  <c r="I371" i="1"/>
  <c r="G371" i="1"/>
  <c r="K370" i="1"/>
  <c r="J370" i="1"/>
  <c r="I370" i="1"/>
  <c r="G370" i="1"/>
  <c r="K369" i="1"/>
  <c r="J369" i="1"/>
  <c r="I369" i="1"/>
  <c r="G369" i="1"/>
  <c r="K368" i="1"/>
  <c r="J368" i="1"/>
  <c r="I368" i="1"/>
  <c r="G368" i="1"/>
  <c r="K367" i="1"/>
  <c r="J367" i="1"/>
  <c r="I367" i="1"/>
  <c r="G367" i="1"/>
  <c r="K366" i="1"/>
  <c r="J366" i="1"/>
  <c r="I366" i="1"/>
  <c r="G366" i="1"/>
  <c r="K365" i="1"/>
  <c r="J365" i="1"/>
  <c r="I365" i="1"/>
  <c r="G365" i="1"/>
  <c r="M365" i="1" s="1" a="1"/>
  <c r="M365" i="1" s="1"/>
  <c r="K364" i="1"/>
  <c r="J364" i="1"/>
  <c r="I364" i="1"/>
  <c r="G364" i="1"/>
  <c r="K363" i="1"/>
  <c r="J363" i="1"/>
  <c r="I363" i="1"/>
  <c r="G363" i="1"/>
  <c r="K362" i="1"/>
  <c r="J362" i="1"/>
  <c r="I362" i="1"/>
  <c r="G362" i="1"/>
  <c r="K361" i="1"/>
  <c r="J361" i="1"/>
  <c r="I361" i="1"/>
  <c r="G361" i="1"/>
  <c r="K360" i="1"/>
  <c r="J360" i="1"/>
  <c r="I360" i="1"/>
  <c r="G360" i="1"/>
  <c r="K359" i="1"/>
  <c r="J359" i="1"/>
  <c r="I359" i="1"/>
  <c r="G359" i="1"/>
  <c r="K358" i="1"/>
  <c r="J358" i="1"/>
  <c r="I358" i="1"/>
  <c r="G358" i="1"/>
  <c r="K357" i="1"/>
  <c r="J357" i="1"/>
  <c r="I357" i="1"/>
  <c r="G357" i="1"/>
  <c r="K356" i="1"/>
  <c r="J356" i="1"/>
  <c r="I356" i="1"/>
  <c r="G356" i="1"/>
  <c r="K355" i="1"/>
  <c r="J355" i="1"/>
  <c r="I355" i="1"/>
  <c r="G355" i="1"/>
  <c r="K354" i="1"/>
  <c r="J354" i="1"/>
  <c r="I354" i="1"/>
  <c r="G354" i="1"/>
  <c r="K353" i="1"/>
  <c r="J353" i="1"/>
  <c r="I353" i="1"/>
  <c r="G353" i="1"/>
  <c r="K352" i="1"/>
  <c r="J352" i="1"/>
  <c r="I352" i="1"/>
  <c r="G352" i="1"/>
  <c r="K351" i="1"/>
  <c r="J351" i="1"/>
  <c r="I351" i="1"/>
  <c r="G351" i="1"/>
  <c r="K350" i="1"/>
  <c r="J350" i="1"/>
  <c r="I350" i="1"/>
  <c r="G350" i="1"/>
  <c r="K349" i="1"/>
  <c r="J349" i="1"/>
  <c r="I349" i="1"/>
  <c r="G349" i="1"/>
  <c r="K348" i="1"/>
  <c r="J348" i="1"/>
  <c r="I348" i="1"/>
  <c r="G348" i="1"/>
  <c r="K347" i="1"/>
  <c r="J347" i="1"/>
  <c r="I347" i="1"/>
  <c r="G347" i="1"/>
  <c r="K346" i="1"/>
  <c r="J346" i="1"/>
  <c r="I346" i="1"/>
  <c r="G346" i="1"/>
  <c r="K345" i="1"/>
  <c r="J345" i="1"/>
  <c r="I345" i="1"/>
  <c r="G345" i="1"/>
  <c r="K344" i="1"/>
  <c r="J344" i="1"/>
  <c r="I344" i="1"/>
  <c r="G344" i="1"/>
  <c r="K343" i="1"/>
  <c r="J343" i="1"/>
  <c r="I343" i="1"/>
  <c r="G343" i="1"/>
  <c r="K342" i="1"/>
  <c r="J342" i="1"/>
  <c r="I342" i="1"/>
  <c r="G342" i="1"/>
  <c r="K341" i="1"/>
  <c r="J341" i="1"/>
  <c r="I341" i="1"/>
  <c r="G341" i="1"/>
  <c r="K340" i="1"/>
  <c r="J340" i="1"/>
  <c r="I340" i="1"/>
  <c r="G340" i="1"/>
  <c r="K339" i="1"/>
  <c r="J339" i="1"/>
  <c r="I339" i="1"/>
  <c r="M339" i="1" s="1" a="1"/>
  <c r="M339" i="1" s="1"/>
  <c r="N339" i="1" s="1"/>
  <c r="G339" i="1"/>
  <c r="K338" i="1"/>
  <c r="J338" i="1"/>
  <c r="I338" i="1"/>
  <c r="G338" i="1"/>
  <c r="K337" i="1"/>
  <c r="J337" i="1"/>
  <c r="I337" i="1"/>
  <c r="G337" i="1"/>
  <c r="K336" i="1"/>
  <c r="J336" i="1"/>
  <c r="I336" i="1"/>
  <c r="G336" i="1"/>
  <c r="K335" i="1"/>
  <c r="J335" i="1"/>
  <c r="I335" i="1"/>
  <c r="G335" i="1"/>
  <c r="K334" i="1"/>
  <c r="J334" i="1"/>
  <c r="I334" i="1"/>
  <c r="G334" i="1"/>
  <c r="K333" i="1"/>
  <c r="J333" i="1"/>
  <c r="I333" i="1"/>
  <c r="G333" i="1"/>
  <c r="K332" i="1"/>
  <c r="J332" i="1"/>
  <c r="I332" i="1"/>
  <c r="G332" i="1"/>
  <c r="K331" i="1"/>
  <c r="J331" i="1"/>
  <c r="I331" i="1"/>
  <c r="G331" i="1"/>
  <c r="K330" i="1"/>
  <c r="J330" i="1"/>
  <c r="I330" i="1"/>
  <c r="G330" i="1"/>
  <c r="K329" i="1"/>
  <c r="J329" i="1"/>
  <c r="I329" i="1"/>
  <c r="G329" i="1"/>
  <c r="K328" i="1"/>
  <c r="J328" i="1"/>
  <c r="I328" i="1"/>
  <c r="G328" i="1"/>
  <c r="K327" i="1"/>
  <c r="J327" i="1"/>
  <c r="I327" i="1"/>
  <c r="G327" i="1"/>
  <c r="K326" i="1"/>
  <c r="J326" i="1"/>
  <c r="I326" i="1"/>
  <c r="G326" i="1"/>
  <c r="K325" i="1"/>
  <c r="J325" i="1"/>
  <c r="I325" i="1"/>
  <c r="G325" i="1"/>
  <c r="K324" i="1"/>
  <c r="J324" i="1"/>
  <c r="I324" i="1"/>
  <c r="G324" i="1"/>
  <c r="K323" i="1"/>
  <c r="J323" i="1"/>
  <c r="I323" i="1"/>
  <c r="G323" i="1"/>
  <c r="K322" i="1"/>
  <c r="J322" i="1"/>
  <c r="I322" i="1"/>
  <c r="G322" i="1"/>
  <c r="K321" i="1"/>
  <c r="J321" i="1"/>
  <c r="I321" i="1"/>
  <c r="G321" i="1"/>
  <c r="K320" i="1"/>
  <c r="J320" i="1"/>
  <c r="I320" i="1"/>
  <c r="G320" i="1"/>
  <c r="K319" i="1"/>
  <c r="J319" i="1"/>
  <c r="I319" i="1"/>
  <c r="G319" i="1"/>
  <c r="K318" i="1"/>
  <c r="J318" i="1"/>
  <c r="I318" i="1"/>
  <c r="G318" i="1"/>
  <c r="K317" i="1"/>
  <c r="J317" i="1"/>
  <c r="I317" i="1"/>
  <c r="G317" i="1"/>
  <c r="K316" i="1"/>
  <c r="J316" i="1"/>
  <c r="I316" i="1"/>
  <c r="G316" i="1"/>
  <c r="K315" i="1"/>
  <c r="J315" i="1"/>
  <c r="I315" i="1"/>
  <c r="G315" i="1"/>
  <c r="K314" i="1"/>
  <c r="J314" i="1"/>
  <c r="I314" i="1"/>
  <c r="G314" i="1"/>
  <c r="K313" i="1"/>
  <c r="J313" i="1"/>
  <c r="I313" i="1"/>
  <c r="G313" i="1"/>
  <c r="K312" i="1"/>
  <c r="J312" i="1"/>
  <c r="I312" i="1"/>
  <c r="G312" i="1"/>
  <c r="K311" i="1"/>
  <c r="J311" i="1"/>
  <c r="I311" i="1"/>
  <c r="G311" i="1"/>
  <c r="K310" i="1"/>
  <c r="J310" i="1"/>
  <c r="I310" i="1"/>
  <c r="G310" i="1"/>
  <c r="K309" i="1"/>
  <c r="J309" i="1"/>
  <c r="I309" i="1"/>
  <c r="G309" i="1"/>
  <c r="K308" i="1"/>
  <c r="J308" i="1"/>
  <c r="I308" i="1"/>
  <c r="G308" i="1"/>
  <c r="K307" i="1"/>
  <c r="J307" i="1"/>
  <c r="I307" i="1"/>
  <c r="G307" i="1"/>
  <c r="K306" i="1"/>
  <c r="J306" i="1"/>
  <c r="I306" i="1"/>
  <c r="G306" i="1"/>
  <c r="K305" i="1"/>
  <c r="J305" i="1"/>
  <c r="I305" i="1"/>
  <c r="G305" i="1"/>
  <c r="K304" i="1"/>
  <c r="J304" i="1"/>
  <c r="I304" i="1"/>
  <c r="G304" i="1"/>
  <c r="K303" i="1"/>
  <c r="J303" i="1"/>
  <c r="I303" i="1"/>
  <c r="G303" i="1"/>
  <c r="K302" i="1"/>
  <c r="J302" i="1"/>
  <c r="I302" i="1"/>
  <c r="G302" i="1"/>
  <c r="K301" i="1"/>
  <c r="J301" i="1"/>
  <c r="I301" i="1"/>
  <c r="G301" i="1"/>
  <c r="K300" i="1"/>
  <c r="J300" i="1"/>
  <c r="I300" i="1"/>
  <c r="G300" i="1"/>
  <c r="K299" i="1"/>
  <c r="J299" i="1"/>
  <c r="I299" i="1"/>
  <c r="G299" i="1"/>
  <c r="K298" i="1"/>
  <c r="J298" i="1"/>
  <c r="I298" i="1"/>
  <c r="G298" i="1"/>
  <c r="K297" i="1"/>
  <c r="J297" i="1"/>
  <c r="I297" i="1"/>
  <c r="G297" i="1"/>
  <c r="K296" i="1"/>
  <c r="J296" i="1"/>
  <c r="I296" i="1"/>
  <c r="G296" i="1"/>
  <c r="K295" i="1"/>
  <c r="J295" i="1"/>
  <c r="I295" i="1"/>
  <c r="G295" i="1"/>
  <c r="K294" i="1"/>
  <c r="J294" i="1"/>
  <c r="I294" i="1"/>
  <c r="G294" i="1"/>
  <c r="K293" i="1"/>
  <c r="J293" i="1"/>
  <c r="I293" i="1"/>
  <c r="M293" i="1" s="1" a="1"/>
  <c r="M293" i="1" s="1"/>
  <c r="G293" i="1"/>
  <c r="K292" i="1"/>
  <c r="J292" i="1"/>
  <c r="I292" i="1"/>
  <c r="G292" i="1"/>
  <c r="K291" i="1"/>
  <c r="J291" i="1"/>
  <c r="I291" i="1"/>
  <c r="G291" i="1"/>
  <c r="K290" i="1"/>
  <c r="J290" i="1"/>
  <c r="I290" i="1"/>
  <c r="G290" i="1"/>
  <c r="K289" i="1"/>
  <c r="J289" i="1"/>
  <c r="I289" i="1"/>
  <c r="G289" i="1"/>
  <c r="K288" i="1"/>
  <c r="J288" i="1"/>
  <c r="I288" i="1"/>
  <c r="G288" i="1"/>
  <c r="K287" i="1"/>
  <c r="J287" i="1"/>
  <c r="I287" i="1"/>
  <c r="G287" i="1"/>
  <c r="K286" i="1"/>
  <c r="J286" i="1"/>
  <c r="I286" i="1"/>
  <c r="G286" i="1"/>
  <c r="K285" i="1"/>
  <c r="J285" i="1"/>
  <c r="I285" i="1"/>
  <c r="G285" i="1"/>
  <c r="K284" i="1"/>
  <c r="J284" i="1"/>
  <c r="I284" i="1"/>
  <c r="G284" i="1"/>
  <c r="K283" i="1"/>
  <c r="J283" i="1"/>
  <c r="I283" i="1"/>
  <c r="G283" i="1"/>
  <c r="K282" i="1"/>
  <c r="J282" i="1"/>
  <c r="I282" i="1"/>
  <c r="G282" i="1"/>
  <c r="K281" i="1"/>
  <c r="J281" i="1"/>
  <c r="I281" i="1"/>
  <c r="G281" i="1"/>
  <c r="K280" i="1"/>
  <c r="J280" i="1"/>
  <c r="I280" i="1"/>
  <c r="G280" i="1"/>
  <c r="K279" i="1"/>
  <c r="J279" i="1"/>
  <c r="I279" i="1"/>
  <c r="G279" i="1"/>
  <c r="K278" i="1"/>
  <c r="J278" i="1"/>
  <c r="I278" i="1"/>
  <c r="G278" i="1"/>
  <c r="K277" i="1"/>
  <c r="J277" i="1"/>
  <c r="I277" i="1"/>
  <c r="G277" i="1"/>
  <c r="K276" i="1"/>
  <c r="J276" i="1"/>
  <c r="I276" i="1"/>
  <c r="G276" i="1"/>
  <c r="K275" i="1"/>
  <c r="J275" i="1"/>
  <c r="I275" i="1"/>
  <c r="G275" i="1"/>
  <c r="K274" i="1"/>
  <c r="J274" i="1"/>
  <c r="I274" i="1"/>
  <c r="G274" i="1"/>
  <c r="K273" i="1"/>
  <c r="J273" i="1"/>
  <c r="I273" i="1"/>
  <c r="G273" i="1"/>
  <c r="K272" i="1"/>
  <c r="J272" i="1"/>
  <c r="I272" i="1"/>
  <c r="G272" i="1"/>
  <c r="K271" i="1"/>
  <c r="J271" i="1"/>
  <c r="I271" i="1"/>
  <c r="G271" i="1"/>
  <c r="K270" i="1"/>
  <c r="J270" i="1"/>
  <c r="I270" i="1"/>
  <c r="G270" i="1"/>
  <c r="K269" i="1"/>
  <c r="J269" i="1"/>
  <c r="I269" i="1"/>
  <c r="G269" i="1"/>
  <c r="K268" i="1"/>
  <c r="J268" i="1"/>
  <c r="I268" i="1"/>
  <c r="G268" i="1"/>
  <c r="K267" i="1"/>
  <c r="J267" i="1"/>
  <c r="I267" i="1"/>
  <c r="G267" i="1"/>
  <c r="K266" i="1"/>
  <c r="J266" i="1"/>
  <c r="I266" i="1"/>
  <c r="G266" i="1"/>
  <c r="K265" i="1"/>
  <c r="J265" i="1"/>
  <c r="I265" i="1"/>
  <c r="G265" i="1"/>
  <c r="K264" i="1"/>
  <c r="J264" i="1"/>
  <c r="I264" i="1"/>
  <c r="G264" i="1"/>
  <c r="K263" i="1"/>
  <c r="J263" i="1"/>
  <c r="I263" i="1"/>
  <c r="G263" i="1"/>
  <c r="K262" i="1"/>
  <c r="J262" i="1"/>
  <c r="I262" i="1"/>
  <c r="G262" i="1"/>
  <c r="K261" i="1"/>
  <c r="J261" i="1"/>
  <c r="I261" i="1"/>
  <c r="G261" i="1"/>
  <c r="K260" i="1"/>
  <c r="J260" i="1"/>
  <c r="I260" i="1"/>
  <c r="G260" i="1"/>
  <c r="K259" i="1"/>
  <c r="J259" i="1"/>
  <c r="I259" i="1"/>
  <c r="G259" i="1"/>
  <c r="K258" i="1"/>
  <c r="J258" i="1"/>
  <c r="I258" i="1"/>
  <c r="G258" i="1"/>
  <c r="K257" i="1"/>
  <c r="J257" i="1"/>
  <c r="I257" i="1"/>
  <c r="G257" i="1"/>
  <c r="K256" i="1"/>
  <c r="J256" i="1"/>
  <c r="I256" i="1"/>
  <c r="G256" i="1"/>
  <c r="K255" i="1"/>
  <c r="J255" i="1"/>
  <c r="I255" i="1"/>
  <c r="G255" i="1"/>
  <c r="K254" i="1"/>
  <c r="J254" i="1"/>
  <c r="I254" i="1"/>
  <c r="G254" i="1"/>
  <c r="K253" i="1"/>
  <c r="J253" i="1"/>
  <c r="I253" i="1"/>
  <c r="G253" i="1"/>
  <c r="K252" i="1"/>
  <c r="J252" i="1"/>
  <c r="I252" i="1"/>
  <c r="G252" i="1"/>
  <c r="K251" i="1"/>
  <c r="J251" i="1"/>
  <c r="I251" i="1"/>
  <c r="G251" i="1"/>
  <c r="K250" i="1"/>
  <c r="J250" i="1"/>
  <c r="I250" i="1"/>
  <c r="G250" i="1"/>
  <c r="K249" i="1"/>
  <c r="J249" i="1"/>
  <c r="I249" i="1"/>
  <c r="G249" i="1"/>
  <c r="K248" i="1"/>
  <c r="J248" i="1"/>
  <c r="I248" i="1"/>
  <c r="G248" i="1"/>
  <c r="K247" i="1"/>
  <c r="J247" i="1"/>
  <c r="I247" i="1"/>
  <c r="G247" i="1"/>
  <c r="K246" i="1"/>
  <c r="J246" i="1"/>
  <c r="I246" i="1"/>
  <c r="G246" i="1"/>
  <c r="K245" i="1"/>
  <c r="J245" i="1"/>
  <c r="I245" i="1"/>
  <c r="G245" i="1"/>
  <c r="K244" i="1"/>
  <c r="J244" i="1"/>
  <c r="I244" i="1"/>
  <c r="G244" i="1"/>
  <c r="K243" i="1"/>
  <c r="J243" i="1"/>
  <c r="I243" i="1"/>
  <c r="G243" i="1"/>
  <c r="K242" i="1"/>
  <c r="J242" i="1"/>
  <c r="I242" i="1"/>
  <c r="G242" i="1"/>
  <c r="K241" i="1"/>
  <c r="J241" i="1"/>
  <c r="I241" i="1"/>
  <c r="G241" i="1"/>
  <c r="K240" i="1"/>
  <c r="J240" i="1"/>
  <c r="I240" i="1"/>
  <c r="G240" i="1"/>
  <c r="K239" i="1"/>
  <c r="J239" i="1"/>
  <c r="I239" i="1"/>
  <c r="G239" i="1"/>
  <c r="K238" i="1"/>
  <c r="J238" i="1"/>
  <c r="I238" i="1"/>
  <c r="G238" i="1"/>
  <c r="K237" i="1"/>
  <c r="J237" i="1"/>
  <c r="I237" i="1"/>
  <c r="G237" i="1"/>
  <c r="K236" i="1"/>
  <c r="J236" i="1"/>
  <c r="I236" i="1"/>
  <c r="G236" i="1"/>
  <c r="K235" i="1"/>
  <c r="J235" i="1"/>
  <c r="I235" i="1"/>
  <c r="G235" i="1"/>
  <c r="K234" i="1"/>
  <c r="J234" i="1"/>
  <c r="I234" i="1"/>
  <c r="G234" i="1"/>
  <c r="K233" i="1"/>
  <c r="J233" i="1"/>
  <c r="I233" i="1"/>
  <c r="G233" i="1"/>
  <c r="K232" i="1"/>
  <c r="J232" i="1"/>
  <c r="I232" i="1"/>
  <c r="G232" i="1"/>
  <c r="K231" i="1"/>
  <c r="J231" i="1"/>
  <c r="I231" i="1"/>
  <c r="G231" i="1"/>
  <c r="K230" i="1"/>
  <c r="J230" i="1"/>
  <c r="I230" i="1"/>
  <c r="G230" i="1"/>
  <c r="K229" i="1"/>
  <c r="J229" i="1"/>
  <c r="I229" i="1"/>
  <c r="G229" i="1"/>
  <c r="K228" i="1"/>
  <c r="J228" i="1"/>
  <c r="I228" i="1"/>
  <c r="G228" i="1"/>
  <c r="K227" i="1"/>
  <c r="J227" i="1"/>
  <c r="I227" i="1"/>
  <c r="G227" i="1"/>
  <c r="K226" i="1"/>
  <c r="J226" i="1"/>
  <c r="I226" i="1"/>
  <c r="G226" i="1"/>
  <c r="K225" i="1"/>
  <c r="J225" i="1"/>
  <c r="I225" i="1"/>
  <c r="G225" i="1"/>
  <c r="K224" i="1"/>
  <c r="J224" i="1"/>
  <c r="I224" i="1"/>
  <c r="G224" i="1"/>
  <c r="K223" i="1"/>
  <c r="J223" i="1"/>
  <c r="I223" i="1"/>
  <c r="G223" i="1"/>
  <c r="K222" i="1"/>
  <c r="J222" i="1"/>
  <c r="I222" i="1"/>
  <c r="G222" i="1"/>
  <c r="K221" i="1"/>
  <c r="J221" i="1"/>
  <c r="I221" i="1"/>
  <c r="G221" i="1"/>
  <c r="K220" i="1"/>
  <c r="J220" i="1"/>
  <c r="I220" i="1"/>
  <c r="G220" i="1"/>
  <c r="K219" i="1"/>
  <c r="J219" i="1"/>
  <c r="I219" i="1"/>
  <c r="G219" i="1"/>
  <c r="K218" i="1"/>
  <c r="J218" i="1"/>
  <c r="I218" i="1"/>
  <c r="G218" i="1"/>
  <c r="K217" i="1"/>
  <c r="J217" i="1"/>
  <c r="I217" i="1"/>
  <c r="G217" i="1"/>
  <c r="K216" i="1"/>
  <c r="J216" i="1"/>
  <c r="I216" i="1"/>
  <c r="G216" i="1"/>
  <c r="K215" i="1"/>
  <c r="J215" i="1"/>
  <c r="I215" i="1"/>
  <c r="G215" i="1"/>
  <c r="K214" i="1"/>
  <c r="J214" i="1"/>
  <c r="I214" i="1"/>
  <c r="G214" i="1"/>
  <c r="K213" i="1"/>
  <c r="J213" i="1"/>
  <c r="I213" i="1"/>
  <c r="G213" i="1"/>
  <c r="K212" i="1"/>
  <c r="J212" i="1"/>
  <c r="I212" i="1"/>
  <c r="G212" i="1"/>
  <c r="K211" i="1"/>
  <c r="J211" i="1"/>
  <c r="I211" i="1"/>
  <c r="G211" i="1"/>
  <c r="K210" i="1"/>
  <c r="J210" i="1"/>
  <c r="I210" i="1"/>
  <c r="G210" i="1"/>
  <c r="K209" i="1"/>
  <c r="J209" i="1"/>
  <c r="I209" i="1"/>
  <c r="G209" i="1"/>
  <c r="K208" i="1"/>
  <c r="J208" i="1"/>
  <c r="I208" i="1"/>
  <c r="M208" i="1" s="1" a="1"/>
  <c r="M208" i="1" s="1"/>
  <c r="G208" i="1"/>
  <c r="K207" i="1"/>
  <c r="J207" i="1"/>
  <c r="I207" i="1"/>
  <c r="G207" i="1"/>
  <c r="K206" i="1"/>
  <c r="J206" i="1"/>
  <c r="I206" i="1"/>
  <c r="G206" i="1"/>
  <c r="K205" i="1"/>
  <c r="J205" i="1"/>
  <c r="I205" i="1"/>
  <c r="G205" i="1"/>
  <c r="K204" i="1"/>
  <c r="J204" i="1"/>
  <c r="I204" i="1"/>
  <c r="G204" i="1"/>
  <c r="K203" i="1"/>
  <c r="J203" i="1"/>
  <c r="I203" i="1"/>
  <c r="G203" i="1"/>
  <c r="K202" i="1"/>
  <c r="J202" i="1"/>
  <c r="I202" i="1"/>
  <c r="G202" i="1"/>
  <c r="K201" i="1"/>
  <c r="J201" i="1"/>
  <c r="I201" i="1"/>
  <c r="G201" i="1"/>
  <c r="K200" i="1"/>
  <c r="J200" i="1"/>
  <c r="I200" i="1"/>
  <c r="G200" i="1"/>
  <c r="K199" i="1"/>
  <c r="J199" i="1"/>
  <c r="I199" i="1"/>
  <c r="G199" i="1"/>
  <c r="K198" i="1"/>
  <c r="J198" i="1"/>
  <c r="I198" i="1"/>
  <c r="G198" i="1"/>
  <c r="K197" i="1"/>
  <c r="J197" i="1"/>
  <c r="I197" i="1"/>
  <c r="G197" i="1"/>
  <c r="K196" i="1"/>
  <c r="J196" i="1"/>
  <c r="I196" i="1"/>
  <c r="G196" i="1"/>
  <c r="K195" i="1"/>
  <c r="J195" i="1"/>
  <c r="I195" i="1"/>
  <c r="G195" i="1"/>
  <c r="K194" i="1"/>
  <c r="J194" i="1"/>
  <c r="I194" i="1"/>
  <c r="G194" i="1"/>
  <c r="K193" i="1"/>
  <c r="J193" i="1"/>
  <c r="I193" i="1"/>
  <c r="G193" i="1"/>
  <c r="K192" i="1"/>
  <c r="J192" i="1"/>
  <c r="I192" i="1"/>
  <c r="G192" i="1"/>
  <c r="K191" i="1"/>
  <c r="J191" i="1"/>
  <c r="I191" i="1"/>
  <c r="G191" i="1"/>
  <c r="K190" i="1"/>
  <c r="J190" i="1"/>
  <c r="I190" i="1"/>
  <c r="G190" i="1"/>
  <c r="K189" i="1"/>
  <c r="J189" i="1"/>
  <c r="I189" i="1"/>
  <c r="G189" i="1"/>
  <c r="K188" i="1"/>
  <c r="J188" i="1"/>
  <c r="I188" i="1"/>
  <c r="G188" i="1"/>
  <c r="K187" i="1"/>
  <c r="J187" i="1"/>
  <c r="I187" i="1"/>
  <c r="G187" i="1"/>
  <c r="K186" i="1"/>
  <c r="J186" i="1"/>
  <c r="I186" i="1"/>
  <c r="G186" i="1"/>
  <c r="K185" i="1"/>
  <c r="J185" i="1"/>
  <c r="I185" i="1"/>
  <c r="G185" i="1"/>
  <c r="K184" i="1"/>
  <c r="J184" i="1"/>
  <c r="I184" i="1"/>
  <c r="G184" i="1"/>
  <c r="K183" i="1"/>
  <c r="J183" i="1"/>
  <c r="I183" i="1"/>
  <c r="G183" i="1"/>
  <c r="K182" i="1"/>
  <c r="J182" i="1"/>
  <c r="I182" i="1"/>
  <c r="G182" i="1"/>
  <c r="K181" i="1"/>
  <c r="J181" i="1"/>
  <c r="I181" i="1"/>
  <c r="G181" i="1"/>
  <c r="K180" i="1"/>
  <c r="J180" i="1"/>
  <c r="I180" i="1"/>
  <c r="G180" i="1"/>
  <c r="K179" i="1"/>
  <c r="J179" i="1"/>
  <c r="I179" i="1"/>
  <c r="G179" i="1"/>
  <c r="K178" i="1"/>
  <c r="J178" i="1"/>
  <c r="I178" i="1"/>
  <c r="G178" i="1"/>
  <c r="K177" i="1"/>
  <c r="J177" i="1"/>
  <c r="I177" i="1"/>
  <c r="G177" i="1"/>
  <c r="K176" i="1"/>
  <c r="J176" i="1"/>
  <c r="I176" i="1"/>
  <c r="G176" i="1"/>
  <c r="K175" i="1"/>
  <c r="J175" i="1"/>
  <c r="I175" i="1"/>
  <c r="G175" i="1"/>
  <c r="K174" i="1"/>
  <c r="J174" i="1"/>
  <c r="I174" i="1"/>
  <c r="G174" i="1"/>
  <c r="K173" i="1"/>
  <c r="J173" i="1"/>
  <c r="I173" i="1"/>
  <c r="G173" i="1"/>
  <c r="K172" i="1"/>
  <c r="J172" i="1"/>
  <c r="I172" i="1"/>
  <c r="G172" i="1"/>
  <c r="K171" i="1"/>
  <c r="J171" i="1"/>
  <c r="I171" i="1"/>
  <c r="G171" i="1"/>
  <c r="K170" i="1"/>
  <c r="J170" i="1"/>
  <c r="I170" i="1"/>
  <c r="G170" i="1"/>
  <c r="K169" i="1"/>
  <c r="J169" i="1"/>
  <c r="I169" i="1"/>
  <c r="G169" i="1"/>
  <c r="K168" i="1"/>
  <c r="J168" i="1"/>
  <c r="I168" i="1"/>
  <c r="G168" i="1"/>
  <c r="K167" i="1"/>
  <c r="J167" i="1"/>
  <c r="I167" i="1"/>
  <c r="G167" i="1"/>
  <c r="K166" i="1"/>
  <c r="J166" i="1"/>
  <c r="I166" i="1"/>
  <c r="G166" i="1"/>
  <c r="K165" i="1"/>
  <c r="J165" i="1"/>
  <c r="I165" i="1"/>
  <c r="G165" i="1"/>
  <c r="K164" i="1"/>
  <c r="J164" i="1"/>
  <c r="I164" i="1"/>
  <c r="G164" i="1"/>
  <c r="K163" i="1"/>
  <c r="J163" i="1"/>
  <c r="I163" i="1"/>
  <c r="G163" i="1"/>
  <c r="K162" i="1"/>
  <c r="J162" i="1"/>
  <c r="I162" i="1"/>
  <c r="G162" i="1"/>
  <c r="K161" i="1"/>
  <c r="J161" i="1"/>
  <c r="I161" i="1"/>
  <c r="G161" i="1"/>
  <c r="K160" i="1"/>
  <c r="J160" i="1"/>
  <c r="I160" i="1"/>
  <c r="G160" i="1"/>
  <c r="K159" i="1"/>
  <c r="J159" i="1"/>
  <c r="I159" i="1"/>
  <c r="G159" i="1"/>
  <c r="K158" i="1"/>
  <c r="J158" i="1"/>
  <c r="I158" i="1"/>
  <c r="G158" i="1"/>
  <c r="K157" i="1"/>
  <c r="J157" i="1"/>
  <c r="I157" i="1"/>
  <c r="G157" i="1"/>
  <c r="K156" i="1"/>
  <c r="J156" i="1"/>
  <c r="I156" i="1"/>
  <c r="G156" i="1"/>
  <c r="K155" i="1"/>
  <c r="J155" i="1"/>
  <c r="I155" i="1"/>
  <c r="G155" i="1"/>
  <c r="K154" i="1"/>
  <c r="J154" i="1"/>
  <c r="I154" i="1"/>
  <c r="G154" i="1"/>
  <c r="K153" i="1"/>
  <c r="J153" i="1"/>
  <c r="I153" i="1"/>
  <c r="G153" i="1"/>
  <c r="K152" i="1"/>
  <c r="J152" i="1"/>
  <c r="I152" i="1"/>
  <c r="G152" i="1"/>
  <c r="K151" i="1"/>
  <c r="J151" i="1"/>
  <c r="I151" i="1"/>
  <c r="G151" i="1"/>
  <c r="K150" i="1"/>
  <c r="J150" i="1"/>
  <c r="I150" i="1"/>
  <c r="G150" i="1"/>
  <c r="K149" i="1"/>
  <c r="J149" i="1"/>
  <c r="I149" i="1"/>
  <c r="G149" i="1"/>
  <c r="K148" i="1"/>
  <c r="J148" i="1"/>
  <c r="I148" i="1"/>
  <c r="G148" i="1"/>
  <c r="K147" i="1"/>
  <c r="J147" i="1"/>
  <c r="I147" i="1"/>
  <c r="G147" i="1"/>
  <c r="K146" i="1"/>
  <c r="J146" i="1"/>
  <c r="I146" i="1"/>
  <c r="G146" i="1"/>
  <c r="K145" i="1"/>
  <c r="J145" i="1"/>
  <c r="I145" i="1"/>
  <c r="G145" i="1"/>
  <c r="K144" i="1"/>
  <c r="J144" i="1"/>
  <c r="I144" i="1"/>
  <c r="G144" i="1"/>
  <c r="K143" i="1"/>
  <c r="J143" i="1"/>
  <c r="I143" i="1"/>
  <c r="G143" i="1"/>
  <c r="K142" i="1"/>
  <c r="J142" i="1"/>
  <c r="I142" i="1"/>
  <c r="G142" i="1"/>
  <c r="K141" i="1"/>
  <c r="J141" i="1"/>
  <c r="I141" i="1"/>
  <c r="G141" i="1"/>
  <c r="K140" i="1"/>
  <c r="J140" i="1"/>
  <c r="I140" i="1"/>
  <c r="G140" i="1"/>
  <c r="K139" i="1"/>
  <c r="J139" i="1"/>
  <c r="I139" i="1"/>
  <c r="M139" i="1" s="1" a="1"/>
  <c r="M139" i="1" s="1"/>
  <c r="G139" i="1"/>
  <c r="K138" i="1"/>
  <c r="J138" i="1"/>
  <c r="I138" i="1"/>
  <c r="G138" i="1"/>
  <c r="K137" i="1"/>
  <c r="J137" i="1"/>
  <c r="I137" i="1"/>
  <c r="G137" i="1"/>
  <c r="K136" i="1"/>
  <c r="J136" i="1"/>
  <c r="I136" i="1"/>
  <c r="G136" i="1"/>
  <c r="K135" i="1"/>
  <c r="J135" i="1"/>
  <c r="I135" i="1"/>
  <c r="G135" i="1"/>
  <c r="K134" i="1"/>
  <c r="J134" i="1"/>
  <c r="I134" i="1"/>
  <c r="G134" i="1"/>
  <c r="K133" i="1"/>
  <c r="J133" i="1"/>
  <c r="I133" i="1"/>
  <c r="G133" i="1"/>
  <c r="K132" i="1"/>
  <c r="J132" i="1"/>
  <c r="I132" i="1"/>
  <c r="G132" i="1"/>
  <c r="K131" i="1"/>
  <c r="J131" i="1"/>
  <c r="I131" i="1"/>
  <c r="G131" i="1"/>
  <c r="K130" i="1"/>
  <c r="J130" i="1"/>
  <c r="I130" i="1"/>
  <c r="G130" i="1"/>
  <c r="K129" i="1"/>
  <c r="J129" i="1"/>
  <c r="I129" i="1"/>
  <c r="G129" i="1"/>
  <c r="K128" i="1"/>
  <c r="J128" i="1"/>
  <c r="I128" i="1"/>
  <c r="G128" i="1"/>
  <c r="K127" i="1"/>
  <c r="J127" i="1"/>
  <c r="I127" i="1"/>
  <c r="G127" i="1"/>
  <c r="K126" i="1"/>
  <c r="J126" i="1"/>
  <c r="I126" i="1"/>
  <c r="G126" i="1"/>
  <c r="K125" i="1"/>
  <c r="J125" i="1"/>
  <c r="I125" i="1"/>
  <c r="G125" i="1"/>
  <c r="K124" i="1"/>
  <c r="J124" i="1"/>
  <c r="I124" i="1"/>
  <c r="G124" i="1"/>
  <c r="K123" i="1"/>
  <c r="J123" i="1"/>
  <c r="I123" i="1"/>
  <c r="G123" i="1"/>
  <c r="K122" i="1"/>
  <c r="J122" i="1"/>
  <c r="I122" i="1"/>
  <c r="G122" i="1"/>
  <c r="K121" i="1"/>
  <c r="J121" i="1"/>
  <c r="I121" i="1"/>
  <c r="G121" i="1"/>
  <c r="K120" i="1"/>
  <c r="J120" i="1"/>
  <c r="I120" i="1"/>
  <c r="G120" i="1"/>
  <c r="K119" i="1"/>
  <c r="J119" i="1"/>
  <c r="I119" i="1"/>
  <c r="G119" i="1"/>
  <c r="K118" i="1"/>
  <c r="J118" i="1"/>
  <c r="I118" i="1"/>
  <c r="G118" i="1"/>
  <c r="K117" i="1"/>
  <c r="J117" i="1"/>
  <c r="I117" i="1"/>
  <c r="G117" i="1"/>
  <c r="K116" i="1"/>
  <c r="J116" i="1"/>
  <c r="I116" i="1"/>
  <c r="G116" i="1"/>
  <c r="K115" i="1"/>
  <c r="J115" i="1"/>
  <c r="I115" i="1"/>
  <c r="G115" i="1"/>
  <c r="K114" i="1"/>
  <c r="J114" i="1"/>
  <c r="I114" i="1"/>
  <c r="G114" i="1"/>
  <c r="K113" i="1"/>
  <c r="J113" i="1"/>
  <c r="I113" i="1"/>
  <c r="G113" i="1"/>
  <c r="K112" i="1"/>
  <c r="J112" i="1"/>
  <c r="I112" i="1"/>
  <c r="G112" i="1"/>
  <c r="K111" i="1"/>
  <c r="J111" i="1"/>
  <c r="I111" i="1"/>
  <c r="G111" i="1"/>
  <c r="K110" i="1"/>
  <c r="J110" i="1"/>
  <c r="I110" i="1"/>
  <c r="G110" i="1"/>
  <c r="K109" i="1"/>
  <c r="J109" i="1"/>
  <c r="I109" i="1"/>
  <c r="G109" i="1"/>
  <c r="K108" i="1"/>
  <c r="J108" i="1"/>
  <c r="I108" i="1"/>
  <c r="G108" i="1"/>
  <c r="K107" i="1"/>
  <c r="J107" i="1"/>
  <c r="I107" i="1"/>
  <c r="G107" i="1"/>
  <c r="K106" i="1"/>
  <c r="J106" i="1"/>
  <c r="I106" i="1"/>
  <c r="G106" i="1"/>
  <c r="K105" i="1"/>
  <c r="J105" i="1"/>
  <c r="I105" i="1"/>
  <c r="G105" i="1"/>
  <c r="K104" i="1"/>
  <c r="J104" i="1"/>
  <c r="I104" i="1"/>
  <c r="G104" i="1"/>
  <c r="K103" i="1"/>
  <c r="J103" i="1"/>
  <c r="I103" i="1"/>
  <c r="G103" i="1"/>
  <c r="K102" i="1"/>
  <c r="J102" i="1"/>
  <c r="I102" i="1"/>
  <c r="G102" i="1"/>
  <c r="K101" i="1"/>
  <c r="J101" i="1"/>
  <c r="I101" i="1"/>
  <c r="G101" i="1"/>
  <c r="K100" i="1"/>
  <c r="J100" i="1"/>
  <c r="I100" i="1"/>
  <c r="G100" i="1"/>
  <c r="K99" i="1"/>
  <c r="J99" i="1"/>
  <c r="I99" i="1"/>
  <c r="G99" i="1"/>
  <c r="K98" i="1"/>
  <c r="J98" i="1"/>
  <c r="I98" i="1"/>
  <c r="G98" i="1"/>
  <c r="K97" i="1"/>
  <c r="J97" i="1"/>
  <c r="I97" i="1"/>
  <c r="G97" i="1"/>
  <c r="K96" i="1"/>
  <c r="J96" i="1"/>
  <c r="I96" i="1"/>
  <c r="G96" i="1"/>
  <c r="K95" i="1"/>
  <c r="J95" i="1"/>
  <c r="I95" i="1"/>
  <c r="G95" i="1"/>
  <c r="K94" i="1"/>
  <c r="J94" i="1"/>
  <c r="I94" i="1"/>
  <c r="G94" i="1"/>
  <c r="K93" i="1"/>
  <c r="J93" i="1"/>
  <c r="I93" i="1"/>
  <c r="G93" i="1"/>
  <c r="K92" i="1"/>
  <c r="J92" i="1"/>
  <c r="I92" i="1"/>
  <c r="G92" i="1"/>
  <c r="K91" i="1"/>
  <c r="J91" i="1"/>
  <c r="I91" i="1"/>
  <c r="G91" i="1"/>
  <c r="K90" i="1"/>
  <c r="J90" i="1"/>
  <c r="I90" i="1"/>
  <c r="G90" i="1"/>
  <c r="K89" i="1"/>
  <c r="J89" i="1"/>
  <c r="I89" i="1"/>
  <c r="G89" i="1"/>
  <c r="K88" i="1"/>
  <c r="J88" i="1"/>
  <c r="I88" i="1"/>
  <c r="G88" i="1"/>
  <c r="K87" i="1"/>
  <c r="J87" i="1"/>
  <c r="I87" i="1"/>
  <c r="G87" i="1"/>
  <c r="K86" i="1"/>
  <c r="J86" i="1"/>
  <c r="I86" i="1"/>
  <c r="G86" i="1"/>
  <c r="K85" i="1"/>
  <c r="J85" i="1"/>
  <c r="I85" i="1"/>
  <c r="G85" i="1"/>
  <c r="K84" i="1"/>
  <c r="J84" i="1"/>
  <c r="I84" i="1"/>
  <c r="G84" i="1"/>
  <c r="K83" i="1"/>
  <c r="J83" i="1"/>
  <c r="I83" i="1"/>
  <c r="G83" i="1"/>
  <c r="K82" i="1"/>
  <c r="J82" i="1"/>
  <c r="I82" i="1"/>
  <c r="G82" i="1"/>
  <c r="K81" i="1"/>
  <c r="J81" i="1"/>
  <c r="I81" i="1"/>
  <c r="G81" i="1"/>
  <c r="K80" i="1"/>
  <c r="J80" i="1"/>
  <c r="I80" i="1"/>
  <c r="G80" i="1"/>
  <c r="K79" i="1"/>
  <c r="J79" i="1"/>
  <c r="I79" i="1"/>
  <c r="G79" i="1"/>
  <c r="K78" i="1"/>
  <c r="J78" i="1"/>
  <c r="I78" i="1"/>
  <c r="G78" i="1"/>
  <c r="K77" i="1"/>
  <c r="J77" i="1"/>
  <c r="I77" i="1"/>
  <c r="G77" i="1"/>
  <c r="K76" i="1"/>
  <c r="J76" i="1"/>
  <c r="I76" i="1"/>
  <c r="G76" i="1"/>
  <c r="K75" i="1"/>
  <c r="J75" i="1"/>
  <c r="I75" i="1"/>
  <c r="G75" i="1"/>
  <c r="K74" i="1"/>
  <c r="J74" i="1"/>
  <c r="I74" i="1"/>
  <c r="G74" i="1"/>
  <c r="K73" i="1"/>
  <c r="J73" i="1"/>
  <c r="I73" i="1"/>
  <c r="G73" i="1"/>
  <c r="K72" i="1"/>
  <c r="J72" i="1"/>
  <c r="I72" i="1"/>
  <c r="G72" i="1"/>
  <c r="K71" i="1"/>
  <c r="J71" i="1"/>
  <c r="I71" i="1"/>
  <c r="G71" i="1"/>
  <c r="K70" i="1"/>
  <c r="J70" i="1"/>
  <c r="I70" i="1"/>
  <c r="G70" i="1"/>
  <c r="K69" i="1"/>
  <c r="J69" i="1"/>
  <c r="I69" i="1"/>
  <c r="G69" i="1"/>
  <c r="K68" i="1"/>
  <c r="J68" i="1"/>
  <c r="I68" i="1"/>
  <c r="G68" i="1"/>
  <c r="K67" i="1"/>
  <c r="J67" i="1"/>
  <c r="I67" i="1"/>
  <c r="G67" i="1"/>
  <c r="K66" i="1"/>
  <c r="J66" i="1"/>
  <c r="I66" i="1"/>
  <c r="G66" i="1"/>
  <c r="K65" i="1"/>
  <c r="J65" i="1"/>
  <c r="I65" i="1"/>
  <c r="G65" i="1"/>
  <c r="K64" i="1"/>
  <c r="J64" i="1"/>
  <c r="I64" i="1"/>
  <c r="G64" i="1"/>
  <c r="K63" i="1"/>
  <c r="J63" i="1"/>
  <c r="I63" i="1"/>
  <c r="G63" i="1"/>
  <c r="K62" i="1"/>
  <c r="J62" i="1"/>
  <c r="I62" i="1"/>
  <c r="G62" i="1"/>
  <c r="K61" i="1"/>
  <c r="J61" i="1"/>
  <c r="I61" i="1"/>
  <c r="G61" i="1"/>
  <c r="K60" i="1"/>
  <c r="J60" i="1"/>
  <c r="I60" i="1"/>
  <c r="G60" i="1"/>
  <c r="K59" i="1"/>
  <c r="J59" i="1"/>
  <c r="I59" i="1"/>
  <c r="G59" i="1"/>
  <c r="K58" i="1"/>
  <c r="J58" i="1"/>
  <c r="I58" i="1"/>
  <c r="G58" i="1"/>
  <c r="K57" i="1"/>
  <c r="J57" i="1"/>
  <c r="I57" i="1"/>
  <c r="G57" i="1"/>
  <c r="K56" i="1"/>
  <c r="J56" i="1"/>
  <c r="I56" i="1"/>
  <c r="G56" i="1"/>
  <c r="K55" i="1"/>
  <c r="J55" i="1"/>
  <c r="I55" i="1"/>
  <c r="G55" i="1"/>
  <c r="K54" i="1"/>
  <c r="J54" i="1"/>
  <c r="I54" i="1"/>
  <c r="G54" i="1"/>
  <c r="K53" i="1"/>
  <c r="J53" i="1"/>
  <c r="I53" i="1"/>
  <c r="G53" i="1"/>
  <c r="K52" i="1"/>
  <c r="J52" i="1"/>
  <c r="I52" i="1"/>
  <c r="G52" i="1"/>
  <c r="K51" i="1"/>
  <c r="J51" i="1"/>
  <c r="I51" i="1"/>
  <c r="G51" i="1"/>
  <c r="K50" i="1"/>
  <c r="J50" i="1"/>
  <c r="I50" i="1"/>
  <c r="G50" i="1"/>
  <c r="K49" i="1"/>
  <c r="J49" i="1"/>
  <c r="I49" i="1"/>
  <c r="G49" i="1"/>
  <c r="K48" i="1"/>
  <c r="J48" i="1"/>
  <c r="I48" i="1"/>
  <c r="G48" i="1"/>
  <c r="R64" i="1"/>
  <c r="K47" i="1"/>
  <c r="J47" i="1"/>
  <c r="I47" i="1"/>
  <c r="G47" i="1"/>
  <c r="R63" i="1"/>
  <c r="K46" i="1"/>
  <c r="J46" i="1"/>
  <c r="I46" i="1"/>
  <c r="G46" i="1"/>
  <c r="K45" i="1"/>
  <c r="J45" i="1"/>
  <c r="I45" i="1"/>
  <c r="G45" i="1"/>
  <c r="K44" i="1"/>
  <c r="J44" i="1"/>
  <c r="I44" i="1"/>
  <c r="G44" i="1"/>
  <c r="K43" i="1"/>
  <c r="J43" i="1"/>
  <c r="I43" i="1"/>
  <c r="G43" i="1"/>
  <c r="K42" i="1"/>
  <c r="J42" i="1"/>
  <c r="I42" i="1"/>
  <c r="G42" i="1"/>
  <c r="K41" i="1"/>
  <c r="J41" i="1"/>
  <c r="I41" i="1"/>
  <c r="G41" i="1"/>
  <c r="K40" i="1"/>
  <c r="J40" i="1"/>
  <c r="I40" i="1"/>
  <c r="G40" i="1"/>
  <c r="K39" i="1"/>
  <c r="J39" i="1"/>
  <c r="I39" i="1"/>
  <c r="G39" i="1"/>
  <c r="K38" i="1"/>
  <c r="J38" i="1"/>
  <c r="I38" i="1"/>
  <c r="G38" i="1"/>
  <c r="K37" i="1"/>
  <c r="J37" i="1"/>
  <c r="I37" i="1"/>
  <c r="G37" i="1"/>
  <c r="K36" i="1"/>
  <c r="J36" i="1"/>
  <c r="I36" i="1"/>
  <c r="G36" i="1"/>
  <c r="K35" i="1"/>
  <c r="J35" i="1"/>
  <c r="I35" i="1"/>
  <c r="G35" i="1"/>
  <c r="K34" i="1"/>
  <c r="J34" i="1"/>
  <c r="I34" i="1"/>
  <c r="G34" i="1"/>
  <c r="K33" i="1"/>
  <c r="J33" i="1"/>
  <c r="I33" i="1"/>
  <c r="G33" i="1"/>
  <c r="K32" i="1"/>
  <c r="J32" i="1"/>
  <c r="I32" i="1"/>
  <c r="G32" i="1"/>
  <c r="K31" i="1"/>
  <c r="J31" i="1"/>
  <c r="I31" i="1"/>
  <c r="G31" i="1"/>
  <c r="K30" i="1"/>
  <c r="J30" i="1"/>
  <c r="I30" i="1"/>
  <c r="G30" i="1"/>
  <c r="K29" i="1"/>
  <c r="J29" i="1"/>
  <c r="I29" i="1"/>
  <c r="G29" i="1"/>
  <c r="K28" i="1"/>
  <c r="J28" i="1"/>
  <c r="I28" i="1"/>
  <c r="G28" i="1"/>
  <c r="K27" i="1"/>
  <c r="J27" i="1"/>
  <c r="I27" i="1"/>
  <c r="G27" i="1"/>
  <c r="K26" i="1"/>
  <c r="J26" i="1"/>
  <c r="I26" i="1"/>
  <c r="G26" i="1"/>
  <c r="K25" i="1"/>
  <c r="J25" i="1"/>
  <c r="I25" i="1"/>
  <c r="G25" i="1"/>
  <c r="K24" i="1"/>
  <c r="J24" i="1"/>
  <c r="I24" i="1"/>
  <c r="G24" i="1"/>
  <c r="K23" i="1"/>
  <c r="J23" i="1"/>
  <c r="I23" i="1"/>
  <c r="G23" i="1"/>
  <c r="K22" i="1"/>
  <c r="J22" i="1"/>
  <c r="I22" i="1"/>
  <c r="G22" i="1"/>
  <c r="K21" i="1"/>
  <c r="J21" i="1"/>
  <c r="I21" i="1"/>
  <c r="G21" i="1"/>
  <c r="K20" i="1"/>
  <c r="J20" i="1"/>
  <c r="I20" i="1"/>
  <c r="G20" i="1"/>
  <c r="K19" i="1"/>
  <c r="J19" i="1"/>
  <c r="I19" i="1"/>
  <c r="G19" i="1"/>
  <c r="K18" i="1"/>
  <c r="J18" i="1"/>
  <c r="I18" i="1"/>
  <c r="G18" i="1"/>
  <c r="K17" i="1"/>
  <c r="J17" i="1"/>
  <c r="I17" i="1"/>
  <c r="G17" i="1"/>
  <c r="R16" i="1"/>
  <c r="K16" i="1"/>
  <c r="J16" i="1"/>
  <c r="I16" i="1"/>
  <c r="G16" i="1"/>
  <c r="R15" i="1"/>
  <c r="K15" i="1"/>
  <c r="J15" i="1"/>
  <c r="I15" i="1"/>
  <c r="G15" i="1"/>
  <c r="K14" i="1"/>
  <c r="J14" i="1"/>
  <c r="I14" i="1"/>
  <c r="G14" i="1"/>
  <c r="R13" i="1"/>
  <c r="K13" i="1"/>
  <c r="J13" i="1"/>
  <c r="I13" i="1"/>
  <c r="G13" i="1"/>
  <c r="R12" i="1"/>
  <c r="K12" i="1"/>
  <c r="J12" i="1"/>
  <c r="I12" i="1"/>
  <c r="G12" i="1"/>
  <c r="R11" i="1"/>
  <c r="K11" i="1"/>
  <c r="J11" i="1"/>
  <c r="I11" i="1"/>
  <c r="G11" i="1"/>
  <c r="R10" i="1"/>
  <c r="K10" i="1"/>
  <c r="J10" i="1"/>
  <c r="I10" i="1"/>
  <c r="G10" i="1"/>
  <c r="R9" i="1"/>
  <c r="K9" i="1"/>
  <c r="J9" i="1"/>
  <c r="I9" i="1"/>
  <c r="G9" i="1"/>
  <c r="R8" i="1"/>
  <c r="K8" i="1"/>
  <c r="J8" i="1"/>
  <c r="I8" i="1"/>
  <c r="G8" i="1"/>
  <c r="R7" i="1"/>
  <c r="K7" i="1"/>
  <c r="J7" i="1"/>
  <c r="I7" i="1"/>
  <c r="G7" i="1"/>
  <c r="R6" i="1"/>
  <c r="K6" i="1"/>
  <c r="J6" i="1"/>
  <c r="I6" i="1"/>
  <c r="G6" i="1"/>
  <c r="K5" i="1"/>
  <c r="J5" i="1"/>
  <c r="I5" i="1"/>
  <c r="G5" i="1"/>
  <c r="R4" i="1"/>
  <c r="K4" i="1"/>
  <c r="J4" i="1"/>
  <c r="I4" i="1"/>
  <c r="G4" i="1"/>
  <c r="K3" i="1"/>
  <c r="J3" i="1"/>
  <c r="I3" i="1"/>
  <c r="G3" i="1"/>
  <c r="M1200" i="1" l="1" a="1"/>
  <c r="M1200" i="1" s="1"/>
  <c r="M1248" i="1" a="1"/>
  <c r="M1248" i="1" s="1"/>
  <c r="M952" i="1" a="1"/>
  <c r="M952" i="1" s="1"/>
  <c r="O952" i="1" s="1"/>
  <c r="M1033" i="1" a="1"/>
  <c r="M1033" i="1" s="1"/>
  <c r="O1033" i="1" s="1"/>
  <c r="M8" i="1" a="1"/>
  <c r="M8" i="1" s="1"/>
  <c r="O8" i="1" s="1"/>
  <c r="M21" i="1" a="1"/>
  <c r="M21" i="1" s="1"/>
  <c r="M1210" i="1" a="1"/>
  <c r="M1210" i="1" s="1"/>
  <c r="N1210" i="1" s="1"/>
  <c r="M1216" i="1" a="1"/>
  <c r="M1216" i="1" s="1"/>
  <c r="N1216" i="1" s="1"/>
  <c r="M1240" i="1" a="1"/>
  <c r="M1240" i="1" s="1"/>
  <c r="M1294" i="1" a="1"/>
  <c r="M1294" i="1" s="1"/>
  <c r="M1306" i="1" a="1"/>
  <c r="M1306" i="1" s="1"/>
  <c r="N1306" i="1" s="1"/>
  <c r="Z107" i="1"/>
  <c r="Z111" i="1"/>
  <c r="AA23" i="1"/>
  <c r="M422" i="1" a="1"/>
  <c r="M422" i="1" s="1"/>
  <c r="O422" i="1" s="1"/>
  <c r="AA107" i="1"/>
  <c r="AA111" i="1"/>
  <c r="AB23" i="1"/>
  <c r="AB107" i="1"/>
  <c r="AB111" i="1"/>
  <c r="AC23" i="1"/>
  <c r="M219" i="1" a="1"/>
  <c r="M219" i="1" s="1"/>
  <c r="M297" i="1" a="1"/>
  <c r="M297" i="1" s="1"/>
  <c r="O297" i="1" s="1"/>
  <c r="X111" i="1"/>
  <c r="Y23" i="1"/>
  <c r="X107" i="1"/>
  <c r="M294" i="1" a="1"/>
  <c r="M294" i="1" s="1"/>
  <c r="M486" i="1" a="1"/>
  <c r="M486" i="1" s="1"/>
  <c r="M558" i="1" a="1"/>
  <c r="M558" i="1" s="1"/>
  <c r="M600" i="1" a="1"/>
  <c r="M600" i="1" s="1"/>
  <c r="M780" i="1" a="1"/>
  <c r="M780" i="1" s="1"/>
  <c r="M900" i="1" a="1"/>
  <c r="M900" i="1" s="1"/>
  <c r="M912" i="1" a="1"/>
  <c r="M912" i="1" s="1"/>
  <c r="M351" i="1" a="1"/>
  <c r="M351" i="1" s="1"/>
  <c r="M1101" i="1" a="1"/>
  <c r="M1101" i="1" s="1"/>
  <c r="O1101" i="1" s="1"/>
  <c r="M1260" i="1" a="1"/>
  <c r="M1260" i="1" s="1"/>
  <c r="M1314" i="1" a="1"/>
  <c r="M1314" i="1" s="1"/>
  <c r="M220" i="1" a="1"/>
  <c r="M220" i="1" s="1"/>
  <c r="N220" i="1" s="1"/>
  <c r="M316" i="1" a="1"/>
  <c r="M316" i="1" s="1"/>
  <c r="M335" i="1" a="1"/>
  <c r="M335" i="1" s="1"/>
  <c r="M349" i="1" a="1"/>
  <c r="M349" i="1" s="1"/>
  <c r="M656" i="1" a="1"/>
  <c r="M656" i="1" s="1"/>
  <c r="M661" i="1" a="1"/>
  <c r="M661" i="1" s="1"/>
  <c r="M853" i="1" a="1"/>
  <c r="M853" i="1" s="1"/>
  <c r="N853" i="1" s="1"/>
  <c r="M867" i="1" a="1"/>
  <c r="M867" i="1" s="1"/>
  <c r="M872" i="1" a="1"/>
  <c r="M872" i="1" s="1"/>
  <c r="M891" i="1" a="1"/>
  <c r="M891" i="1" s="1"/>
  <c r="N891" i="1" s="1"/>
  <c r="M1011" i="1" a="1"/>
  <c r="M1011" i="1" s="1"/>
  <c r="O1011" i="1" s="1"/>
  <c r="M1035" i="1" a="1"/>
  <c r="M1035" i="1" s="1"/>
  <c r="M1047" i="1" a="1"/>
  <c r="M1047" i="1" s="1"/>
  <c r="O1047" i="1" s="1"/>
  <c r="M182" i="1" a="1"/>
  <c r="M182" i="1" s="1"/>
  <c r="O182" i="1" s="1"/>
  <c r="M333" i="1" a="1"/>
  <c r="M333" i="1" s="1"/>
  <c r="M483" i="1" a="1"/>
  <c r="M483" i="1" s="1"/>
  <c r="M498" i="1" a="1"/>
  <c r="M498" i="1" s="1"/>
  <c r="M750" i="1" a="1"/>
  <c r="M750" i="1" s="1"/>
  <c r="M851" i="1" a="1"/>
  <c r="M851" i="1" s="1"/>
  <c r="M899" i="1" a="1"/>
  <c r="M899" i="1" s="1"/>
  <c r="M918" i="1" a="1"/>
  <c r="M918" i="1" s="1"/>
  <c r="M990" i="1" a="1"/>
  <c r="M990" i="1" s="1"/>
  <c r="N990" i="1" s="1"/>
  <c r="M1169" i="1" a="1"/>
  <c r="M1169" i="1" s="1"/>
  <c r="N1169" i="1" s="1"/>
  <c r="M1181" i="1" a="1"/>
  <c r="M1181" i="1" s="1"/>
  <c r="M1315" i="1" a="1"/>
  <c r="M1315" i="1" s="1"/>
  <c r="M146" i="1" a="1"/>
  <c r="M146" i="1" s="1"/>
  <c r="N146" i="1" s="1"/>
  <c r="M158" i="1" a="1"/>
  <c r="M158" i="1" s="1"/>
  <c r="O158" i="1" s="1"/>
  <c r="M163" i="1" a="1"/>
  <c r="M163" i="1" s="1"/>
  <c r="M175" i="1" a="1"/>
  <c r="M175" i="1" s="1"/>
  <c r="M223" i="1" a="1"/>
  <c r="M223" i="1" s="1"/>
  <c r="M235" i="1" a="1"/>
  <c r="M235" i="1" s="1"/>
  <c r="M244" i="1" a="1"/>
  <c r="M244" i="1" s="1"/>
  <c r="N244" i="1" s="1"/>
  <c r="M796" i="1" a="1"/>
  <c r="M796" i="1" s="1"/>
  <c r="O796" i="1" s="1"/>
  <c r="M911" i="1" a="1"/>
  <c r="M911" i="1" s="1"/>
  <c r="N911" i="1" s="1"/>
  <c r="M1284" i="1" a="1"/>
  <c r="M1284" i="1" s="1"/>
  <c r="O1284" i="1" s="1"/>
  <c r="M1330" i="1" a="1"/>
  <c r="M1330" i="1" s="1"/>
  <c r="M441" i="1" a="1"/>
  <c r="M441" i="1" s="1"/>
  <c r="M849" i="1" a="1"/>
  <c r="M849" i="1" s="1"/>
  <c r="N849" i="1" s="1"/>
  <c r="M1091" i="1" a="1"/>
  <c r="M1091" i="1" s="1"/>
  <c r="O1091" i="1" s="1"/>
  <c r="M1129" i="1" a="1"/>
  <c r="M1129" i="1" s="1"/>
  <c r="N1129" i="1" s="1"/>
  <c r="M1141" i="1" a="1"/>
  <c r="M1141" i="1" s="1"/>
  <c r="N1141" i="1" s="1"/>
  <c r="M1272" i="1" a="1"/>
  <c r="M1272" i="1" s="1"/>
  <c r="M120" i="1" a="1"/>
  <c r="M120" i="1" s="1"/>
  <c r="M122" i="1" a="1"/>
  <c r="M122" i="1" s="1"/>
  <c r="N122" i="1" s="1"/>
  <c r="M376" i="1" a="1"/>
  <c r="M376" i="1" s="1"/>
  <c r="N376" i="1" s="1"/>
  <c r="M522" i="1" a="1"/>
  <c r="M522" i="1" s="1"/>
  <c r="N522" i="1" s="1"/>
  <c r="M530" i="1" a="1"/>
  <c r="M530" i="1" s="1"/>
  <c r="N530" i="1" s="1"/>
  <c r="M534" i="1" a="1"/>
  <c r="M534" i="1" s="1"/>
  <c r="M542" i="1" a="1"/>
  <c r="M542" i="1" s="1"/>
  <c r="M693" i="1" a="1"/>
  <c r="M693" i="1" s="1"/>
  <c r="M813" i="1" a="1"/>
  <c r="M813" i="1" s="1"/>
  <c r="N813" i="1" s="1"/>
  <c r="M818" i="1" a="1"/>
  <c r="M818" i="1" s="1"/>
  <c r="M844" i="1" a="1"/>
  <c r="M844" i="1" s="1"/>
  <c r="N844" i="1" s="1"/>
  <c r="M1110" i="1" a="1"/>
  <c r="M1110" i="1" s="1"/>
  <c r="N1110" i="1" s="1"/>
  <c r="M1112" i="1" a="1"/>
  <c r="M1112" i="1" s="1"/>
  <c r="M1234" i="1" a="1"/>
  <c r="M1234" i="1" s="1"/>
  <c r="M1268" i="1" a="1"/>
  <c r="M1268" i="1" s="1"/>
  <c r="M1292" i="1" a="1"/>
  <c r="M1292" i="1" s="1"/>
  <c r="O1292" i="1" s="1"/>
  <c r="M53" i="1" a="1"/>
  <c r="M53" i="1" s="1"/>
  <c r="O53" i="1" s="1"/>
  <c r="M348" i="1" a="1"/>
  <c r="M348" i="1" s="1"/>
  <c r="M487" i="1" a="1"/>
  <c r="M487" i="1" s="1"/>
  <c r="N487" i="1" s="1"/>
  <c r="M499" i="1" a="1"/>
  <c r="M499" i="1" s="1"/>
  <c r="M667" i="1" a="1"/>
  <c r="M667" i="1" s="1"/>
  <c r="M799" i="1" a="1"/>
  <c r="M799" i="1" s="1"/>
  <c r="N799" i="1" s="1"/>
  <c r="M811" i="1" a="1"/>
  <c r="M811" i="1" s="1"/>
  <c r="N811" i="1" s="1"/>
  <c r="M871" i="1" a="1"/>
  <c r="M871" i="1" s="1"/>
  <c r="M895" i="1" a="1"/>
  <c r="M895" i="1" s="1"/>
  <c r="M1022" i="1" a="1"/>
  <c r="M1022" i="1" s="1"/>
  <c r="O1022" i="1" s="1"/>
  <c r="M1053" i="1" a="1"/>
  <c r="M1053" i="1" s="1"/>
  <c r="M1223" i="1" a="1"/>
  <c r="M1223" i="1" s="1"/>
  <c r="N1223" i="1" s="1"/>
  <c r="M211" i="1" a="1"/>
  <c r="M211" i="1" s="1"/>
  <c r="N211" i="1" s="1"/>
  <c r="M272" i="1" a="1"/>
  <c r="M272" i="1" s="1"/>
  <c r="M442" i="1" a="1"/>
  <c r="M442" i="1" s="1"/>
  <c r="M454" i="1" a="1"/>
  <c r="M454" i="1" s="1"/>
  <c r="M566" i="1" a="1"/>
  <c r="M566" i="1" s="1"/>
  <c r="M701" i="1" a="1"/>
  <c r="M701" i="1" s="1"/>
  <c r="O701" i="1" s="1"/>
  <c r="M727" i="1" a="1"/>
  <c r="M727" i="1" s="1"/>
  <c r="O727" i="1" s="1"/>
  <c r="M751" i="1" a="1"/>
  <c r="M751" i="1" s="1"/>
  <c r="M763" i="1" a="1"/>
  <c r="M763" i="1" s="1"/>
  <c r="M852" i="1" a="1"/>
  <c r="M852" i="1" s="1"/>
  <c r="N852" i="1" s="1"/>
  <c r="M876" i="1" a="1"/>
  <c r="M876" i="1" s="1"/>
  <c r="N876" i="1" s="1"/>
  <c r="M984" i="1" a="1"/>
  <c r="M984" i="1" s="1"/>
  <c r="O984" i="1" s="1"/>
  <c r="M996" i="1" a="1"/>
  <c r="M996" i="1" s="1"/>
  <c r="O996" i="1" s="1"/>
  <c r="M1168" i="1" a="1"/>
  <c r="M1168" i="1" s="1"/>
  <c r="N1168" i="1" s="1"/>
  <c r="M1173" i="1" a="1"/>
  <c r="M1173" i="1" s="1"/>
  <c r="N1173" i="1" s="1"/>
  <c r="M1185" i="1" a="1"/>
  <c r="M1185" i="1" s="1"/>
  <c r="M1221" i="1" a="1"/>
  <c r="M1221" i="1" s="1"/>
  <c r="M1297" i="1" a="1"/>
  <c r="M1297" i="1" s="1"/>
  <c r="M164" i="1" a="1"/>
  <c r="M164" i="1" s="1"/>
  <c r="M646" i="1" a="1"/>
  <c r="M646" i="1" s="1"/>
  <c r="M694" i="1" a="1"/>
  <c r="M694" i="1" s="1"/>
  <c r="M1149" i="1" a="1"/>
  <c r="M1149" i="1" s="1"/>
  <c r="M1156" i="1" a="1"/>
  <c r="M1156" i="1" s="1"/>
  <c r="N1156" i="1" s="1"/>
  <c r="M1161" i="1" a="1"/>
  <c r="M1161" i="1" s="1"/>
  <c r="N1161" i="1" s="1"/>
  <c r="M1197" i="1" a="1"/>
  <c r="M1197" i="1" s="1"/>
  <c r="N1197" i="1" s="1"/>
  <c r="M1209" i="1" a="1"/>
  <c r="M1209" i="1" s="1"/>
  <c r="M1278" i="1" a="1"/>
  <c r="M1278" i="1" s="1"/>
  <c r="M1288" i="1" a="1"/>
  <c r="M1288" i="1" s="1"/>
  <c r="M399" i="1" a="1"/>
  <c r="M399" i="1" s="1"/>
  <c r="M411" i="1" a="1"/>
  <c r="M411" i="1" s="1"/>
  <c r="M447" i="1" a="1"/>
  <c r="M447" i="1" s="1"/>
  <c r="N447" i="1" s="1"/>
  <c r="M478" i="1" a="1"/>
  <c r="M478" i="1" s="1"/>
  <c r="M550" i="1" a="1"/>
  <c r="M550" i="1" s="1"/>
  <c r="M903" i="1" a="1"/>
  <c r="M903" i="1" s="1"/>
  <c r="M1144" i="1" a="1"/>
  <c r="M1144" i="1" s="1"/>
  <c r="N1144" i="1" s="1"/>
  <c r="M1250" i="1" a="1"/>
  <c r="M1250" i="1" s="1"/>
  <c r="O1250" i="1" s="1"/>
  <c r="M61" i="1" a="1"/>
  <c r="M61" i="1" s="1"/>
  <c r="O61" i="1" s="1"/>
  <c r="M121" i="1" a="1"/>
  <c r="M121" i="1" s="1"/>
  <c r="M222" i="1" a="1"/>
  <c r="M222" i="1" s="1"/>
  <c r="M354" i="1" a="1"/>
  <c r="M354" i="1" s="1"/>
  <c r="O354" i="1" s="1"/>
  <c r="M536" i="1" a="1"/>
  <c r="M536" i="1" s="1"/>
  <c r="M538" i="1" a="1"/>
  <c r="M538" i="1" s="1"/>
  <c r="M812" i="1" a="1"/>
  <c r="M812" i="1" s="1"/>
  <c r="N812" i="1" s="1"/>
  <c r="M826" i="1" a="1"/>
  <c r="M826" i="1" s="1"/>
  <c r="M836" i="1" a="1"/>
  <c r="M836" i="1" s="1"/>
  <c r="N836" i="1" s="1"/>
  <c r="M855" i="1" a="1"/>
  <c r="M855" i="1" s="1"/>
  <c r="M1236" i="1" a="1"/>
  <c r="M1236" i="1" s="1"/>
  <c r="M1262" i="1" a="1"/>
  <c r="M1262" i="1" s="1"/>
  <c r="O1262" i="1" s="1"/>
  <c r="M19" i="1" a="1"/>
  <c r="M19" i="1" s="1"/>
  <c r="N19" i="1" s="1"/>
  <c r="M124" i="1" a="1"/>
  <c r="M124" i="1" s="1"/>
  <c r="M127" i="1" a="1"/>
  <c r="M127" i="1" s="1"/>
  <c r="M170" i="1" a="1"/>
  <c r="M170" i="1" s="1"/>
  <c r="N170" i="1" s="1"/>
  <c r="M177" i="1" a="1"/>
  <c r="M177" i="1" s="1"/>
  <c r="M279" i="1" a="1"/>
  <c r="M279" i="1" s="1"/>
  <c r="M298" i="1" a="1"/>
  <c r="M298" i="1" s="1"/>
  <c r="M310" i="1" a="1"/>
  <c r="M310" i="1" s="1"/>
  <c r="M317" i="1" a="1"/>
  <c r="M317" i="1" s="1"/>
  <c r="M400" i="1" a="1"/>
  <c r="M400" i="1" s="1"/>
  <c r="N400" i="1" s="1"/>
  <c r="M412" i="1" a="1"/>
  <c r="M412" i="1" s="1"/>
  <c r="M443" i="1" a="1"/>
  <c r="M443" i="1" s="1"/>
  <c r="N443" i="1" s="1"/>
  <c r="M466" i="1" a="1"/>
  <c r="M466" i="1" s="1"/>
  <c r="N466" i="1" s="1"/>
  <c r="M474" i="1" a="1"/>
  <c r="M474" i="1" s="1"/>
  <c r="M531" i="1" a="1"/>
  <c r="M531" i="1" s="1"/>
  <c r="M633" i="1" a="1"/>
  <c r="M633" i="1" s="1"/>
  <c r="M688" i="1" a="1"/>
  <c r="M688" i="1" s="1"/>
  <c r="M757" i="1" a="1"/>
  <c r="M757" i="1" s="1"/>
  <c r="M800" i="1" a="1"/>
  <c r="M800" i="1" s="1"/>
  <c r="O800" i="1" s="1"/>
  <c r="M845" i="1" a="1"/>
  <c r="M845" i="1" s="1"/>
  <c r="N845" i="1" s="1"/>
  <c r="M892" i="1" a="1"/>
  <c r="M892" i="1" s="1"/>
  <c r="M904" i="1" a="1"/>
  <c r="M904" i="1" s="1"/>
  <c r="M942" i="1" a="1"/>
  <c r="M942" i="1" s="1"/>
  <c r="M963" i="1" a="1"/>
  <c r="M963" i="1" s="1"/>
  <c r="O963" i="1" s="1"/>
  <c r="M973" i="1" a="1"/>
  <c r="M973" i="1" s="1"/>
  <c r="N973" i="1" s="1"/>
  <c r="M975" i="1" a="1"/>
  <c r="M975" i="1" s="1"/>
  <c r="M1023" i="1" a="1"/>
  <c r="M1023" i="1" s="1"/>
  <c r="N1023" i="1" s="1"/>
  <c r="M1025" i="1" a="1"/>
  <c r="M1025" i="1" s="1"/>
  <c r="M1085" i="1" a="1"/>
  <c r="M1085" i="1" s="1"/>
  <c r="M1132" i="1" a="1"/>
  <c r="M1132" i="1" s="1"/>
  <c r="N1132" i="1" s="1"/>
  <c r="M1199" i="1" a="1"/>
  <c r="M1199" i="1" s="1"/>
  <c r="O1199" i="1" s="1"/>
  <c r="M1211" i="1" a="1"/>
  <c r="M1211" i="1" s="1"/>
  <c r="M1218" i="1" a="1"/>
  <c r="M1218" i="1" s="1"/>
  <c r="M1230" i="1" a="1"/>
  <c r="M1230" i="1" s="1"/>
  <c r="N1230" i="1" s="1"/>
  <c r="M1256" i="1" a="1"/>
  <c r="M1256" i="1" s="1"/>
  <c r="M1291" i="1" a="1"/>
  <c r="M1291" i="1" s="1"/>
  <c r="O1291" i="1" s="1"/>
  <c r="M1303" i="1" a="1"/>
  <c r="M1303" i="1" s="1"/>
  <c r="O1303" i="1" s="1"/>
  <c r="M1310" i="1" a="1"/>
  <c r="M1310" i="1" s="1"/>
  <c r="M13" i="1" a="1"/>
  <c r="M13" i="1" s="1"/>
  <c r="M65" i="1" a="1"/>
  <c r="M65" i="1" s="1"/>
  <c r="M72" i="1" a="1"/>
  <c r="M72" i="1" s="1"/>
  <c r="M74" i="1" a="1"/>
  <c r="M74" i="1" s="1"/>
  <c r="M77" i="1" a="1"/>
  <c r="M77" i="1" s="1"/>
  <c r="M84" i="1" a="1"/>
  <c r="M84" i="1" s="1"/>
  <c r="M86" i="1" a="1"/>
  <c r="M86" i="1" s="1"/>
  <c r="M89" i="1" a="1"/>
  <c r="M89" i="1" s="1"/>
  <c r="M98" i="1" a="1"/>
  <c r="M98" i="1" s="1"/>
  <c r="M101" i="1" a="1"/>
  <c r="M101" i="1" s="1"/>
  <c r="O101" i="1" s="1"/>
  <c r="M110" i="1" a="1"/>
  <c r="M110" i="1" s="1"/>
  <c r="O110" i="1" s="1"/>
  <c r="M113" i="1" a="1"/>
  <c r="M113" i="1" s="1"/>
  <c r="M118" i="1" a="1"/>
  <c r="M118" i="1" s="1"/>
  <c r="M206" i="1" a="1"/>
  <c r="M206" i="1" s="1"/>
  <c r="O206" i="1" s="1"/>
  <c r="M234" i="1" a="1"/>
  <c r="M234" i="1" s="1"/>
  <c r="M362" i="1" a="1"/>
  <c r="M362" i="1" s="1"/>
  <c r="O362" i="1" s="1"/>
  <c r="M453" i="1" a="1"/>
  <c r="M453" i="1" s="1"/>
  <c r="M593" i="1" a="1"/>
  <c r="M593" i="1" s="1"/>
  <c r="M595" i="1" a="1"/>
  <c r="M595" i="1" s="1"/>
  <c r="M619" i="1" a="1"/>
  <c r="M619" i="1" s="1"/>
  <c r="M648" i="1" a="1"/>
  <c r="M648" i="1" s="1"/>
  <c r="M681" i="1" a="1"/>
  <c r="M681" i="1" s="1"/>
  <c r="O681" i="1" s="1"/>
  <c r="M716" i="1" a="1"/>
  <c r="M716" i="1" s="1"/>
  <c r="O716" i="1" s="1"/>
  <c r="M726" i="1" a="1"/>
  <c r="M726" i="1" s="1"/>
  <c r="O726" i="1" s="1"/>
  <c r="M772" i="1" a="1"/>
  <c r="M772" i="1" s="1"/>
  <c r="M817" i="1" a="1"/>
  <c r="M817" i="1" s="1"/>
  <c r="N817" i="1" s="1"/>
  <c r="M819" i="1" a="1"/>
  <c r="M819" i="1" s="1"/>
  <c r="M829" i="1" a="1"/>
  <c r="M829" i="1" s="1"/>
  <c r="N829" i="1" s="1"/>
  <c r="M866" i="1" a="1"/>
  <c r="M866" i="1" s="1"/>
  <c r="M888" i="1" a="1"/>
  <c r="M888" i="1" s="1"/>
  <c r="N888" i="1" s="1"/>
  <c r="M928" i="1" a="1"/>
  <c r="M928" i="1" s="1"/>
  <c r="M1021" i="1" a="1"/>
  <c r="M1021" i="1" s="1"/>
  <c r="N1021" i="1" s="1"/>
  <c r="M1056" i="1" a="1"/>
  <c r="M1056" i="1" s="1"/>
  <c r="N1056" i="1" s="1"/>
  <c r="M1066" i="1" a="1"/>
  <c r="M1066" i="1" s="1"/>
  <c r="O1066" i="1" s="1"/>
  <c r="M1109" i="1" a="1"/>
  <c r="M1109" i="1" s="1"/>
  <c r="N1109" i="1" s="1"/>
  <c r="M1180" i="1" a="1"/>
  <c r="M1180" i="1" s="1"/>
  <c r="N1180" i="1" s="1"/>
  <c r="M1258" i="1" a="1"/>
  <c r="M1258" i="1" s="1"/>
  <c r="M1280" i="1" a="1"/>
  <c r="M1280" i="1" s="1"/>
  <c r="M99" i="1" a="1"/>
  <c r="M99" i="1" s="1"/>
  <c r="M111" i="1" a="1"/>
  <c r="M111" i="1" s="1"/>
  <c r="M203" i="1" a="1"/>
  <c r="M203" i="1" s="1"/>
  <c r="M227" i="1" a="1"/>
  <c r="M227" i="1" s="1"/>
  <c r="M246" i="1" a="1"/>
  <c r="M246" i="1" s="1"/>
  <c r="M258" i="1" a="1"/>
  <c r="M258" i="1" s="1"/>
  <c r="M262" i="1" a="1"/>
  <c r="M262" i="1" s="1"/>
  <c r="M358" i="1" a="1"/>
  <c r="M358" i="1" s="1"/>
  <c r="O358" i="1" s="1"/>
  <c r="M396" i="1" a="1"/>
  <c r="M396" i="1" s="1"/>
  <c r="N396" i="1" s="1"/>
  <c r="M408" i="1" a="1"/>
  <c r="M408" i="1" s="1"/>
  <c r="N408" i="1" s="1"/>
  <c r="M503" i="1" a="1"/>
  <c r="M503" i="1" s="1"/>
  <c r="N503" i="1" s="1"/>
  <c r="M514" i="1" a="1"/>
  <c r="M514" i="1" s="1"/>
  <c r="M574" i="1" a="1"/>
  <c r="M574" i="1" s="1"/>
  <c r="M583" i="1" a="1"/>
  <c r="M583" i="1" s="1"/>
  <c r="M622" i="1" a="1"/>
  <c r="M622" i="1" s="1"/>
  <c r="M672" i="1" a="1"/>
  <c r="M672" i="1" s="1"/>
  <c r="M731" i="1" a="1"/>
  <c r="M731" i="1" s="1"/>
  <c r="M767" i="1" a="1"/>
  <c r="M767" i="1" s="1"/>
  <c r="M784" i="1" a="1"/>
  <c r="M784" i="1" s="1"/>
  <c r="O784" i="1" s="1"/>
  <c r="M805" i="1" a="1"/>
  <c r="M805" i="1" s="1"/>
  <c r="N805" i="1" s="1"/>
  <c r="M824" i="1" a="1"/>
  <c r="M824" i="1" s="1"/>
  <c r="N824" i="1" s="1"/>
  <c r="M857" i="1" a="1"/>
  <c r="M857" i="1" s="1"/>
  <c r="N857" i="1" s="1"/>
  <c r="M869" i="1" a="1"/>
  <c r="M869" i="1" s="1"/>
  <c r="N869" i="1" s="1"/>
  <c r="M907" i="1" a="1"/>
  <c r="M907" i="1" s="1"/>
  <c r="M933" i="1" a="1"/>
  <c r="M933" i="1" s="1"/>
  <c r="N933" i="1" s="1"/>
  <c r="M1026" i="1" a="1"/>
  <c r="M1026" i="1" s="1"/>
  <c r="M1116" i="1" a="1"/>
  <c r="M1116" i="1" s="1"/>
  <c r="M1123" i="1" a="1"/>
  <c r="M1123" i="1" s="1"/>
  <c r="M1135" i="1" a="1"/>
  <c r="M1135" i="1" s="1"/>
  <c r="M1204" i="1" a="1"/>
  <c r="M1204" i="1" s="1"/>
  <c r="N1204" i="1" s="1"/>
  <c r="M1242" i="1" a="1"/>
  <c r="M1242" i="1" s="1"/>
  <c r="M1249" i="1" a="1"/>
  <c r="M1249" i="1" s="1"/>
  <c r="N1249" i="1" s="1"/>
  <c r="M49" i="1" a="1"/>
  <c r="M49" i="1" s="1"/>
  <c r="O49" i="1" s="1"/>
  <c r="M135" i="1" a="1"/>
  <c r="M135" i="1" s="1"/>
  <c r="M142" i="1" a="1"/>
  <c r="M142" i="1" s="1"/>
  <c r="M151" i="1" a="1"/>
  <c r="M151" i="1" s="1"/>
  <c r="M196" i="1" a="1"/>
  <c r="M196" i="1" s="1"/>
  <c r="M199" i="1" a="1"/>
  <c r="M199" i="1" s="1"/>
  <c r="M263" i="1" a="1"/>
  <c r="M263" i="1" s="1"/>
  <c r="O263" i="1" s="1"/>
  <c r="M287" i="1" a="1"/>
  <c r="M287" i="1" s="1"/>
  <c r="N287" i="1" s="1"/>
  <c r="M332" i="1" a="1"/>
  <c r="M332" i="1" s="1"/>
  <c r="M384" i="1" a="1"/>
  <c r="M384" i="1" s="1"/>
  <c r="M393" i="1" a="1"/>
  <c r="M393" i="1" s="1"/>
  <c r="M427" i="1" a="1"/>
  <c r="M427" i="1" s="1"/>
  <c r="N427" i="1" s="1"/>
  <c r="M446" i="1" a="1"/>
  <c r="M446" i="1" s="1"/>
  <c r="N446" i="1" s="1"/>
  <c r="M451" i="1" a="1"/>
  <c r="M451" i="1" s="1"/>
  <c r="N451" i="1" s="1"/>
  <c r="M455" i="1" a="1"/>
  <c r="M455" i="1" s="1"/>
  <c r="N455" i="1" s="1"/>
  <c r="M510" i="1" a="1"/>
  <c r="M510" i="1" s="1"/>
  <c r="M529" i="1" a="1"/>
  <c r="M529" i="1" s="1"/>
  <c r="M560" i="1" a="1"/>
  <c r="M560" i="1" s="1"/>
  <c r="M562" i="1" a="1"/>
  <c r="M562" i="1" s="1"/>
  <c r="N562" i="1" s="1"/>
  <c r="M603" i="1" a="1"/>
  <c r="M603" i="1" s="1"/>
  <c r="M615" i="1" a="1"/>
  <c r="M615" i="1" s="1"/>
  <c r="M617" i="1" a="1"/>
  <c r="M617" i="1" s="1"/>
  <c r="O617" i="1" s="1"/>
  <c r="M710" i="1" a="1"/>
  <c r="M710" i="1" s="1"/>
  <c r="O710" i="1" s="1"/>
  <c r="M736" i="1" a="1"/>
  <c r="M736" i="1" s="1"/>
  <c r="O736" i="1" s="1"/>
  <c r="M765" i="1" a="1"/>
  <c r="M765" i="1" s="1"/>
  <c r="N765" i="1" s="1"/>
  <c r="M779" i="1" a="1"/>
  <c r="M779" i="1" s="1"/>
  <c r="M791" i="1" a="1"/>
  <c r="M791" i="1" s="1"/>
  <c r="O791" i="1" s="1"/>
  <c r="M841" i="1" a="1"/>
  <c r="M841" i="1" s="1"/>
  <c r="N841" i="1" s="1"/>
  <c r="M864" i="1" a="1"/>
  <c r="M864" i="1" s="1"/>
  <c r="N864" i="1" s="1"/>
  <c r="M914" i="1" a="1"/>
  <c r="M914" i="1" s="1"/>
  <c r="M983" i="1" a="1"/>
  <c r="M983" i="1" s="1"/>
  <c r="N983" i="1" s="1"/>
  <c r="M1000" i="1" a="1"/>
  <c r="M1000" i="1" s="1"/>
  <c r="M1126" i="1" a="1"/>
  <c r="M1126" i="1" s="1"/>
  <c r="M1138" i="1" a="1"/>
  <c r="M1138" i="1" s="1"/>
  <c r="M1140" i="1" a="1"/>
  <c r="M1140" i="1" s="1"/>
  <c r="M1159" i="1" a="1"/>
  <c r="M1159" i="1" s="1"/>
  <c r="O1159" i="1" s="1"/>
  <c r="M1228" i="1" a="1"/>
  <c r="M1228" i="1" s="1"/>
  <c r="N1228" i="1" s="1"/>
  <c r="M1254" i="1" a="1"/>
  <c r="M1254" i="1" s="1"/>
  <c r="M1282" i="1" a="1"/>
  <c r="M1282" i="1" s="1"/>
  <c r="M1318" i="1" a="1"/>
  <c r="M1318" i="1" s="1"/>
  <c r="M33" i="1" a="1"/>
  <c r="M33" i="1" s="1"/>
  <c r="M45" i="1" a="1"/>
  <c r="M45" i="1" s="1"/>
  <c r="M128" i="1" a="1"/>
  <c r="M128" i="1" s="1"/>
  <c r="O128" i="1" s="1"/>
  <c r="M133" i="1" a="1"/>
  <c r="M133" i="1" s="1"/>
  <c r="M147" i="1" a="1"/>
  <c r="M147" i="1" s="1"/>
  <c r="M192" i="1" a="1"/>
  <c r="M192" i="1" s="1"/>
  <c r="M194" i="1" a="1"/>
  <c r="M194" i="1" s="1"/>
  <c r="N194" i="1" s="1"/>
  <c r="M197" i="1" a="1"/>
  <c r="M197" i="1" s="1"/>
  <c r="O197" i="1" s="1"/>
  <c r="M280" i="1" a="1"/>
  <c r="M280" i="1" s="1"/>
  <c r="N280" i="1" s="1"/>
  <c r="M311" i="1" a="1"/>
  <c r="M311" i="1" s="1"/>
  <c r="M318" i="1" a="1"/>
  <c r="M318" i="1" s="1"/>
  <c r="M330" i="1" a="1"/>
  <c r="M330" i="1" s="1"/>
  <c r="O330" i="1" s="1"/>
  <c r="M372" i="1" a="1"/>
  <c r="M372" i="1" s="1"/>
  <c r="N372" i="1" s="1"/>
  <c r="M382" i="1" a="1"/>
  <c r="M382" i="1" s="1"/>
  <c r="O382" i="1" s="1"/>
  <c r="M401" i="1" a="1"/>
  <c r="M401" i="1" s="1"/>
  <c r="O401" i="1" s="1"/>
  <c r="M430" i="1" a="1"/>
  <c r="M430" i="1" s="1"/>
  <c r="M470" i="1" a="1"/>
  <c r="M470" i="1" s="1"/>
  <c r="M475" i="1" a="1"/>
  <c r="M475" i="1" s="1"/>
  <c r="N475" i="1" s="1"/>
  <c r="M479" i="1" a="1"/>
  <c r="M479" i="1" s="1"/>
  <c r="M482" i="1" a="1"/>
  <c r="M482" i="1" s="1"/>
  <c r="N482" i="1" s="1"/>
  <c r="M624" i="1" a="1"/>
  <c r="M624" i="1" s="1"/>
  <c r="O624" i="1" s="1"/>
  <c r="M696" i="1" a="1"/>
  <c r="M696" i="1" s="1"/>
  <c r="M734" i="1" a="1"/>
  <c r="M734" i="1" s="1"/>
  <c r="M801" i="1" a="1"/>
  <c r="M801" i="1" s="1"/>
  <c r="N801" i="1" s="1"/>
  <c r="M822" i="1" a="1"/>
  <c r="M822" i="1" s="1"/>
  <c r="M846" i="1" a="1"/>
  <c r="M846" i="1" s="1"/>
  <c r="N846" i="1" s="1"/>
  <c r="M919" i="1" a="1"/>
  <c r="M919" i="1" s="1"/>
  <c r="O919" i="1" s="1"/>
  <c r="M1069" i="1" a="1"/>
  <c r="M1069" i="1" s="1"/>
  <c r="O1069" i="1" s="1"/>
  <c r="M1079" i="1" a="1"/>
  <c r="M1079" i="1" s="1"/>
  <c r="M1114" i="1" a="1"/>
  <c r="M1114" i="1" s="1"/>
  <c r="M1121" i="1" a="1"/>
  <c r="M1121" i="1" s="1"/>
  <c r="M1133" i="1" a="1"/>
  <c r="M1133" i="1" s="1"/>
  <c r="N1133" i="1" s="1"/>
  <c r="M1150" i="1" a="1"/>
  <c r="M1150" i="1" s="1"/>
  <c r="N1150" i="1" s="1"/>
  <c r="M1152" i="1" a="1"/>
  <c r="M1152" i="1" s="1"/>
  <c r="M1162" i="1" a="1"/>
  <c r="M1162" i="1" s="1"/>
  <c r="N1162" i="1" s="1"/>
  <c r="M1164" i="1" a="1"/>
  <c r="M1164" i="1" s="1"/>
  <c r="M1171" i="1" a="1"/>
  <c r="M1171" i="1" s="1"/>
  <c r="M1183" i="1" a="1"/>
  <c r="M1183" i="1" s="1"/>
  <c r="M1238" i="1" a="1"/>
  <c r="M1238" i="1" s="1"/>
  <c r="M1252" i="1" a="1"/>
  <c r="M1252" i="1" s="1"/>
  <c r="M1264" i="1" a="1"/>
  <c r="M1264" i="1" s="1"/>
  <c r="M1266" i="1" a="1"/>
  <c r="M1266" i="1" s="1"/>
  <c r="M1273" i="1" a="1"/>
  <c r="M1273" i="1" s="1"/>
  <c r="M1311" i="1" a="1"/>
  <c r="M1311" i="1" s="1"/>
  <c r="O1311" i="1" s="1"/>
  <c r="M26" i="1" a="1"/>
  <c r="M26" i="1" s="1"/>
  <c r="N26" i="1" s="1"/>
  <c r="M38" i="1" a="1"/>
  <c r="M38" i="1" s="1"/>
  <c r="M178" i="1" a="1"/>
  <c r="M178" i="1" s="1"/>
  <c r="M185" i="1" a="1"/>
  <c r="M185" i="1" s="1"/>
  <c r="M187" i="1" a="1"/>
  <c r="M187" i="1" s="1"/>
  <c r="M216" i="1" a="1"/>
  <c r="M216" i="1" s="1"/>
  <c r="M277" i="1" a="1"/>
  <c r="M277" i="1" s="1"/>
  <c r="N277" i="1" s="1"/>
  <c r="M323" i="1" a="1"/>
  <c r="M323" i="1" s="1"/>
  <c r="M342" i="1" a="1"/>
  <c r="M342" i="1" s="1"/>
  <c r="M379" i="1" a="1"/>
  <c r="M379" i="1" s="1"/>
  <c r="N379" i="1" s="1"/>
  <c r="M415" i="1" a="1"/>
  <c r="M415" i="1" s="1"/>
  <c r="M435" i="1" a="1"/>
  <c r="M435" i="1" s="1"/>
  <c r="N435" i="1" s="1"/>
  <c r="M437" i="1" a="1"/>
  <c r="M437" i="1" s="1"/>
  <c r="N437" i="1" s="1"/>
  <c r="M444" i="1" a="1"/>
  <c r="M444" i="1" s="1"/>
  <c r="N444" i="1" s="1"/>
  <c r="M544" i="1" a="1"/>
  <c r="M544" i="1" s="1"/>
  <c r="M546" i="1" a="1"/>
  <c r="M546" i="1" s="1"/>
  <c r="M625" i="1" a="1"/>
  <c r="M625" i="1" s="1"/>
  <c r="N625" i="1" s="1"/>
  <c r="M732" i="1" a="1"/>
  <c r="M732" i="1" s="1"/>
  <c r="M758" i="1" a="1"/>
  <c r="M758" i="1" s="1"/>
  <c r="O758" i="1" s="1"/>
  <c r="M775" i="1" a="1"/>
  <c r="M775" i="1" s="1"/>
  <c r="O775" i="1" s="1"/>
  <c r="M808" i="1" a="1"/>
  <c r="M808" i="1" s="1"/>
  <c r="M815" i="1" a="1"/>
  <c r="M815" i="1" s="1"/>
  <c r="M837" i="1" a="1"/>
  <c r="M837" i="1" s="1"/>
  <c r="N837" i="1" s="1"/>
  <c r="M874" i="1" a="1"/>
  <c r="M874" i="1" s="1"/>
  <c r="O874" i="1" s="1"/>
  <c r="M884" i="1" a="1"/>
  <c r="M884" i="1" s="1"/>
  <c r="N884" i="1" s="1"/>
  <c r="M896" i="1" a="1"/>
  <c r="M896" i="1" s="1"/>
  <c r="N896" i="1" s="1"/>
  <c r="M905" i="1" a="1"/>
  <c r="M905" i="1" s="1"/>
  <c r="M936" i="1" a="1"/>
  <c r="M936" i="1" s="1"/>
  <c r="M1050" i="1" a="1"/>
  <c r="M1050" i="1" s="1"/>
  <c r="M1067" i="1" a="1"/>
  <c r="M1067" i="1" s="1"/>
  <c r="M1084" i="1" a="1"/>
  <c r="M1084" i="1" s="1"/>
  <c r="O1084" i="1" s="1"/>
  <c r="M1086" i="1" a="1"/>
  <c r="M1086" i="1" s="1"/>
  <c r="M1105" i="1" a="1"/>
  <c r="M1105" i="1" s="1"/>
  <c r="N1105" i="1" s="1"/>
  <c r="M1117" i="1" a="1"/>
  <c r="M1117" i="1" s="1"/>
  <c r="M1157" i="1" a="1"/>
  <c r="M1157" i="1" s="1"/>
  <c r="M1174" i="1" a="1"/>
  <c r="M1174" i="1" s="1"/>
  <c r="N1174" i="1" s="1"/>
  <c r="M1186" i="1" a="1"/>
  <c r="M1186" i="1" s="1"/>
  <c r="N1186" i="1" s="1"/>
  <c r="M1188" i="1" a="1"/>
  <c r="M1188" i="1" s="1"/>
  <c r="M1207" i="1" a="1"/>
  <c r="M1207" i="1" s="1"/>
  <c r="M1212" i="1" a="1"/>
  <c r="M1212" i="1" s="1"/>
  <c r="M1219" i="1" a="1"/>
  <c r="M1219" i="1" s="1"/>
  <c r="M1231" i="1" a="1"/>
  <c r="M1231" i="1" s="1"/>
  <c r="N1231" i="1" s="1"/>
  <c r="M1276" i="1" a="1"/>
  <c r="M1276" i="1" s="1"/>
  <c r="O1276" i="1" s="1"/>
  <c r="M1290" i="1" a="1"/>
  <c r="M1290" i="1" s="1"/>
  <c r="M1302" i="1" a="1"/>
  <c r="M1302" i="1" s="1"/>
  <c r="M1333" i="1" a="1"/>
  <c r="M1333" i="1" s="1"/>
  <c r="M57" i="1" a="1"/>
  <c r="M57" i="1" s="1"/>
  <c r="M71" i="1" a="1"/>
  <c r="M71" i="1" s="1"/>
  <c r="N71" i="1" s="1"/>
  <c r="M83" i="1" a="1"/>
  <c r="M83" i="1" s="1"/>
  <c r="O83" i="1" s="1"/>
  <c r="M95" i="1" a="1"/>
  <c r="M95" i="1" s="1"/>
  <c r="M204" i="1" a="1"/>
  <c r="M204" i="1" s="1"/>
  <c r="M230" i="1" a="1"/>
  <c r="M230" i="1" s="1"/>
  <c r="M247" i="1" a="1"/>
  <c r="M247" i="1" s="1"/>
  <c r="M251" i="1" a="1"/>
  <c r="M251" i="1" s="1"/>
  <c r="M266" i="1" a="1"/>
  <c r="M266" i="1" s="1"/>
  <c r="N266" i="1" s="1"/>
  <c r="M268" i="1" a="1"/>
  <c r="M268" i="1" s="1"/>
  <c r="N268" i="1" s="1"/>
  <c r="M283" i="1" a="1"/>
  <c r="M283" i="1" s="1"/>
  <c r="M290" i="1" a="1"/>
  <c r="M290" i="1" s="1"/>
  <c r="M359" i="1" a="1"/>
  <c r="M359" i="1" s="1"/>
  <c r="M361" i="1" a="1"/>
  <c r="M361" i="1" s="1"/>
  <c r="N361" i="1" s="1"/>
  <c r="M409" i="1" a="1"/>
  <c r="M409" i="1" s="1"/>
  <c r="O409" i="1" s="1"/>
  <c r="M421" i="1" a="1"/>
  <c r="M421" i="1" s="1"/>
  <c r="N421" i="1" s="1"/>
  <c r="M459" i="1" a="1"/>
  <c r="M459" i="1" s="1"/>
  <c r="N459" i="1" s="1"/>
  <c r="M591" i="1" a="1"/>
  <c r="M591" i="1" s="1"/>
  <c r="M706" i="1" a="1"/>
  <c r="M706" i="1" s="1"/>
  <c r="M718" i="1" a="1"/>
  <c r="M718" i="1" s="1"/>
  <c r="M725" i="1" a="1"/>
  <c r="M725" i="1" s="1"/>
  <c r="N725" i="1" s="1"/>
  <c r="M744" i="1" a="1"/>
  <c r="M744" i="1" s="1"/>
  <c r="O744" i="1" s="1"/>
  <c r="M806" i="1" a="1"/>
  <c r="M806" i="1" s="1"/>
  <c r="M823" i="1" a="1"/>
  <c r="M823" i="1" s="1"/>
  <c r="O823" i="1" s="1"/>
  <c r="M825" i="1" a="1"/>
  <c r="M825" i="1" s="1"/>
  <c r="N825" i="1" s="1"/>
  <c r="M830" i="1" a="1"/>
  <c r="M830" i="1" s="1"/>
  <c r="N830" i="1" s="1"/>
  <c r="M835" i="1" a="1"/>
  <c r="M835" i="1" s="1"/>
  <c r="N835" i="1" s="1"/>
  <c r="M860" i="1" a="1"/>
  <c r="M860" i="1" s="1"/>
  <c r="O860" i="1" s="1"/>
  <c r="M908" i="1" a="1"/>
  <c r="M908" i="1" s="1"/>
  <c r="M946" i="1" a="1"/>
  <c r="M946" i="1" s="1"/>
  <c r="M1103" i="1" a="1"/>
  <c r="M1103" i="1" s="1"/>
  <c r="M1115" i="1" a="1"/>
  <c r="M1115" i="1" s="1"/>
  <c r="M1122" i="1" a="1"/>
  <c r="M1122" i="1" s="1"/>
  <c r="O1122" i="1" s="1"/>
  <c r="M1134" i="1" a="1"/>
  <c r="M1134" i="1" s="1"/>
  <c r="N1134" i="1" s="1"/>
  <c r="M1153" i="1" a="1"/>
  <c r="M1153" i="1" s="1"/>
  <c r="N1153" i="1" s="1"/>
  <c r="M1165" i="1" a="1"/>
  <c r="M1165" i="1" s="1"/>
  <c r="N1165" i="1" s="1"/>
  <c r="M1205" i="1" a="1"/>
  <c r="M1205" i="1" s="1"/>
  <c r="M1222" i="1" a="1"/>
  <c r="M1222" i="1" s="1"/>
  <c r="N1222" i="1" s="1"/>
  <c r="M1243" i="1" a="1"/>
  <c r="M1243" i="1" s="1"/>
  <c r="N1243" i="1" s="1"/>
  <c r="M1274" i="1" a="1"/>
  <c r="M1274" i="1" s="1"/>
  <c r="M1300" i="1" a="1"/>
  <c r="M1300" i="1" s="1"/>
  <c r="M205" i="1" a="1"/>
  <c r="M205" i="1" s="1"/>
  <c r="M345" i="1" a="1"/>
  <c r="M345" i="1" s="1"/>
  <c r="O345" i="1" s="1"/>
  <c r="M378" i="1" a="1"/>
  <c r="M378" i="1" s="1"/>
  <c r="M426" i="1" a="1"/>
  <c r="M426" i="1" s="1"/>
  <c r="O426" i="1" s="1"/>
  <c r="M473" i="1" a="1"/>
  <c r="M473" i="1" s="1"/>
  <c r="N473" i="1" s="1"/>
  <c r="M518" i="1" a="1"/>
  <c r="M518" i="1" s="1"/>
  <c r="M568" i="1" a="1"/>
  <c r="M568" i="1" s="1"/>
  <c r="M575" i="1" a="1"/>
  <c r="M575" i="1" s="1"/>
  <c r="M580" i="1" a="1"/>
  <c r="M580" i="1" s="1"/>
  <c r="O580" i="1" s="1"/>
  <c r="M678" i="1" a="1"/>
  <c r="M678" i="1" s="1"/>
  <c r="N678" i="1" s="1"/>
  <c r="M711" i="1" a="1"/>
  <c r="M711" i="1" s="1"/>
  <c r="O711" i="1" s="1"/>
  <c r="M792" i="1" a="1"/>
  <c r="M792" i="1" s="1"/>
  <c r="O792" i="1" s="1"/>
  <c r="M816" i="1" a="1"/>
  <c r="M816" i="1" s="1"/>
  <c r="N816" i="1" s="1"/>
  <c r="M842" i="1" a="1"/>
  <c r="M842" i="1" s="1"/>
  <c r="M865" i="1" a="1"/>
  <c r="M865" i="1" s="1"/>
  <c r="N865" i="1" s="1"/>
  <c r="M1032" i="1" a="1"/>
  <c r="M1032" i="1" s="1"/>
  <c r="O1032" i="1" s="1"/>
  <c r="M1065" i="1" a="1"/>
  <c r="M1065" i="1" s="1"/>
  <c r="M1077" i="1" a="1"/>
  <c r="M1077" i="1" s="1"/>
  <c r="M1096" i="1" a="1"/>
  <c r="M1096" i="1" s="1"/>
  <c r="M1108" i="1" a="1"/>
  <c r="M1108" i="1" s="1"/>
  <c r="M1127" i="1" a="1"/>
  <c r="M1127" i="1" s="1"/>
  <c r="N1127" i="1" s="1"/>
  <c r="M1139" i="1" a="1"/>
  <c r="M1139" i="1" s="1"/>
  <c r="N1139" i="1" s="1"/>
  <c r="M1146" i="1" a="1"/>
  <c r="M1146" i="1" s="1"/>
  <c r="N1146" i="1" s="1"/>
  <c r="M1158" i="1" a="1"/>
  <c r="M1158" i="1" s="1"/>
  <c r="M1177" i="1" a="1"/>
  <c r="M1177" i="1" s="1"/>
  <c r="N1177" i="1" s="1"/>
  <c r="M1189" i="1" a="1"/>
  <c r="M1189" i="1" s="1"/>
  <c r="N1189" i="1" s="1"/>
  <c r="M1217" i="1" a="1"/>
  <c r="M1217" i="1" s="1"/>
  <c r="M1229" i="1" a="1"/>
  <c r="M1229" i="1" s="1"/>
  <c r="N1229" i="1" s="1"/>
  <c r="M1246" i="1" a="1"/>
  <c r="M1246" i="1" s="1"/>
  <c r="M1255" i="1" a="1"/>
  <c r="M1255" i="1" s="1"/>
  <c r="N1255" i="1" s="1"/>
  <c r="M1286" i="1" a="1"/>
  <c r="M1286" i="1" s="1"/>
  <c r="M1298" i="1" a="1"/>
  <c r="M1298" i="1" s="1"/>
  <c r="M1319" i="1" a="1"/>
  <c r="M1319" i="1" s="1"/>
  <c r="N1319" i="1" s="1"/>
  <c r="M1326" i="1" a="1"/>
  <c r="M1326" i="1" s="1"/>
  <c r="O1326" i="1" s="1"/>
  <c r="M14" i="1" a="1"/>
  <c r="M14" i="1" s="1"/>
  <c r="O14" i="1" s="1"/>
  <c r="R5" i="1"/>
  <c r="M136" i="1" a="1"/>
  <c r="M136" i="1" s="1"/>
  <c r="M141" i="1" a="1"/>
  <c r="M141" i="1" s="1"/>
  <c r="M226" i="1" a="1"/>
  <c r="M226" i="1" s="1"/>
  <c r="M238" i="1" a="1"/>
  <c r="M238" i="1" s="1"/>
  <c r="O238" i="1" s="1"/>
  <c r="M281" i="1" a="1"/>
  <c r="M281" i="1" s="1"/>
  <c r="O281" i="1" s="1"/>
  <c r="M331" i="1" a="1"/>
  <c r="M331" i="1" s="1"/>
  <c r="N331" i="1" s="1"/>
  <c r="M373" i="1" a="1"/>
  <c r="M373" i="1" s="1"/>
  <c r="M383" i="1" a="1"/>
  <c r="M383" i="1" s="1"/>
  <c r="M385" i="1" a="1"/>
  <c r="M385" i="1" s="1"/>
  <c r="N385" i="1" s="1"/>
  <c r="M395" i="1" a="1"/>
  <c r="M395" i="1" s="1"/>
  <c r="O395" i="1" s="1"/>
  <c r="M416" i="1" a="1"/>
  <c r="M416" i="1" s="1"/>
  <c r="N416" i="1" s="1"/>
  <c r="M457" i="1" a="1"/>
  <c r="M457" i="1" s="1"/>
  <c r="M490" i="1" a="1"/>
  <c r="M490" i="1" s="1"/>
  <c r="M494" i="1" a="1"/>
  <c r="M494" i="1" s="1"/>
  <c r="M502" i="1" a="1"/>
  <c r="M502" i="1" s="1"/>
  <c r="M616" i="1" a="1"/>
  <c r="M616" i="1" s="1"/>
  <c r="O616" i="1" s="1"/>
  <c r="M645" i="1" a="1"/>
  <c r="M645" i="1" s="1"/>
  <c r="N645" i="1" s="1"/>
  <c r="M766" i="1" a="1"/>
  <c r="M766" i="1" s="1"/>
  <c r="O766" i="1" s="1"/>
  <c r="M778" i="1" a="1"/>
  <c r="M778" i="1" s="1"/>
  <c r="M790" i="1" a="1"/>
  <c r="M790" i="1" s="1"/>
  <c r="M804" i="1" a="1"/>
  <c r="M804" i="1" s="1"/>
  <c r="N804" i="1" s="1"/>
  <c r="M828" i="1" a="1"/>
  <c r="M828" i="1" s="1"/>
  <c r="N828" i="1" s="1"/>
  <c r="M868" i="1" a="1"/>
  <c r="M868" i="1" s="1"/>
  <c r="N868" i="1" s="1"/>
  <c r="M880" i="1" a="1"/>
  <c r="M880" i="1" s="1"/>
  <c r="N880" i="1" s="1"/>
  <c r="M1003" i="1" a="1"/>
  <c r="M1003" i="1" s="1"/>
  <c r="M1051" i="1" a="1"/>
  <c r="M1051" i="1" s="1"/>
  <c r="M1072" i="1" a="1"/>
  <c r="M1072" i="1" s="1"/>
  <c r="N1072" i="1" s="1"/>
  <c r="M1082" i="1" a="1"/>
  <c r="M1082" i="1" s="1"/>
  <c r="O1082" i="1" s="1"/>
  <c r="M1099" i="1" a="1"/>
  <c r="M1099" i="1" s="1"/>
  <c r="N1099" i="1" s="1"/>
  <c r="M1113" i="1" a="1"/>
  <c r="M1113" i="1" s="1"/>
  <c r="N1113" i="1" s="1"/>
  <c r="M1151" i="1" a="1"/>
  <c r="M1151" i="1" s="1"/>
  <c r="N1151" i="1" s="1"/>
  <c r="M1163" i="1" a="1"/>
  <c r="M1163" i="1" s="1"/>
  <c r="M1170" i="1" a="1"/>
  <c r="M1170" i="1" s="1"/>
  <c r="N1170" i="1" s="1"/>
  <c r="M1182" i="1" a="1"/>
  <c r="M1182" i="1" s="1"/>
  <c r="N1182" i="1" s="1"/>
  <c r="M1201" i="1" a="1"/>
  <c r="M1201" i="1" s="1"/>
  <c r="N1201" i="1" s="1"/>
  <c r="M1213" i="1" a="1"/>
  <c r="M1213" i="1" s="1"/>
  <c r="N1213" i="1" s="1"/>
  <c r="M1232" i="1" a="1"/>
  <c r="M1232" i="1" s="1"/>
  <c r="M1267" i="1" a="1"/>
  <c r="M1267" i="1" s="1"/>
  <c r="N1267" i="1" s="1"/>
  <c r="M1331" i="1" a="1"/>
  <c r="M1331" i="1" s="1"/>
  <c r="M27" i="1" a="1"/>
  <c r="M27" i="1" s="1"/>
  <c r="N27" i="1" s="1"/>
  <c r="M39" i="1" a="1"/>
  <c r="M39" i="1" s="1"/>
  <c r="O39" i="1" s="1"/>
  <c r="M134" i="1" a="1"/>
  <c r="M134" i="1" s="1"/>
  <c r="O134" i="1" s="1"/>
  <c r="M191" i="1" a="1"/>
  <c r="M191" i="1" s="1"/>
  <c r="M193" i="1" a="1"/>
  <c r="M193" i="1" s="1"/>
  <c r="M240" i="1" a="1"/>
  <c r="M240" i="1" s="1"/>
  <c r="N240" i="1" s="1"/>
  <c r="M243" i="1" a="1"/>
  <c r="M243" i="1" s="1"/>
  <c r="N243" i="1" s="1"/>
  <c r="M254" i="1" a="1"/>
  <c r="M254" i="1" s="1"/>
  <c r="M305" i="1" a="1"/>
  <c r="M305" i="1" s="1"/>
  <c r="M319" i="1" a="1"/>
  <c r="M319" i="1" s="1"/>
  <c r="M343" i="1" a="1"/>
  <c r="M343" i="1" s="1"/>
  <c r="M369" i="1" a="1"/>
  <c r="M369" i="1" s="1"/>
  <c r="M402" i="1" a="1"/>
  <c r="M402" i="1" s="1"/>
  <c r="N402" i="1" s="1"/>
  <c r="M404" i="1" a="1"/>
  <c r="M404" i="1" s="1"/>
  <c r="O404" i="1" s="1"/>
  <c r="M471" i="1" a="1"/>
  <c r="M471" i="1" s="1"/>
  <c r="N471" i="1" s="1"/>
  <c r="M507" i="1" a="1"/>
  <c r="M507" i="1" s="1"/>
  <c r="M552" i="1" a="1"/>
  <c r="M552" i="1" s="1"/>
  <c r="M554" i="1" a="1"/>
  <c r="M554" i="1" s="1"/>
  <c r="O554" i="1" s="1"/>
  <c r="M611" i="1" a="1"/>
  <c r="M611" i="1" s="1"/>
  <c r="O611" i="1" s="1"/>
  <c r="M671" i="1" a="1"/>
  <c r="M671" i="1" s="1"/>
  <c r="M683" i="1" a="1"/>
  <c r="M683" i="1" s="1"/>
  <c r="M697" i="1" a="1"/>
  <c r="M697" i="1" s="1"/>
  <c r="M735" i="1" a="1"/>
  <c r="M735" i="1" s="1"/>
  <c r="O735" i="1" s="1"/>
  <c r="M769" i="1" a="1"/>
  <c r="M769" i="1" s="1"/>
  <c r="N769" i="1" s="1"/>
  <c r="M776" i="1" a="1"/>
  <c r="M776" i="1" s="1"/>
  <c r="O776" i="1" s="1"/>
  <c r="M783" i="1" a="1"/>
  <c r="M783" i="1" s="1"/>
  <c r="O783" i="1" s="1"/>
  <c r="M788" i="1" a="1"/>
  <c r="M788" i="1" s="1"/>
  <c r="N788" i="1" s="1"/>
  <c r="M840" i="1" a="1"/>
  <c r="M840" i="1" s="1"/>
  <c r="N840" i="1" s="1"/>
  <c r="M861" i="1" a="1"/>
  <c r="M861" i="1" s="1"/>
  <c r="M873" i="1" a="1"/>
  <c r="M873" i="1" s="1"/>
  <c r="N873" i="1" s="1"/>
  <c r="M887" i="1" a="1"/>
  <c r="M887" i="1" s="1"/>
  <c r="N887" i="1" s="1"/>
  <c r="M927" i="1" a="1"/>
  <c r="M927" i="1" s="1"/>
  <c r="M932" i="1" a="1"/>
  <c r="M932" i="1" s="1"/>
  <c r="M980" i="1" a="1"/>
  <c r="M980" i="1" s="1"/>
  <c r="M1030" i="1" a="1"/>
  <c r="M1030" i="1" s="1"/>
  <c r="M1037" i="1" a="1"/>
  <c r="M1037" i="1" s="1"/>
  <c r="M1061" i="1" a="1"/>
  <c r="M1061" i="1" s="1"/>
  <c r="N1061" i="1" s="1"/>
  <c r="M1063" i="1" a="1"/>
  <c r="M1063" i="1" s="1"/>
  <c r="O1063" i="1" s="1"/>
  <c r="M1087" i="1" a="1"/>
  <c r="M1087" i="1" s="1"/>
  <c r="M1125" i="1" a="1"/>
  <c r="M1125" i="1" s="1"/>
  <c r="N1125" i="1" s="1"/>
  <c r="M1137" i="1" a="1"/>
  <c r="M1137" i="1" s="1"/>
  <c r="M1175" i="1" a="1"/>
  <c r="M1175" i="1" s="1"/>
  <c r="N1175" i="1" s="1"/>
  <c r="M1187" i="1" a="1"/>
  <c r="M1187" i="1" s="1"/>
  <c r="N1187" i="1" s="1"/>
  <c r="M1194" i="1" a="1"/>
  <c r="M1194" i="1" s="1"/>
  <c r="N1194" i="1" s="1"/>
  <c r="M1206" i="1" a="1"/>
  <c r="M1206" i="1" s="1"/>
  <c r="M1225" i="1" a="1"/>
  <c r="M1225" i="1" s="1"/>
  <c r="N1225" i="1" s="1"/>
  <c r="M1244" i="1" a="1"/>
  <c r="M1244" i="1" s="1"/>
  <c r="M1270" i="1" a="1"/>
  <c r="M1270" i="1" s="1"/>
  <c r="M1279" i="1" a="1"/>
  <c r="M1279" i="1" s="1"/>
  <c r="N1279" i="1" s="1"/>
  <c r="M1296" i="1" a="1"/>
  <c r="M1296" i="1" s="1"/>
  <c r="O1296" i="1" s="1"/>
  <c r="N412" i="1"/>
  <c r="O412" i="1"/>
  <c r="N483" i="1"/>
  <c r="O483" i="1"/>
  <c r="O451" i="1"/>
  <c r="O430" i="1"/>
  <c r="N430" i="1"/>
  <c r="N479" i="1"/>
  <c r="O479" i="1"/>
  <c r="O342" i="1"/>
  <c r="N342" i="1"/>
  <c r="N415" i="1"/>
  <c r="O415" i="1"/>
  <c r="N351" i="1"/>
  <c r="O351" i="1"/>
  <c r="O365" i="1"/>
  <c r="N365" i="1"/>
  <c r="N454" i="1"/>
  <c r="O454" i="1"/>
  <c r="N499" i="1"/>
  <c r="O499" i="1"/>
  <c r="O251" i="1"/>
  <c r="N251" i="1"/>
  <c r="O333" i="1"/>
  <c r="N333" i="1"/>
  <c r="N345" i="1"/>
  <c r="O378" i="1"/>
  <c r="N378" i="1"/>
  <c r="O447" i="1"/>
  <c r="M7" i="1" a="1"/>
  <c r="M7" i="1" s="1"/>
  <c r="N7" i="1" s="1"/>
  <c r="M17" i="1" a="1"/>
  <c r="M17" i="1" s="1"/>
  <c r="N17" i="1" s="1"/>
  <c r="M29" i="1" a="1"/>
  <c r="M29" i="1" s="1"/>
  <c r="M41" i="1" a="1"/>
  <c r="M41" i="1" s="1"/>
  <c r="M70" i="1" a="1"/>
  <c r="M70" i="1" s="1"/>
  <c r="O70" i="1" s="1"/>
  <c r="M34" i="1" a="1"/>
  <c r="M34" i="1" s="1"/>
  <c r="M46" i="1" a="1"/>
  <c r="M46" i="1" s="1"/>
  <c r="M54" i="1" a="1"/>
  <c r="M54" i="1" s="1"/>
  <c r="O54" i="1" s="1"/>
  <c r="M107" i="1" a="1"/>
  <c r="M107" i="1" s="1"/>
  <c r="M119" i="1" a="1"/>
  <c r="M119" i="1" s="1"/>
  <c r="O119" i="1" s="1"/>
  <c r="M125" i="1" a="1"/>
  <c r="M125" i="1" s="1"/>
  <c r="O125" i="1" s="1"/>
  <c r="M149" i="1" a="1"/>
  <c r="M149" i="1" s="1"/>
  <c r="N149" i="1" s="1"/>
  <c r="M179" i="1" a="1"/>
  <c r="M179" i="1" s="1"/>
  <c r="N179" i="1" s="1"/>
  <c r="M186" i="1" a="1"/>
  <c r="M186" i="1" s="1"/>
  <c r="M213" i="1" a="1"/>
  <c r="M213" i="1" s="1"/>
  <c r="M265" i="1" a="1"/>
  <c r="M265" i="1" s="1"/>
  <c r="O265" i="1" s="1"/>
  <c r="M292" i="1" a="1"/>
  <c r="M292" i="1" s="1"/>
  <c r="O292" i="1" s="1"/>
  <c r="M299" i="1" a="1"/>
  <c r="M299" i="1" s="1"/>
  <c r="M306" i="1" a="1"/>
  <c r="M306" i="1" s="1"/>
  <c r="M325" i="1" a="1"/>
  <c r="M325" i="1" s="1"/>
  <c r="O325" i="1" s="1"/>
  <c r="M336" i="1" a="1"/>
  <c r="M336" i="1" s="1"/>
  <c r="O336" i="1" s="1"/>
  <c r="M355" i="1" a="1"/>
  <c r="M355" i="1" s="1"/>
  <c r="M366" i="1" a="1"/>
  <c r="M366" i="1" s="1"/>
  <c r="N366" i="1" s="1"/>
  <c r="M386" i="1" a="1"/>
  <c r="M386" i="1" s="1"/>
  <c r="N386" i="1" s="1"/>
  <c r="M428" i="1" a="1"/>
  <c r="M428" i="1" s="1"/>
  <c r="N428" i="1" s="1"/>
  <c r="M491" i="1" a="1"/>
  <c r="M491" i="1" s="1"/>
  <c r="N491" i="1" s="1"/>
  <c r="M493" i="1" a="1"/>
  <c r="M493" i="1" s="1"/>
  <c r="M738" i="1" a="1"/>
  <c r="M738" i="1" s="1"/>
  <c r="O738" i="1" s="1"/>
  <c r="N892" i="1"/>
  <c r="O892" i="1"/>
  <c r="N1199" i="1"/>
  <c r="N1211" i="1"/>
  <c r="O1211" i="1"/>
  <c r="N1218" i="1"/>
  <c r="O1218" i="1"/>
  <c r="O1230" i="1"/>
  <c r="M413" i="1" a="1"/>
  <c r="M413" i="1" s="1"/>
  <c r="M424" i="1" a="1"/>
  <c r="M424" i="1" s="1"/>
  <c r="M472" i="1" a="1"/>
  <c r="M472" i="1" s="1"/>
  <c r="N1149" i="1"/>
  <c r="O1149" i="1"/>
  <c r="O1173" i="1"/>
  <c r="N1185" i="1"/>
  <c r="O1185" i="1"/>
  <c r="M32" i="1" a="1"/>
  <c r="M32" i="1" s="1"/>
  <c r="M44" i="1" a="1"/>
  <c r="M44" i="1" s="1"/>
  <c r="O44" i="1" s="1"/>
  <c r="M48" i="1" a="1"/>
  <c r="M48" i="1" s="1"/>
  <c r="M55" i="1" a="1"/>
  <c r="M55" i="1" s="1"/>
  <c r="O55" i="1" s="1"/>
  <c r="M64" i="1" a="1"/>
  <c r="M64" i="1" s="1"/>
  <c r="M88" i="1" a="1"/>
  <c r="M88" i="1" s="1"/>
  <c r="M100" i="1" a="1"/>
  <c r="M100" i="1" s="1"/>
  <c r="M112" i="1" a="1"/>
  <c r="M112" i="1" s="1"/>
  <c r="O112" i="1" s="1"/>
  <c r="M114" i="1" a="1"/>
  <c r="M114" i="1" s="1"/>
  <c r="N114" i="1" s="1"/>
  <c r="M126" i="1" a="1"/>
  <c r="M126" i="1" s="1"/>
  <c r="O126" i="1" s="1"/>
  <c r="M184" i="1" a="1"/>
  <c r="M184" i="1" s="1"/>
  <c r="N184" i="1" s="1"/>
  <c r="M198" i="1" a="1"/>
  <c r="M198" i="1" s="1"/>
  <c r="M200" i="1" a="1"/>
  <c r="M200" i="1" s="1"/>
  <c r="M207" i="1" a="1"/>
  <c r="M207" i="1" s="1"/>
  <c r="O207" i="1" s="1"/>
  <c r="M214" i="1" a="1"/>
  <c r="M214" i="1" s="1"/>
  <c r="O220" i="1"/>
  <c r="M301" i="1" a="1"/>
  <c r="M301" i="1" s="1"/>
  <c r="M304" i="1" a="1"/>
  <c r="M304" i="1" s="1"/>
  <c r="M334" i="1" a="1"/>
  <c r="M334" i="1" s="1"/>
  <c r="M347" i="1" a="1"/>
  <c r="M347" i="1" s="1"/>
  <c r="O347" i="1" s="1"/>
  <c r="M360" i="1" a="1"/>
  <c r="M360" i="1" s="1"/>
  <c r="N360" i="1" s="1"/>
  <c r="O444" i="1"/>
  <c r="O1021" i="1"/>
  <c r="M6" i="1" a="1"/>
  <c r="M6" i="1" s="1"/>
  <c r="N6" i="1" s="1"/>
  <c r="R14" i="1"/>
  <c r="M22" i="1" a="1"/>
  <c r="M22" i="1" s="1"/>
  <c r="M25" i="1" a="1"/>
  <c r="M25" i="1" s="1"/>
  <c r="M37" i="1" a="1"/>
  <c r="M37" i="1" s="1"/>
  <c r="O37" i="1" s="1"/>
  <c r="M50" i="1" a="1"/>
  <c r="M50" i="1" s="1"/>
  <c r="O50" i="1" s="1"/>
  <c r="M66" i="1" a="1"/>
  <c r="M66" i="1" s="1"/>
  <c r="O66" i="1" s="1"/>
  <c r="M69" i="1" a="1"/>
  <c r="M69" i="1" s="1"/>
  <c r="N69" i="1" s="1"/>
  <c r="M76" i="1" a="1"/>
  <c r="M76" i="1" s="1"/>
  <c r="O76" i="1" s="1"/>
  <c r="M78" i="1" a="1"/>
  <c r="M78" i="1" s="1"/>
  <c r="M81" i="1" a="1"/>
  <c r="M81" i="1" s="1"/>
  <c r="O81" i="1" s="1"/>
  <c r="M90" i="1" a="1"/>
  <c r="M90" i="1" s="1"/>
  <c r="M93" i="1" a="1"/>
  <c r="M93" i="1" s="1"/>
  <c r="N93" i="1" s="1"/>
  <c r="M102" i="1" a="1"/>
  <c r="M102" i="1" s="1"/>
  <c r="M105" i="1" a="1"/>
  <c r="M105" i="1" s="1"/>
  <c r="M117" i="1" a="1"/>
  <c r="M117" i="1" s="1"/>
  <c r="M140" i="1" a="1"/>
  <c r="M140" i="1" s="1"/>
  <c r="O140" i="1" s="1"/>
  <c r="M154" i="1" a="1"/>
  <c r="M154" i="1" s="1"/>
  <c r="O154" i="1" s="1"/>
  <c r="M161" i="1" a="1"/>
  <c r="M161" i="1" s="1"/>
  <c r="N161" i="1" s="1"/>
  <c r="M168" i="1" a="1"/>
  <c r="M168" i="1" s="1"/>
  <c r="O168" i="1" s="1"/>
  <c r="M172" i="1" a="1"/>
  <c r="M172" i="1" s="1"/>
  <c r="O172" i="1" s="1"/>
  <c r="M189" i="1" a="1"/>
  <c r="M189" i="1" s="1"/>
  <c r="M260" i="1" a="1"/>
  <c r="M260" i="1" s="1"/>
  <c r="O260" i="1" s="1"/>
  <c r="M270" i="1" a="1"/>
  <c r="M270" i="1" s="1"/>
  <c r="M286" i="1" a="1"/>
  <c r="M286" i="1" s="1"/>
  <c r="O286" i="1" s="1"/>
  <c r="M302" i="1" a="1"/>
  <c r="M302" i="1" s="1"/>
  <c r="M309" i="1" a="1"/>
  <c r="M309" i="1" s="1"/>
  <c r="M398" i="1" a="1"/>
  <c r="M398" i="1" s="1"/>
  <c r="M407" i="1" a="1"/>
  <c r="M407" i="1" s="1"/>
  <c r="N407" i="1" s="1"/>
  <c r="M420" i="1" a="1"/>
  <c r="M420" i="1" s="1"/>
  <c r="N420" i="1" s="1"/>
  <c r="M433" i="1" a="1"/>
  <c r="M433" i="1" s="1"/>
  <c r="O433" i="1" s="1"/>
  <c r="M461" i="1" a="1"/>
  <c r="M461" i="1" s="1"/>
  <c r="N461" i="1" s="1"/>
  <c r="M468" i="1" a="1"/>
  <c r="M468" i="1" s="1"/>
  <c r="M509" i="1" a="1"/>
  <c r="M509" i="1" s="1"/>
  <c r="M516" i="1" a="1"/>
  <c r="M516" i="1" s="1"/>
  <c r="O516" i="1" s="1"/>
  <c r="N1209" i="1"/>
  <c r="O1209" i="1"/>
  <c r="N1221" i="1"/>
  <c r="O1221" i="1"/>
  <c r="M10" i="1" a="1"/>
  <c r="M10" i="1" s="1"/>
  <c r="O10" i="1" s="1"/>
  <c r="M30" i="1" a="1"/>
  <c r="M30" i="1" s="1"/>
  <c r="M42" i="1" a="1"/>
  <c r="M42" i="1" s="1"/>
  <c r="N42" i="1" s="1"/>
  <c r="M103" i="1" a="1"/>
  <c r="M103" i="1" s="1"/>
  <c r="M115" i="1" a="1"/>
  <c r="M115" i="1" s="1"/>
  <c r="N115" i="1" s="1"/>
  <c r="M131" i="1" a="1"/>
  <c r="M131" i="1" s="1"/>
  <c r="O131" i="1" s="1"/>
  <c r="M138" i="1" a="1"/>
  <c r="M138" i="1" s="1"/>
  <c r="O138" i="1" s="1"/>
  <c r="M156" i="1" a="1"/>
  <c r="M156" i="1" s="1"/>
  <c r="O156" i="1" s="1"/>
  <c r="M212" i="1" a="1"/>
  <c r="M212" i="1" s="1"/>
  <c r="M236" i="1" a="1"/>
  <c r="M236" i="1" s="1"/>
  <c r="M261" i="1" a="1"/>
  <c r="M261" i="1" s="1"/>
  <c r="O261" i="1" s="1"/>
  <c r="M288" i="1" a="1"/>
  <c r="M288" i="1" s="1"/>
  <c r="M295" i="1" a="1"/>
  <c r="M295" i="1" s="1"/>
  <c r="N295" i="1" s="1"/>
  <c r="M321" i="1" a="1"/>
  <c r="M321" i="1" s="1"/>
  <c r="M341" i="1" a="1"/>
  <c r="M341" i="1" s="1"/>
  <c r="N341" i="1" s="1"/>
  <c r="M363" i="1" a="1"/>
  <c r="M363" i="1" s="1"/>
  <c r="M367" i="1" a="1"/>
  <c r="M367" i="1" s="1"/>
  <c r="N367" i="1" s="1"/>
  <c r="M380" i="1" a="1"/>
  <c r="M380" i="1" s="1"/>
  <c r="N380" i="1" s="1"/>
  <c r="M387" i="1" a="1"/>
  <c r="M387" i="1" s="1"/>
  <c r="N387" i="1" s="1"/>
  <c r="M440" i="1" a="1"/>
  <c r="M440" i="1" s="1"/>
  <c r="M528" i="1" a="1"/>
  <c r="M528" i="1" s="1"/>
  <c r="M556" i="1" a="1"/>
  <c r="M556" i="1" s="1"/>
  <c r="M577" i="1" a="1"/>
  <c r="M577" i="1" s="1"/>
  <c r="M12" i="1" a="1"/>
  <c r="M12" i="1" s="1"/>
  <c r="M16" i="1" a="1"/>
  <c r="M16" i="1" s="1"/>
  <c r="O16" i="1" s="1"/>
  <c r="M35" i="1" a="1"/>
  <c r="M35" i="1" s="1"/>
  <c r="M51" i="1" a="1"/>
  <c r="M51" i="1" s="1"/>
  <c r="O51" i="1" s="1"/>
  <c r="M60" i="1" a="1"/>
  <c r="M60" i="1" s="1"/>
  <c r="M67" i="1" a="1"/>
  <c r="M67" i="1" s="1"/>
  <c r="M79" i="1" a="1"/>
  <c r="M79" i="1" s="1"/>
  <c r="O79" i="1" s="1"/>
  <c r="M91" i="1" a="1"/>
  <c r="M91" i="1" s="1"/>
  <c r="O91" i="1" s="1"/>
  <c r="M129" i="1" a="1"/>
  <c r="M129" i="1" s="1"/>
  <c r="N129" i="1" s="1"/>
  <c r="M143" i="1" a="1"/>
  <c r="M143" i="1" s="1"/>
  <c r="M145" i="1" a="1"/>
  <c r="M145" i="1" s="1"/>
  <c r="M157" i="1" a="1"/>
  <c r="M157" i="1" s="1"/>
  <c r="M159" i="1" a="1"/>
  <c r="M159" i="1" s="1"/>
  <c r="M166" i="1" a="1"/>
  <c r="M166" i="1" s="1"/>
  <c r="O166" i="1" s="1"/>
  <c r="M201" i="1" a="1"/>
  <c r="M201" i="1" s="1"/>
  <c r="M210" i="1" a="1"/>
  <c r="M210" i="1" s="1"/>
  <c r="N210" i="1" s="1"/>
  <c r="M217" i="1" a="1"/>
  <c r="M217" i="1" s="1"/>
  <c r="M256" i="1" a="1"/>
  <c r="M256" i="1" s="1"/>
  <c r="O256" i="1" s="1"/>
  <c r="M284" i="1" a="1"/>
  <c r="M284" i="1" s="1"/>
  <c r="N284" i="1" s="1"/>
  <c r="M300" i="1" a="1"/>
  <c r="M300" i="1" s="1"/>
  <c r="N300" i="1" s="1"/>
  <c r="M307" i="1" a="1"/>
  <c r="M307" i="1" s="1"/>
  <c r="N307" i="1" s="1"/>
  <c r="M328" i="1" a="1"/>
  <c r="M328" i="1" s="1"/>
  <c r="M356" i="1" a="1"/>
  <c r="M356" i="1" s="1"/>
  <c r="M425" i="1" a="1"/>
  <c r="M425" i="1" s="1"/>
  <c r="M429" i="1" a="1"/>
  <c r="M429" i="1" s="1"/>
  <c r="M431" i="1" a="1"/>
  <c r="M431" i="1" s="1"/>
  <c r="N431" i="1" s="1"/>
  <c r="M464" i="1" a="1"/>
  <c r="M464" i="1" s="1"/>
  <c r="N464" i="1" s="1"/>
  <c r="M540" i="1" a="1"/>
  <c r="M540" i="1" s="1"/>
  <c r="N540" i="1" s="1"/>
  <c r="O1079" i="1"/>
  <c r="N1079" i="1"/>
  <c r="M18" i="1" a="1"/>
  <c r="M18" i="1" s="1"/>
  <c r="O18" i="1" s="1"/>
  <c r="M28" i="1" a="1"/>
  <c r="M28" i="1" s="1"/>
  <c r="O28" i="1" s="1"/>
  <c r="M40" i="1" a="1"/>
  <c r="M40" i="1" s="1"/>
  <c r="M47" i="1" a="1"/>
  <c r="M47" i="1" s="1"/>
  <c r="M62" i="1" a="1"/>
  <c r="M62" i="1" s="1"/>
  <c r="M96" i="1" a="1"/>
  <c r="M96" i="1" s="1"/>
  <c r="M108" i="1" a="1"/>
  <c r="M108" i="1" s="1"/>
  <c r="M150" i="1" a="1"/>
  <c r="M150" i="1" s="1"/>
  <c r="O150" i="1" s="1"/>
  <c r="M152" i="1" a="1"/>
  <c r="M152" i="1" s="1"/>
  <c r="M171" i="1" a="1"/>
  <c r="M171" i="1" s="1"/>
  <c r="N171" i="1" s="1"/>
  <c r="M215" i="1" a="1"/>
  <c r="M215" i="1" s="1"/>
  <c r="M232" i="1" a="1"/>
  <c r="M232" i="1" s="1"/>
  <c r="N232" i="1" s="1"/>
  <c r="M239" i="1" a="1"/>
  <c r="M239" i="1" s="1"/>
  <c r="N239" i="1" s="1"/>
  <c r="M250" i="1" a="1"/>
  <c r="M250" i="1" s="1"/>
  <c r="O250" i="1" s="1"/>
  <c r="M273" i="1" a="1"/>
  <c r="M273" i="1" s="1"/>
  <c r="M291" i="1" a="1"/>
  <c r="M291" i="1" s="1"/>
  <c r="M314" i="1" a="1"/>
  <c r="M314" i="1" s="1"/>
  <c r="M326" i="1" a="1"/>
  <c r="M326" i="1" s="1"/>
  <c r="M337" i="1" a="1"/>
  <c r="M337" i="1" s="1"/>
  <c r="M350" i="1" a="1"/>
  <c r="M350" i="1" s="1"/>
  <c r="N350" i="1" s="1"/>
  <c r="M352" i="1" a="1"/>
  <c r="M352" i="1" s="1"/>
  <c r="M374" i="1" a="1"/>
  <c r="M374" i="1" s="1"/>
  <c r="N374" i="1" s="1"/>
  <c r="M405" i="1" a="1"/>
  <c r="M405" i="1" s="1"/>
  <c r="M414" i="1" a="1"/>
  <c r="M414" i="1" s="1"/>
  <c r="N414" i="1" s="1"/>
  <c r="M418" i="1" a="1"/>
  <c r="M418" i="1" s="1"/>
  <c r="O418" i="1" s="1"/>
  <c r="M438" i="1" a="1"/>
  <c r="M438" i="1" s="1"/>
  <c r="N438" i="1" s="1"/>
  <c r="M449" i="1" a="1"/>
  <c r="M449" i="1" s="1"/>
  <c r="M492" i="1" a="1"/>
  <c r="M492" i="1" s="1"/>
  <c r="M505" i="1" a="1"/>
  <c r="M505" i="1" s="1"/>
  <c r="M521" i="1" a="1"/>
  <c r="M521" i="1" s="1"/>
  <c r="M526" i="1" a="1"/>
  <c r="M526" i="1" s="1"/>
  <c r="M587" i="1" a="1"/>
  <c r="M587" i="1" s="1"/>
  <c r="O587" i="1" s="1"/>
  <c r="M635" i="1" a="1"/>
  <c r="M635" i="1" s="1"/>
  <c r="O936" i="1"/>
  <c r="N936" i="1"/>
  <c r="N442" i="1"/>
  <c r="O442" i="1"/>
  <c r="N531" i="1"/>
  <c r="O531" i="1"/>
  <c r="O780" i="1"/>
  <c r="N780" i="1"/>
  <c r="N818" i="1"/>
  <c r="O818" i="1"/>
  <c r="N872" i="1"/>
  <c r="O872" i="1"/>
  <c r="M56" i="1" a="1"/>
  <c r="M56" i="1" s="1"/>
  <c r="O56" i="1" s="1"/>
  <c r="M63" i="1" a="1"/>
  <c r="M63" i="1" s="1"/>
  <c r="N63" i="1" s="1"/>
  <c r="M155" i="1" a="1"/>
  <c r="M155" i="1" s="1"/>
  <c r="O155" i="1" s="1"/>
  <c r="M162" i="1" a="1"/>
  <c r="M162" i="1" s="1"/>
  <c r="M173" i="1" a="1"/>
  <c r="M173" i="1" s="1"/>
  <c r="O173" i="1" s="1"/>
  <c r="M180" i="1" a="1"/>
  <c r="M180" i="1" s="1"/>
  <c r="M324" i="1" a="1"/>
  <c r="M324" i="1" s="1"/>
  <c r="O339" i="1"/>
  <c r="M344" i="1" a="1"/>
  <c r="M344" i="1" s="1"/>
  <c r="O344" i="1" s="1"/>
  <c r="N354" i="1"/>
  <c r="M370" i="1" a="1"/>
  <c r="M370" i="1" s="1"/>
  <c r="N370" i="1" s="1"/>
  <c r="M390" i="1" a="1"/>
  <c r="M390" i="1" s="1"/>
  <c r="M445" i="1" a="1"/>
  <c r="M445" i="1" s="1"/>
  <c r="O445" i="1" s="1"/>
  <c r="M462" i="1" a="1"/>
  <c r="M462" i="1" s="1"/>
  <c r="N462" i="1" s="1"/>
  <c r="M761" i="1" a="1"/>
  <c r="M761" i="1" s="1"/>
  <c r="N761" i="1" s="1"/>
  <c r="N806" i="1"/>
  <c r="O806" i="1"/>
  <c r="N823" i="1"/>
  <c r="N860" i="1"/>
  <c r="N1103" i="1"/>
  <c r="O1103" i="1"/>
  <c r="N1115" i="1"/>
  <c r="O1115" i="1"/>
  <c r="M31" i="1" a="1"/>
  <c r="M31" i="1" s="1"/>
  <c r="O31" i="1" s="1"/>
  <c r="M43" i="1" a="1"/>
  <c r="M43" i="1" s="1"/>
  <c r="O43" i="1" s="1"/>
  <c r="M58" i="1" a="1"/>
  <c r="M58" i="1" s="1"/>
  <c r="N58" i="1" s="1"/>
  <c r="M75" i="1" a="1"/>
  <c r="M75" i="1" s="1"/>
  <c r="N75" i="1" s="1"/>
  <c r="M87" i="1" a="1"/>
  <c r="M87" i="1" s="1"/>
  <c r="M116" i="1" a="1"/>
  <c r="M116" i="1" s="1"/>
  <c r="O116" i="1" s="1"/>
  <c r="M153" i="1" a="1"/>
  <c r="M153" i="1" s="1"/>
  <c r="M167" i="1" a="1"/>
  <c r="M167" i="1" s="1"/>
  <c r="O167" i="1" s="1"/>
  <c r="M169" i="1" a="1"/>
  <c r="M169" i="1" s="1"/>
  <c r="M181" i="1" a="1"/>
  <c r="M181" i="1" s="1"/>
  <c r="N181" i="1" s="1"/>
  <c r="M183" i="1" a="1"/>
  <c r="M183" i="1" s="1"/>
  <c r="M190" i="1" a="1"/>
  <c r="M190" i="1" s="1"/>
  <c r="O190" i="1" s="1"/>
  <c r="M228" i="1" a="1"/>
  <c r="M228" i="1" s="1"/>
  <c r="N228" i="1" s="1"/>
  <c r="M248" i="1" a="1"/>
  <c r="M248" i="1" s="1"/>
  <c r="N248" i="1" s="1"/>
  <c r="M252" i="1" a="1"/>
  <c r="M252" i="1" s="1"/>
  <c r="M276" i="1" a="1"/>
  <c r="M276" i="1" s="1"/>
  <c r="M296" i="1" a="1"/>
  <c r="M296" i="1" s="1"/>
  <c r="M315" i="1" a="1"/>
  <c r="M315" i="1" s="1"/>
  <c r="O315" i="1" s="1"/>
  <c r="M322" i="1" a="1"/>
  <c r="M322" i="1" s="1"/>
  <c r="M346" i="1" a="1"/>
  <c r="M346" i="1" s="1"/>
  <c r="O346" i="1" s="1"/>
  <c r="M368" i="1" a="1"/>
  <c r="M368" i="1" s="1"/>
  <c r="M375" i="1" a="1"/>
  <c r="M375" i="1" s="1"/>
  <c r="N375" i="1" s="1"/>
  <c r="M388" i="1" a="1"/>
  <c r="M388" i="1" s="1"/>
  <c r="M410" i="1" a="1"/>
  <c r="M410" i="1" s="1"/>
  <c r="O410" i="1" s="1"/>
  <c r="M423" i="1" a="1"/>
  <c r="M423" i="1" s="1"/>
  <c r="N423" i="1" s="1"/>
  <c r="M467" i="1" a="1"/>
  <c r="M467" i="1" s="1"/>
  <c r="N467" i="1" s="1"/>
  <c r="M469" i="1" a="1"/>
  <c r="M469" i="1" s="1"/>
  <c r="M495" i="1" a="1"/>
  <c r="M495" i="1" s="1"/>
  <c r="M506" i="1" a="1"/>
  <c r="M506" i="1" s="1"/>
  <c r="M508" i="1" a="1"/>
  <c r="M508" i="1" s="1"/>
  <c r="N508" i="1" s="1"/>
  <c r="N842" i="1"/>
  <c r="O842" i="1"/>
  <c r="N1158" i="1"/>
  <c r="O1158" i="1"/>
  <c r="M5" i="1" a="1"/>
  <c r="M5" i="1" s="1"/>
  <c r="N5" i="1" s="1"/>
  <c r="M11" i="1" a="1"/>
  <c r="M11" i="1" s="1"/>
  <c r="M24" i="1" a="1"/>
  <c r="M24" i="1" s="1"/>
  <c r="M36" i="1" a="1"/>
  <c r="M36" i="1" s="1"/>
  <c r="O36" i="1" s="1"/>
  <c r="M92" i="1" a="1"/>
  <c r="M92" i="1" s="1"/>
  <c r="N92" i="1" s="1"/>
  <c r="M104" i="1" a="1"/>
  <c r="M104" i="1" s="1"/>
  <c r="M123" i="1" a="1"/>
  <c r="M123" i="1" s="1"/>
  <c r="M137" i="1" a="1"/>
  <c r="M137" i="1" s="1"/>
  <c r="N137" i="1" s="1"/>
  <c r="M160" i="1" a="1"/>
  <c r="M160" i="1" s="1"/>
  <c r="M174" i="1" a="1"/>
  <c r="M174" i="1" s="1"/>
  <c r="N174" i="1" s="1"/>
  <c r="M176" i="1" a="1"/>
  <c r="M176" i="1" s="1"/>
  <c r="M195" i="1" a="1"/>
  <c r="M195" i="1" s="1"/>
  <c r="N195" i="1" s="1"/>
  <c r="M242" i="1" a="1"/>
  <c r="M242" i="1" s="1"/>
  <c r="O242" i="1" s="1"/>
  <c r="M269" i="1" a="1"/>
  <c r="M269" i="1" s="1"/>
  <c r="N269" i="1" s="1"/>
  <c r="M285" i="1" a="1"/>
  <c r="M285" i="1" s="1"/>
  <c r="M303" i="1" a="1"/>
  <c r="M303" i="1" s="1"/>
  <c r="N303" i="1" s="1"/>
  <c r="M308" i="1" a="1"/>
  <c r="M308" i="1" s="1"/>
  <c r="M312" i="1" a="1"/>
  <c r="M312" i="1" s="1"/>
  <c r="M327" i="1" a="1"/>
  <c r="M327" i="1" s="1"/>
  <c r="M329" i="1" a="1"/>
  <c r="M329" i="1" s="1"/>
  <c r="M338" i="1" a="1"/>
  <c r="M338" i="1" s="1"/>
  <c r="M357" i="1" a="1"/>
  <c r="M357" i="1" s="1"/>
  <c r="N357" i="1" s="1"/>
  <c r="M364" i="1" a="1"/>
  <c r="M364" i="1" s="1"/>
  <c r="M377" i="1" a="1"/>
  <c r="M377" i="1" s="1"/>
  <c r="O377" i="1" s="1"/>
  <c r="M381" i="1" a="1"/>
  <c r="M381" i="1" s="1"/>
  <c r="O381" i="1" s="1"/>
  <c r="M397" i="1" a="1"/>
  <c r="M397" i="1" s="1"/>
  <c r="M432" i="1" a="1"/>
  <c r="M432" i="1" s="1"/>
  <c r="M488" i="1" a="1"/>
  <c r="M488" i="1" s="1"/>
  <c r="O488" i="1" s="1"/>
  <c r="M497" i="1" a="1"/>
  <c r="M497" i="1" s="1"/>
  <c r="M752" i="1" a="1"/>
  <c r="M752" i="1" s="1"/>
  <c r="O752" i="1" s="1"/>
  <c r="O1151" i="1"/>
  <c r="N1163" i="1"/>
  <c r="O1163" i="1"/>
  <c r="M52" i="1" a="1"/>
  <c r="M52" i="1" s="1"/>
  <c r="M59" i="1" a="1"/>
  <c r="M59" i="1" s="1"/>
  <c r="O59" i="1" s="1"/>
  <c r="M68" i="1" a="1"/>
  <c r="M68" i="1" s="1"/>
  <c r="M73" i="1" a="1"/>
  <c r="M73" i="1" s="1"/>
  <c r="O73" i="1" s="1"/>
  <c r="M80" i="1" a="1"/>
  <c r="M80" i="1" s="1"/>
  <c r="N80" i="1" s="1"/>
  <c r="M82" i="1" a="1"/>
  <c r="M82" i="1" s="1"/>
  <c r="N82" i="1" s="1"/>
  <c r="M85" i="1" a="1"/>
  <c r="M85" i="1" s="1"/>
  <c r="M94" i="1" a="1"/>
  <c r="M94" i="1" s="1"/>
  <c r="N94" i="1" s="1"/>
  <c r="M97" i="1" a="1"/>
  <c r="M97" i="1" s="1"/>
  <c r="M106" i="1" a="1"/>
  <c r="M106" i="1" s="1"/>
  <c r="N106" i="1" s="1"/>
  <c r="M109" i="1" a="1"/>
  <c r="M109" i="1" s="1"/>
  <c r="M130" i="1" a="1"/>
  <c r="M130" i="1" s="1"/>
  <c r="M132" i="1" a="1"/>
  <c r="M132" i="1" s="1"/>
  <c r="N132" i="1" s="1"/>
  <c r="M144" i="1" a="1"/>
  <c r="M144" i="1" s="1"/>
  <c r="O144" i="1" s="1"/>
  <c r="M148" i="1" a="1"/>
  <c r="M148" i="1" s="1"/>
  <c r="M165" i="1" a="1"/>
  <c r="M165" i="1" s="1"/>
  <c r="O165" i="1" s="1"/>
  <c r="M188" i="1" a="1"/>
  <c r="M188" i="1" s="1"/>
  <c r="M202" i="1" a="1"/>
  <c r="M202" i="1" s="1"/>
  <c r="O202" i="1" s="1"/>
  <c r="M209" i="1" a="1"/>
  <c r="M209" i="1" s="1"/>
  <c r="M218" i="1" a="1"/>
  <c r="M218" i="1" s="1"/>
  <c r="N218" i="1" s="1"/>
  <c r="M224" i="1" a="1"/>
  <c r="M224" i="1" s="1"/>
  <c r="M231" i="1" a="1"/>
  <c r="M231" i="1" s="1"/>
  <c r="N231" i="1" s="1"/>
  <c r="M249" i="1" a="1"/>
  <c r="M249" i="1" s="1"/>
  <c r="M264" i="1" a="1"/>
  <c r="M264" i="1" s="1"/>
  <c r="O264" i="1" s="1"/>
  <c r="M313" i="1" a="1"/>
  <c r="M313" i="1" s="1"/>
  <c r="M320" i="1" a="1"/>
  <c r="M320" i="1" s="1"/>
  <c r="O320" i="1" s="1"/>
  <c r="M340" i="1" a="1"/>
  <c r="M340" i="1" s="1"/>
  <c r="M353" i="1" a="1"/>
  <c r="M353" i="1" s="1"/>
  <c r="O353" i="1" s="1"/>
  <c r="M419" i="1" a="1"/>
  <c r="M419" i="1" s="1"/>
  <c r="M439" i="1" a="1"/>
  <c r="M439" i="1" s="1"/>
  <c r="M463" i="1" a="1"/>
  <c r="M463" i="1" s="1"/>
  <c r="N463" i="1" s="1"/>
  <c r="O788" i="1"/>
  <c r="N861" i="1"/>
  <c r="O861" i="1"/>
  <c r="O1030" i="1"/>
  <c r="N1030" i="1"/>
  <c r="N1137" i="1"/>
  <c r="O1137" i="1"/>
  <c r="N1206" i="1"/>
  <c r="O1206" i="1"/>
  <c r="M1327" i="1" a="1"/>
  <c r="M1327" i="1" s="1"/>
  <c r="O1327" i="1" s="1"/>
  <c r="M1332" i="1" a="1"/>
  <c r="M1332" i="1" s="1"/>
  <c r="M543" i="1" a="1"/>
  <c r="M543" i="1" s="1"/>
  <c r="N543" i="1" s="1"/>
  <c r="M545" i="1" a="1"/>
  <c r="M545" i="1" s="1"/>
  <c r="O545" i="1" s="1"/>
  <c r="M559" i="1" a="1"/>
  <c r="M559" i="1" s="1"/>
  <c r="N559" i="1" s="1"/>
  <c r="M561" i="1" a="1"/>
  <c r="M561" i="1" s="1"/>
  <c r="O561" i="1" s="1"/>
  <c r="M585" i="1" a="1"/>
  <c r="M585" i="1" s="1"/>
  <c r="O585" i="1" s="1"/>
  <c r="M589" i="1" a="1"/>
  <c r="M589" i="1" s="1"/>
  <c r="O589" i="1" s="1"/>
  <c r="M613" i="1" a="1"/>
  <c r="M613" i="1" s="1"/>
  <c r="O613" i="1" s="1"/>
  <c r="M654" i="1" a="1"/>
  <c r="M654" i="1" s="1"/>
  <c r="O654" i="1" s="1"/>
  <c r="M668" i="1" a="1"/>
  <c r="M668" i="1" s="1"/>
  <c r="M686" i="1" a="1"/>
  <c r="M686" i="1" s="1"/>
  <c r="M729" i="1" a="1"/>
  <c r="M729" i="1" s="1"/>
  <c r="O729" i="1" s="1"/>
  <c r="M743" i="1" a="1"/>
  <c r="M743" i="1" s="1"/>
  <c r="M764" i="1" a="1"/>
  <c r="M764" i="1" s="1"/>
  <c r="O764" i="1" s="1"/>
  <c r="M777" i="1" a="1"/>
  <c r="M777" i="1" s="1"/>
  <c r="O777" i="1" s="1"/>
  <c r="N796" i="1"/>
  <c r="M803" i="1" a="1"/>
  <c r="M803" i="1" s="1"/>
  <c r="O803" i="1" s="1"/>
  <c r="M807" i="1" a="1"/>
  <c r="M807" i="1" s="1"/>
  <c r="N807" i="1" s="1"/>
  <c r="O811" i="1"/>
  <c r="M839" i="1" a="1"/>
  <c r="M839" i="1" s="1"/>
  <c r="N839" i="1" s="1"/>
  <c r="M843" i="1" a="1"/>
  <c r="M843" i="1" s="1"/>
  <c r="O853" i="1"/>
  <c r="M881" i="1" a="1"/>
  <c r="M881" i="1" s="1"/>
  <c r="N881" i="1" s="1"/>
  <c r="M921" i="1" a="1"/>
  <c r="M921" i="1" s="1"/>
  <c r="O921" i="1" s="1"/>
  <c r="M923" i="1" a="1"/>
  <c r="M923" i="1" s="1"/>
  <c r="M960" i="1" a="1"/>
  <c r="M960" i="1" s="1"/>
  <c r="O960" i="1" s="1"/>
  <c r="M969" i="1" a="1"/>
  <c r="M969" i="1" s="1"/>
  <c r="N969" i="1" s="1"/>
  <c r="M972" i="1" a="1"/>
  <c r="M972" i="1" s="1"/>
  <c r="M1013" i="1" a="1"/>
  <c r="M1013" i="1" s="1"/>
  <c r="O1013" i="1" s="1"/>
  <c r="M1020" i="1" a="1"/>
  <c r="M1020" i="1" s="1"/>
  <c r="O1020" i="1" s="1"/>
  <c r="M1031" i="1" a="1"/>
  <c r="M1031" i="1" s="1"/>
  <c r="N1031" i="1" s="1"/>
  <c r="O1056" i="1"/>
  <c r="M1083" i="1" a="1"/>
  <c r="M1083" i="1" s="1"/>
  <c r="N1091" i="1"/>
  <c r="M1111" i="1" a="1"/>
  <c r="M1111" i="1" s="1"/>
  <c r="M1155" i="1" a="1"/>
  <c r="M1155" i="1" s="1"/>
  <c r="N1155" i="1" s="1"/>
  <c r="M1203" i="1" a="1"/>
  <c r="M1203" i="1" s="1"/>
  <c r="M1241" i="1" a="1"/>
  <c r="M1241" i="1" s="1"/>
  <c r="N1241" i="1" s="1"/>
  <c r="M1265" i="1" a="1"/>
  <c r="M1265" i="1" s="1"/>
  <c r="O1265" i="1" s="1"/>
  <c r="M1289" i="1" a="1"/>
  <c r="M1289" i="1" s="1"/>
  <c r="M1309" i="1" a="1"/>
  <c r="M1309" i="1" s="1"/>
  <c r="O1309" i="1" s="1"/>
  <c r="M1325" i="1" a="1"/>
  <c r="M1325" i="1" s="1"/>
  <c r="O1325" i="1" s="1"/>
  <c r="M523" i="1" a="1"/>
  <c r="M523" i="1" s="1"/>
  <c r="N523" i="1" s="1"/>
  <c r="M525" i="1" a="1"/>
  <c r="M525" i="1" s="1"/>
  <c r="O525" i="1" s="1"/>
  <c r="M578" i="1" a="1"/>
  <c r="M578" i="1" s="1"/>
  <c r="O578" i="1" s="1"/>
  <c r="M606" i="1" a="1"/>
  <c r="M606" i="1" s="1"/>
  <c r="M647" i="1" a="1"/>
  <c r="M647" i="1" s="1"/>
  <c r="N647" i="1" s="1"/>
  <c r="M677" i="1" a="1"/>
  <c r="M677" i="1" s="1"/>
  <c r="N677" i="1" s="1"/>
  <c r="M679" i="1" a="1"/>
  <c r="M679" i="1" s="1"/>
  <c r="N679" i="1" s="1"/>
  <c r="M684" i="1" a="1"/>
  <c r="M684" i="1" s="1"/>
  <c r="O684" i="1" s="1"/>
  <c r="M695" i="1" a="1"/>
  <c r="M695" i="1" s="1"/>
  <c r="O695" i="1" s="1"/>
  <c r="M700" i="1" a="1"/>
  <c r="M700" i="1" s="1"/>
  <c r="M702" i="1" a="1"/>
  <c r="M702" i="1" s="1"/>
  <c r="N702" i="1" s="1"/>
  <c r="M709" i="1" a="1"/>
  <c r="M709" i="1" s="1"/>
  <c r="N709" i="1" s="1"/>
  <c r="M723" i="1" a="1"/>
  <c r="M723" i="1" s="1"/>
  <c r="N723" i="1" s="1"/>
  <c r="M730" i="1" a="1"/>
  <c r="M730" i="1" s="1"/>
  <c r="O730" i="1" s="1"/>
  <c r="M745" i="1" a="1"/>
  <c r="M745" i="1" s="1"/>
  <c r="M748" i="1" a="1"/>
  <c r="M748" i="1" s="1"/>
  <c r="M759" i="1" a="1"/>
  <c r="M759" i="1" s="1"/>
  <c r="M786" i="1" a="1"/>
  <c r="M786" i="1" s="1"/>
  <c r="O786" i="1" s="1"/>
  <c r="M820" i="1" a="1"/>
  <c r="M820" i="1" s="1"/>
  <c r="M858" i="1" a="1"/>
  <c r="M858" i="1" s="1"/>
  <c r="N858" i="1" s="1"/>
  <c r="M862" i="1" a="1"/>
  <c r="M862" i="1" s="1"/>
  <c r="O862" i="1" s="1"/>
  <c r="M879" i="1" a="1"/>
  <c r="M879" i="1" s="1"/>
  <c r="O879" i="1" s="1"/>
  <c r="M926" i="1" a="1"/>
  <c r="M926" i="1" s="1"/>
  <c r="O926" i="1" s="1"/>
  <c r="M937" i="1" a="1"/>
  <c r="M937" i="1" s="1"/>
  <c r="N937" i="1" s="1"/>
  <c r="M944" i="1" a="1"/>
  <c r="M944" i="1" s="1"/>
  <c r="M953" i="1" a="1"/>
  <c r="M953" i="1" s="1"/>
  <c r="O953" i="1" s="1"/>
  <c r="M965" i="1" a="1"/>
  <c r="M965" i="1" s="1"/>
  <c r="M967" i="1" a="1"/>
  <c r="M967" i="1" s="1"/>
  <c r="M988" i="1" a="1"/>
  <c r="M988" i="1" s="1"/>
  <c r="M1004" i="1" a="1"/>
  <c r="M1004" i="1" s="1"/>
  <c r="O1004" i="1" s="1"/>
  <c r="M1059" i="1" a="1"/>
  <c r="M1059" i="1" s="1"/>
  <c r="M1074" i="1" a="1"/>
  <c r="M1074" i="1" s="1"/>
  <c r="O1074" i="1" s="1"/>
  <c r="M1094" i="1" a="1"/>
  <c r="M1094" i="1" s="1"/>
  <c r="N1094" i="1" s="1"/>
  <c r="M1124" i="1" a="1"/>
  <c r="M1124" i="1" s="1"/>
  <c r="M1130" i="1" a="1"/>
  <c r="M1130" i="1" s="1"/>
  <c r="O1130" i="1" s="1"/>
  <c r="M1172" i="1" a="1"/>
  <c r="M1172" i="1" s="1"/>
  <c r="N1172" i="1" s="1"/>
  <c r="M1178" i="1" a="1"/>
  <c r="M1178" i="1" s="1"/>
  <c r="O1178" i="1" s="1"/>
  <c r="M1220" i="1" a="1"/>
  <c r="M1220" i="1" s="1"/>
  <c r="N1220" i="1" s="1"/>
  <c r="M1226" i="1" a="1"/>
  <c r="M1226" i="1" s="1"/>
  <c r="M1239" i="1" a="1"/>
  <c r="M1239" i="1" s="1"/>
  <c r="N1239" i="1" s="1"/>
  <c r="M1263" i="1" a="1"/>
  <c r="M1263" i="1" s="1"/>
  <c r="N1263" i="1" s="1"/>
  <c r="M1287" i="1" a="1"/>
  <c r="M1287" i="1" s="1"/>
  <c r="N1287" i="1" s="1"/>
  <c r="M1316" i="1" a="1"/>
  <c r="M1316" i="1" s="1"/>
  <c r="M532" i="1" a="1"/>
  <c r="M532" i="1" s="1"/>
  <c r="O532" i="1" s="1"/>
  <c r="M548" i="1" a="1"/>
  <c r="M548" i="1" s="1"/>
  <c r="O548" i="1" s="1"/>
  <c r="M564" i="1" a="1"/>
  <c r="M564" i="1" s="1"/>
  <c r="M590" i="1" a="1"/>
  <c r="M590" i="1" s="1"/>
  <c r="N590" i="1" s="1"/>
  <c r="M626" i="1" a="1"/>
  <c r="M626" i="1" s="1"/>
  <c r="O626" i="1" s="1"/>
  <c r="M636" i="1" a="1"/>
  <c r="M636" i="1" s="1"/>
  <c r="N636" i="1" s="1"/>
  <c r="M643" i="1" a="1"/>
  <c r="M643" i="1" s="1"/>
  <c r="O643" i="1" s="1"/>
  <c r="M652" i="1" a="1"/>
  <c r="M652" i="1" s="1"/>
  <c r="N652" i="1" s="1"/>
  <c r="M663" i="1" a="1"/>
  <c r="M663" i="1" s="1"/>
  <c r="M670" i="1" a="1"/>
  <c r="M670" i="1" s="1"/>
  <c r="M682" i="1" a="1"/>
  <c r="M682" i="1" s="1"/>
  <c r="O682" i="1" s="1"/>
  <c r="M713" i="1" a="1"/>
  <c r="M713" i="1" s="1"/>
  <c r="M762" i="1" a="1"/>
  <c r="M762" i="1" s="1"/>
  <c r="N762" i="1" s="1"/>
  <c r="M771" i="1" a="1"/>
  <c r="M771" i="1" s="1"/>
  <c r="O771" i="1" s="1"/>
  <c r="M797" i="1" a="1"/>
  <c r="M797" i="1" s="1"/>
  <c r="M833" i="1" a="1"/>
  <c r="M833" i="1" s="1"/>
  <c r="N833" i="1" s="1"/>
  <c r="M850" i="1" a="1"/>
  <c r="M850" i="1" s="1"/>
  <c r="M856" i="1" a="1"/>
  <c r="M856" i="1" s="1"/>
  <c r="O856" i="1" s="1"/>
  <c r="M901" i="1" a="1"/>
  <c r="M901" i="1" s="1"/>
  <c r="O901" i="1" s="1"/>
  <c r="M910" i="1" a="1"/>
  <c r="M910" i="1" s="1"/>
  <c r="N910" i="1" s="1"/>
  <c r="M917" i="1" a="1"/>
  <c r="M917" i="1" s="1"/>
  <c r="M935" i="1" a="1"/>
  <c r="M935" i="1" s="1"/>
  <c r="M939" i="1" a="1"/>
  <c r="M939" i="1" s="1"/>
  <c r="O939" i="1" s="1"/>
  <c r="M955" i="1" a="1"/>
  <c r="M955" i="1" s="1"/>
  <c r="M979" i="1" a="1"/>
  <c r="M979" i="1" s="1"/>
  <c r="N979" i="1" s="1"/>
  <c r="M993" i="1" a="1"/>
  <c r="M993" i="1" s="1"/>
  <c r="M999" i="1" a="1"/>
  <c r="M999" i="1" s="1"/>
  <c r="M1027" i="1" a="1"/>
  <c r="M1027" i="1" s="1"/>
  <c r="O1027" i="1" s="1"/>
  <c r="M1044" i="1" a="1"/>
  <c r="M1044" i="1" s="1"/>
  <c r="O1044" i="1" s="1"/>
  <c r="M1046" i="1" a="1"/>
  <c r="M1046" i="1" s="1"/>
  <c r="O1046" i="1" s="1"/>
  <c r="M1055" i="1" a="1"/>
  <c r="M1055" i="1" s="1"/>
  <c r="M1107" i="1" a="1"/>
  <c r="M1107" i="1" s="1"/>
  <c r="M1128" i="1" a="1"/>
  <c r="M1128" i="1" s="1"/>
  <c r="M1145" i="1" a="1"/>
  <c r="M1145" i="1" s="1"/>
  <c r="M1147" i="1" a="1"/>
  <c r="M1147" i="1" s="1"/>
  <c r="N1147" i="1" s="1"/>
  <c r="M1176" i="1" a="1"/>
  <c r="M1176" i="1" s="1"/>
  <c r="M1193" i="1" a="1"/>
  <c r="M1193" i="1" s="1"/>
  <c r="N1193" i="1" s="1"/>
  <c r="M1195" i="1" a="1"/>
  <c r="M1195" i="1" s="1"/>
  <c r="N1195" i="1" s="1"/>
  <c r="M1224" i="1" a="1"/>
  <c r="M1224" i="1" s="1"/>
  <c r="M1237" i="1" a="1"/>
  <c r="M1237" i="1" s="1"/>
  <c r="N1237" i="1" s="1"/>
  <c r="M1261" i="1" a="1"/>
  <c r="M1261" i="1" s="1"/>
  <c r="N1261" i="1" s="1"/>
  <c r="M1285" i="1" a="1"/>
  <c r="M1285" i="1" s="1"/>
  <c r="O1285" i="1" s="1"/>
  <c r="M1307" i="1" a="1"/>
  <c r="M1307" i="1" s="1"/>
  <c r="O1307" i="1" s="1"/>
  <c r="M1323" i="1" a="1"/>
  <c r="M1323" i="1" s="1"/>
  <c r="M1328" i="1" a="1"/>
  <c r="M1328" i="1" s="1"/>
  <c r="M1337" i="1" a="1"/>
  <c r="M1337" i="1" s="1"/>
  <c r="M371" i="1" a="1"/>
  <c r="M371" i="1" s="1"/>
  <c r="N371" i="1" s="1"/>
  <c r="M391" i="1" a="1"/>
  <c r="M391" i="1" s="1"/>
  <c r="M406" i="1" a="1"/>
  <c r="M406" i="1" s="1"/>
  <c r="O406" i="1" s="1"/>
  <c r="M434" i="1" a="1"/>
  <c r="M434" i="1" s="1"/>
  <c r="O434" i="1" s="1"/>
  <c r="M436" i="1" a="1"/>
  <c r="M436" i="1" s="1"/>
  <c r="N436" i="1" s="1"/>
  <c r="M476" i="1" a="1"/>
  <c r="M476" i="1" s="1"/>
  <c r="M480" i="1" a="1"/>
  <c r="M480" i="1" s="1"/>
  <c r="M484" i="1" a="1"/>
  <c r="M484" i="1" s="1"/>
  <c r="M501" i="1" a="1"/>
  <c r="M501" i="1" s="1"/>
  <c r="O501" i="1" s="1"/>
  <c r="M512" i="1" a="1"/>
  <c r="M512" i="1" s="1"/>
  <c r="O512" i="1" s="1"/>
  <c r="M519" i="1" a="1"/>
  <c r="M519" i="1" s="1"/>
  <c r="M539" i="1" a="1"/>
  <c r="M539" i="1" s="1"/>
  <c r="M541" i="1" a="1"/>
  <c r="M541" i="1" s="1"/>
  <c r="O541" i="1" s="1"/>
  <c r="M555" i="1" a="1"/>
  <c r="M555" i="1" s="1"/>
  <c r="M557" i="1" a="1"/>
  <c r="M557" i="1" s="1"/>
  <c r="O557" i="1" s="1"/>
  <c r="M571" i="1" a="1"/>
  <c r="M571" i="1" s="1"/>
  <c r="O571" i="1" s="1"/>
  <c r="M573" i="1" a="1"/>
  <c r="M573" i="1" s="1"/>
  <c r="O573" i="1" s="1"/>
  <c r="M599" i="1" a="1"/>
  <c r="M599" i="1" s="1"/>
  <c r="O599" i="1" s="1"/>
  <c r="M666" i="1" a="1"/>
  <c r="M666" i="1" s="1"/>
  <c r="N666" i="1" s="1"/>
  <c r="M675" i="1" a="1"/>
  <c r="M675" i="1" s="1"/>
  <c r="O675" i="1" s="1"/>
  <c r="M689" i="1" a="1"/>
  <c r="M689" i="1" s="1"/>
  <c r="O689" i="1" s="1"/>
  <c r="M691" i="1" a="1"/>
  <c r="M691" i="1" s="1"/>
  <c r="M698" i="1" a="1"/>
  <c r="M698" i="1" s="1"/>
  <c r="M707" i="1" a="1"/>
  <c r="M707" i="1" s="1"/>
  <c r="M714" i="1" a="1"/>
  <c r="M714" i="1" s="1"/>
  <c r="N714" i="1" s="1"/>
  <c r="M721" i="1" a="1"/>
  <c r="M721" i="1" s="1"/>
  <c r="M753" i="1" a="1"/>
  <c r="M753" i="1" s="1"/>
  <c r="O753" i="1" s="1"/>
  <c r="M760" i="1" a="1"/>
  <c r="M760" i="1" s="1"/>
  <c r="O760" i="1" s="1"/>
  <c r="M773" i="1" a="1"/>
  <c r="M773" i="1" s="1"/>
  <c r="O773" i="1" s="1"/>
  <c r="M782" i="1" a="1"/>
  <c r="M782" i="1" s="1"/>
  <c r="O782" i="1" s="1"/>
  <c r="M795" i="1" a="1"/>
  <c r="M795" i="1" s="1"/>
  <c r="O795" i="1" s="1"/>
  <c r="M810" i="1" a="1"/>
  <c r="M810" i="1" s="1"/>
  <c r="N810" i="1" s="1"/>
  <c r="M814" i="1" a="1"/>
  <c r="M814" i="1" s="1"/>
  <c r="N814" i="1" s="1"/>
  <c r="M848" i="1" a="1"/>
  <c r="M848" i="1" s="1"/>
  <c r="N848" i="1" s="1"/>
  <c r="M854" i="1" a="1"/>
  <c r="M854" i="1" s="1"/>
  <c r="N854" i="1" s="1"/>
  <c r="M877" i="1" a="1"/>
  <c r="M877" i="1" s="1"/>
  <c r="N877" i="1" s="1"/>
  <c r="M924" i="1" a="1"/>
  <c r="M924" i="1" s="1"/>
  <c r="O924" i="1" s="1"/>
  <c r="M951" i="1" a="1"/>
  <c r="M951" i="1" s="1"/>
  <c r="M995" i="1" a="1"/>
  <c r="M995" i="1" s="1"/>
  <c r="O995" i="1" s="1"/>
  <c r="M1002" i="1" a="1"/>
  <c r="M1002" i="1" s="1"/>
  <c r="N1002" i="1" s="1"/>
  <c r="M1009" i="1" a="1"/>
  <c r="M1009" i="1" s="1"/>
  <c r="M1042" i="1" a="1"/>
  <c r="M1042" i="1" s="1"/>
  <c r="O1042" i="1" s="1"/>
  <c r="M1068" i="1" a="1"/>
  <c r="M1068" i="1" s="1"/>
  <c r="M1081" i="1" a="1"/>
  <c r="M1081" i="1" s="1"/>
  <c r="O1081" i="1" s="1"/>
  <c r="M1088" i="1" a="1"/>
  <c r="M1088" i="1" s="1"/>
  <c r="O1088" i="1" s="1"/>
  <c r="M1090" i="1" a="1"/>
  <c r="M1090" i="1" s="1"/>
  <c r="N1090" i="1" s="1"/>
  <c r="M1143" i="1" a="1"/>
  <c r="M1143" i="1" s="1"/>
  <c r="M1191" i="1" a="1"/>
  <c r="M1191" i="1" s="1"/>
  <c r="M1235" i="1" a="1"/>
  <c r="M1235" i="1" s="1"/>
  <c r="N1235" i="1" s="1"/>
  <c r="M1259" i="1" a="1"/>
  <c r="M1259" i="1" s="1"/>
  <c r="N1259" i="1" s="1"/>
  <c r="M1283" i="1" a="1"/>
  <c r="M1283" i="1" s="1"/>
  <c r="N1283" i="1" s="1"/>
  <c r="M1305" i="1" a="1"/>
  <c r="M1305" i="1" s="1"/>
  <c r="O1305" i="1" s="1"/>
  <c r="M1321" i="1" a="1"/>
  <c r="M1321" i="1" s="1"/>
  <c r="M1335" i="1" a="1"/>
  <c r="M1335" i="1" s="1"/>
  <c r="O1335" i="1" s="1"/>
  <c r="M581" i="1" a="1"/>
  <c r="M581" i="1" s="1"/>
  <c r="N581" i="1" s="1"/>
  <c r="M588" i="1" a="1"/>
  <c r="M588" i="1" s="1"/>
  <c r="O588" i="1" s="1"/>
  <c r="M650" i="1" a="1"/>
  <c r="M650" i="1" s="1"/>
  <c r="O650" i="1" s="1"/>
  <c r="M659" i="1" a="1"/>
  <c r="M659" i="1" s="1"/>
  <c r="M664" i="1" a="1"/>
  <c r="M664" i="1" s="1"/>
  <c r="O664" i="1" s="1"/>
  <c r="M673" i="1" a="1"/>
  <c r="M673" i="1" s="1"/>
  <c r="M680" i="1" a="1"/>
  <c r="M680" i="1" s="1"/>
  <c r="O680" i="1" s="1"/>
  <c r="M705" i="1" a="1"/>
  <c r="M705" i="1" s="1"/>
  <c r="M728" i="1" a="1"/>
  <c r="M728" i="1" s="1"/>
  <c r="O728" i="1" s="1"/>
  <c r="M737" i="1" a="1"/>
  <c r="M737" i="1" s="1"/>
  <c r="N737" i="1" s="1"/>
  <c r="M741" i="1" a="1"/>
  <c r="M741" i="1" s="1"/>
  <c r="M746" i="1" a="1"/>
  <c r="M746" i="1" s="1"/>
  <c r="O746" i="1" s="1"/>
  <c r="M755" i="1" a="1"/>
  <c r="M755" i="1" s="1"/>
  <c r="O755" i="1" s="1"/>
  <c r="M793" i="1" a="1"/>
  <c r="M793" i="1" s="1"/>
  <c r="O793" i="1" s="1"/>
  <c r="M827" i="1" a="1"/>
  <c r="M827" i="1" s="1"/>
  <c r="N827" i="1" s="1"/>
  <c r="M831" i="1" a="1"/>
  <c r="M831" i="1" s="1"/>
  <c r="N831" i="1" s="1"/>
  <c r="M875" i="1" a="1"/>
  <c r="M875" i="1" s="1"/>
  <c r="M897" i="1" a="1"/>
  <c r="M897" i="1" s="1"/>
  <c r="M906" i="1" a="1"/>
  <c r="M906" i="1" s="1"/>
  <c r="N906" i="1" s="1"/>
  <c r="M931" i="1" a="1"/>
  <c r="M931" i="1" s="1"/>
  <c r="M940" i="1" a="1"/>
  <c r="M940" i="1" s="1"/>
  <c r="O940" i="1" s="1"/>
  <c r="M956" i="1" a="1"/>
  <c r="M956" i="1" s="1"/>
  <c r="O956" i="1" s="1"/>
  <c r="M968" i="1" a="1"/>
  <c r="M968" i="1" s="1"/>
  <c r="M1018" i="1" a="1"/>
  <c r="M1018" i="1" s="1"/>
  <c r="O1018" i="1" s="1"/>
  <c r="M1070" i="1" a="1"/>
  <c r="M1070" i="1" s="1"/>
  <c r="N1070" i="1" s="1"/>
  <c r="M1097" i="1" a="1"/>
  <c r="M1097" i="1" s="1"/>
  <c r="O1097" i="1" s="1"/>
  <c r="M1118" i="1" a="1"/>
  <c r="M1118" i="1" s="1"/>
  <c r="O1118" i="1" s="1"/>
  <c r="M1160" i="1" a="1"/>
  <c r="M1160" i="1" s="1"/>
  <c r="M1166" i="1" a="1"/>
  <c r="M1166" i="1" s="1"/>
  <c r="M1208" i="1" a="1"/>
  <c r="M1208" i="1" s="1"/>
  <c r="M1214" i="1" a="1"/>
  <c r="M1214" i="1" s="1"/>
  <c r="N1214" i="1" s="1"/>
  <c r="M1233" i="1" a="1"/>
  <c r="M1233" i="1" s="1"/>
  <c r="N1233" i="1" s="1"/>
  <c r="M1257" i="1" a="1"/>
  <c r="M1257" i="1" s="1"/>
  <c r="N1257" i="1" s="1"/>
  <c r="M1281" i="1" a="1"/>
  <c r="M1281" i="1" s="1"/>
  <c r="N1281" i="1" s="1"/>
  <c r="M1312" i="1" a="1"/>
  <c r="M1312" i="1" s="1"/>
  <c r="M515" i="1" a="1"/>
  <c r="M515" i="1" s="1"/>
  <c r="N515" i="1" s="1"/>
  <c r="M517" i="1" a="1"/>
  <c r="M517" i="1" s="1"/>
  <c r="O517" i="1" s="1"/>
  <c r="M524" i="1" a="1"/>
  <c r="M524" i="1" s="1"/>
  <c r="O524" i="1" s="1"/>
  <c r="M535" i="1" a="1"/>
  <c r="M535" i="1" s="1"/>
  <c r="N535" i="1" s="1"/>
  <c r="M537" i="1" a="1"/>
  <c r="M537" i="1" s="1"/>
  <c r="O537" i="1" s="1"/>
  <c r="M551" i="1" a="1"/>
  <c r="M551" i="1" s="1"/>
  <c r="M553" i="1" a="1"/>
  <c r="M553" i="1" s="1"/>
  <c r="O553" i="1" s="1"/>
  <c r="M567" i="1" a="1"/>
  <c r="M567" i="1" s="1"/>
  <c r="N567" i="1" s="1"/>
  <c r="M569" i="1" a="1"/>
  <c r="M569" i="1" s="1"/>
  <c r="M597" i="1" a="1"/>
  <c r="M597" i="1" s="1"/>
  <c r="N597" i="1" s="1"/>
  <c r="M618" i="1" a="1"/>
  <c r="M618" i="1" s="1"/>
  <c r="O618" i="1" s="1"/>
  <c r="M630" i="1" a="1"/>
  <c r="M630" i="1" s="1"/>
  <c r="N630" i="1" s="1"/>
  <c r="M639" i="1" a="1"/>
  <c r="M639" i="1" s="1"/>
  <c r="N639" i="1" s="1"/>
  <c r="M660" i="1" a="1"/>
  <c r="M660" i="1" s="1"/>
  <c r="N660" i="1" s="1"/>
  <c r="M662" i="1" a="1"/>
  <c r="M662" i="1" s="1"/>
  <c r="O662" i="1" s="1"/>
  <c r="M669" i="1" a="1"/>
  <c r="M669" i="1" s="1"/>
  <c r="N669" i="1" s="1"/>
  <c r="M687" i="1" a="1"/>
  <c r="M687" i="1" s="1"/>
  <c r="O687" i="1" s="1"/>
  <c r="M712" i="1" a="1"/>
  <c r="M712" i="1" s="1"/>
  <c r="M724" i="1" a="1"/>
  <c r="M724" i="1" s="1"/>
  <c r="M739" i="1" a="1"/>
  <c r="M739" i="1" s="1"/>
  <c r="N739" i="1" s="1"/>
  <c r="M789" i="1" a="1"/>
  <c r="M789" i="1" s="1"/>
  <c r="M802" i="1" a="1"/>
  <c r="M802" i="1" s="1"/>
  <c r="N802" i="1" s="1"/>
  <c r="M821" i="1" a="1"/>
  <c r="M821" i="1" s="1"/>
  <c r="N821" i="1" s="1"/>
  <c r="M859" i="1" a="1"/>
  <c r="M859" i="1" s="1"/>
  <c r="N859" i="1" s="1"/>
  <c r="M863" i="1" a="1"/>
  <c r="M863" i="1" s="1"/>
  <c r="N863" i="1" s="1"/>
  <c r="M893" i="1" a="1"/>
  <c r="M893" i="1" s="1"/>
  <c r="N893" i="1" s="1"/>
  <c r="M902" i="1" a="1"/>
  <c r="M902" i="1" s="1"/>
  <c r="O902" i="1" s="1"/>
  <c r="M938" i="1" a="1"/>
  <c r="M938" i="1" s="1"/>
  <c r="N938" i="1" s="1"/>
  <c r="M945" i="1" a="1"/>
  <c r="M945" i="1" s="1"/>
  <c r="N945" i="1" s="1"/>
  <c r="M949" i="1" a="1"/>
  <c r="M949" i="1" s="1"/>
  <c r="M978" i="1" a="1"/>
  <c r="M978" i="1" s="1"/>
  <c r="M1014" i="1" a="1"/>
  <c r="M1014" i="1" s="1"/>
  <c r="O1014" i="1" s="1"/>
  <c r="M1034" i="1" a="1"/>
  <c r="M1034" i="1" s="1"/>
  <c r="O1034" i="1" s="1"/>
  <c r="M1038" i="1" a="1"/>
  <c r="M1038" i="1" s="1"/>
  <c r="N1038" i="1" s="1"/>
  <c r="M1049" i="1" a="1"/>
  <c r="M1049" i="1" s="1"/>
  <c r="O1049" i="1" s="1"/>
  <c r="M1062" i="1" a="1"/>
  <c r="M1062" i="1" s="1"/>
  <c r="O1072" i="1"/>
  <c r="M1131" i="1" a="1"/>
  <c r="M1131" i="1" s="1"/>
  <c r="N1131" i="1" s="1"/>
  <c r="M1179" i="1" a="1"/>
  <c r="M1179" i="1" s="1"/>
  <c r="N1179" i="1" s="1"/>
  <c r="M1227" i="1" a="1"/>
  <c r="M1227" i="1" s="1"/>
  <c r="O1227" i="1" s="1"/>
  <c r="M1253" i="1" a="1"/>
  <c r="M1253" i="1" s="1"/>
  <c r="N1253" i="1" s="1"/>
  <c r="M1277" i="1" a="1"/>
  <c r="M1277" i="1" s="1"/>
  <c r="M1301" i="1" a="1"/>
  <c r="M1301" i="1" s="1"/>
  <c r="M1317" i="1" a="1"/>
  <c r="M1317" i="1" s="1"/>
  <c r="N1317" i="1" s="1"/>
  <c r="M489" i="1" a="1"/>
  <c r="M489" i="1" s="1"/>
  <c r="M504" i="1" a="1"/>
  <c r="M504" i="1" s="1"/>
  <c r="N504" i="1" s="1"/>
  <c r="M572" i="1" a="1"/>
  <c r="M572" i="1" s="1"/>
  <c r="N572" i="1" s="1"/>
  <c r="M598" i="1" a="1"/>
  <c r="M598" i="1" s="1"/>
  <c r="N598" i="1" s="1"/>
  <c r="M609" i="1" a="1"/>
  <c r="M609" i="1" s="1"/>
  <c r="O609" i="1" s="1"/>
  <c r="M676" i="1" a="1"/>
  <c r="M676" i="1" s="1"/>
  <c r="O676" i="1" s="1"/>
  <c r="M708" i="1" a="1"/>
  <c r="M708" i="1" s="1"/>
  <c r="O708" i="1" s="1"/>
  <c r="M717" i="1" a="1"/>
  <c r="M717" i="1" s="1"/>
  <c r="N717" i="1" s="1"/>
  <c r="M719" i="1" a="1"/>
  <c r="M719" i="1" s="1"/>
  <c r="O719" i="1" s="1"/>
  <c r="M733" i="1" a="1"/>
  <c r="M733" i="1" s="1"/>
  <c r="M749" i="1" a="1"/>
  <c r="M749" i="1" s="1"/>
  <c r="M756" i="1" a="1"/>
  <c r="M756" i="1" s="1"/>
  <c r="O756" i="1" s="1"/>
  <c r="M774" i="1" a="1"/>
  <c r="M774" i="1" s="1"/>
  <c r="M787" i="1" a="1"/>
  <c r="M787" i="1" s="1"/>
  <c r="O787" i="1" s="1"/>
  <c r="M798" i="1" a="1"/>
  <c r="M798" i="1" s="1"/>
  <c r="N798" i="1" s="1"/>
  <c r="M834" i="1" a="1"/>
  <c r="M834" i="1" s="1"/>
  <c r="O834" i="1" s="1"/>
  <c r="M838" i="1" a="1"/>
  <c r="M838" i="1" s="1"/>
  <c r="N838" i="1" s="1"/>
  <c r="M878" i="1" a="1"/>
  <c r="M878" i="1" s="1"/>
  <c r="O878" i="1" s="1"/>
  <c r="M889" i="1" a="1"/>
  <c r="M889" i="1" s="1"/>
  <c r="O889" i="1" s="1"/>
  <c r="M913" i="1" a="1"/>
  <c r="M913" i="1" s="1"/>
  <c r="N913" i="1" s="1"/>
  <c r="M915" i="1" a="1"/>
  <c r="M915" i="1" s="1"/>
  <c r="N915" i="1" s="1"/>
  <c r="M929" i="1" a="1"/>
  <c r="M929" i="1" s="1"/>
  <c r="M934" i="1" a="1"/>
  <c r="M934" i="1" s="1"/>
  <c r="M947" i="1" a="1"/>
  <c r="M947" i="1" s="1"/>
  <c r="N947" i="1" s="1"/>
  <c r="M954" i="1" a="1"/>
  <c r="M954" i="1" s="1"/>
  <c r="M991" i="1" a="1"/>
  <c r="M991" i="1" s="1"/>
  <c r="O991" i="1" s="1"/>
  <c r="M1005" i="1" a="1"/>
  <c r="M1005" i="1" s="1"/>
  <c r="O1005" i="1" s="1"/>
  <c r="M1007" i="1" a="1"/>
  <c r="M1007" i="1" s="1"/>
  <c r="O1007" i="1" s="1"/>
  <c r="M1036" i="1" a="1"/>
  <c r="M1036" i="1" s="1"/>
  <c r="O1036" i="1" s="1"/>
  <c r="M1040" i="1" a="1"/>
  <c r="M1040" i="1" s="1"/>
  <c r="N1040" i="1" s="1"/>
  <c r="M1058" i="1" a="1"/>
  <c r="M1058" i="1" s="1"/>
  <c r="O1058" i="1" s="1"/>
  <c r="M1075" i="1" a="1"/>
  <c r="M1075" i="1" s="1"/>
  <c r="O1075" i="1" s="1"/>
  <c r="M1100" i="1" a="1"/>
  <c r="M1100" i="1" s="1"/>
  <c r="N1100" i="1" s="1"/>
  <c r="M1148" i="1" a="1"/>
  <c r="M1148" i="1" s="1"/>
  <c r="M1154" i="1" a="1"/>
  <c r="M1154" i="1" s="1"/>
  <c r="M1196" i="1" a="1"/>
  <c r="M1196" i="1" s="1"/>
  <c r="O1196" i="1" s="1"/>
  <c r="M1202" i="1" a="1"/>
  <c r="M1202" i="1" s="1"/>
  <c r="M1251" i="1" a="1"/>
  <c r="M1251" i="1" s="1"/>
  <c r="N1251" i="1" s="1"/>
  <c r="M1275" i="1" a="1"/>
  <c r="M1275" i="1" s="1"/>
  <c r="N1275" i="1" s="1"/>
  <c r="M1299" i="1" a="1"/>
  <c r="M1299" i="1" s="1"/>
  <c r="M1308" i="1" a="1"/>
  <c r="M1308" i="1" s="1"/>
  <c r="O1308" i="1" s="1"/>
  <c r="M1324" i="1" a="1"/>
  <c r="M1324" i="1" s="1"/>
  <c r="N1324" i="1" s="1"/>
  <c r="M605" i="1" a="1"/>
  <c r="M605" i="1" s="1"/>
  <c r="O605" i="1" s="1"/>
  <c r="M621" i="1" a="1"/>
  <c r="M621" i="1" s="1"/>
  <c r="O621" i="1" s="1"/>
  <c r="M628" i="1" a="1"/>
  <c r="M628" i="1" s="1"/>
  <c r="O628" i="1" s="1"/>
  <c r="M642" i="1" a="1"/>
  <c r="M642" i="1" s="1"/>
  <c r="N642" i="1" s="1"/>
  <c r="M665" i="1" a="1"/>
  <c r="M665" i="1" s="1"/>
  <c r="M690" i="1" a="1"/>
  <c r="M690" i="1" s="1"/>
  <c r="M740" i="1" a="1"/>
  <c r="M740" i="1" s="1"/>
  <c r="M754" i="1" a="1"/>
  <c r="M754" i="1" s="1"/>
  <c r="O754" i="1" s="1"/>
  <c r="M785" i="1" a="1"/>
  <c r="M785" i="1" s="1"/>
  <c r="O785" i="1" s="1"/>
  <c r="M920" i="1" a="1"/>
  <c r="M920" i="1" s="1"/>
  <c r="M961" i="1" a="1"/>
  <c r="M961" i="1" s="1"/>
  <c r="N961" i="1" s="1"/>
  <c r="M964" i="1" a="1"/>
  <c r="M964" i="1" s="1"/>
  <c r="O964" i="1" s="1"/>
  <c r="M976" i="1" a="1"/>
  <c r="M976" i="1" s="1"/>
  <c r="O976" i="1" s="1"/>
  <c r="M1010" i="1" a="1"/>
  <c r="M1010" i="1" s="1"/>
  <c r="O1010" i="1" s="1"/>
  <c r="M1329" i="1" a="1"/>
  <c r="M1329" i="1" s="1"/>
  <c r="O1329" i="1" s="1"/>
  <c r="M1336" i="1" a="1"/>
  <c r="M1336" i="1" s="1"/>
  <c r="M389" i="1" a="1"/>
  <c r="M389" i="1" s="1"/>
  <c r="O389" i="1" s="1"/>
  <c r="M392" i="1" a="1"/>
  <c r="M392" i="1" s="1"/>
  <c r="N392" i="1" s="1"/>
  <c r="M394" i="1" a="1"/>
  <c r="M394" i="1" s="1"/>
  <c r="M403" i="1" a="1"/>
  <c r="M403" i="1" s="1"/>
  <c r="N403" i="1" s="1"/>
  <c r="M452" i="1" a="1"/>
  <c r="M452" i="1" s="1"/>
  <c r="N452" i="1" s="1"/>
  <c r="M458" i="1" a="1"/>
  <c r="M458" i="1" s="1"/>
  <c r="N458" i="1" s="1"/>
  <c r="M485" i="1" a="1"/>
  <c r="M485" i="1" s="1"/>
  <c r="N485" i="1" s="1"/>
  <c r="M500" i="1" a="1"/>
  <c r="M500" i="1" s="1"/>
  <c r="O500" i="1" s="1"/>
  <c r="M511" i="1" a="1"/>
  <c r="M511" i="1" s="1"/>
  <c r="N511" i="1" s="1"/>
  <c r="M513" i="1" a="1"/>
  <c r="M513" i="1" s="1"/>
  <c r="O513" i="1" s="1"/>
  <c r="M520" i="1" a="1"/>
  <c r="M520" i="1" s="1"/>
  <c r="O520" i="1" s="1"/>
  <c r="M533" i="1" a="1"/>
  <c r="M533" i="1" s="1"/>
  <c r="M547" i="1" a="1"/>
  <c r="M547" i="1" s="1"/>
  <c r="M549" i="1" a="1"/>
  <c r="M549" i="1" s="1"/>
  <c r="N549" i="1" s="1"/>
  <c r="M563" i="1" a="1"/>
  <c r="M563" i="1" s="1"/>
  <c r="M565" i="1" a="1"/>
  <c r="M565" i="1" s="1"/>
  <c r="N565" i="1" s="1"/>
  <c r="M570" i="1" a="1"/>
  <c r="M570" i="1" s="1"/>
  <c r="N570" i="1" s="1"/>
  <c r="M596" i="1" a="1"/>
  <c r="M596" i="1" s="1"/>
  <c r="O596" i="1" s="1"/>
  <c r="M610" i="1" a="1"/>
  <c r="M610" i="1" s="1"/>
  <c r="N610" i="1" s="1"/>
  <c r="M674" i="1" a="1"/>
  <c r="M674" i="1" s="1"/>
  <c r="O674" i="1" s="1"/>
  <c r="M685" i="1" a="1"/>
  <c r="M685" i="1" s="1"/>
  <c r="O685" i="1" s="1"/>
  <c r="M692" i="1" a="1"/>
  <c r="M692" i="1" s="1"/>
  <c r="O692" i="1" s="1"/>
  <c r="M703" i="1" a="1"/>
  <c r="M703" i="1" s="1"/>
  <c r="O703" i="1" s="1"/>
  <c r="M715" i="1" a="1"/>
  <c r="M715" i="1" s="1"/>
  <c r="M722" i="1" a="1"/>
  <c r="M722" i="1" s="1"/>
  <c r="M742" i="1" a="1"/>
  <c r="M742" i="1" s="1"/>
  <c r="O742" i="1" s="1"/>
  <c r="M747" i="1" a="1"/>
  <c r="M747" i="1" s="1"/>
  <c r="M768" i="1" a="1"/>
  <c r="M768" i="1" s="1"/>
  <c r="N768" i="1" s="1"/>
  <c r="M770" i="1" a="1"/>
  <c r="M770" i="1" s="1"/>
  <c r="O770" i="1" s="1"/>
  <c r="M794" i="1" a="1"/>
  <c r="M794" i="1" s="1"/>
  <c r="N794" i="1" s="1"/>
  <c r="M832" i="1" a="1"/>
  <c r="M832" i="1" s="1"/>
  <c r="N832" i="1" s="1"/>
  <c r="M885" i="1" a="1"/>
  <c r="M885" i="1" s="1"/>
  <c r="M909" i="1" a="1"/>
  <c r="M909" i="1" s="1"/>
  <c r="O909" i="1" s="1"/>
  <c r="M916" i="1" a="1"/>
  <c r="M916" i="1" s="1"/>
  <c r="N916" i="1" s="1"/>
  <c r="M922" i="1" a="1"/>
  <c r="M922" i="1" s="1"/>
  <c r="N922" i="1" s="1"/>
  <c r="M925" i="1" a="1"/>
  <c r="M925" i="1" s="1"/>
  <c r="M941" i="1" a="1"/>
  <c r="M941" i="1" s="1"/>
  <c r="M950" i="1" a="1"/>
  <c r="M950" i="1" s="1"/>
  <c r="O950" i="1" s="1"/>
  <c r="M957" i="1" a="1"/>
  <c r="M957" i="1" s="1"/>
  <c r="M959" i="1" a="1"/>
  <c r="M959" i="1" s="1"/>
  <c r="O959" i="1" s="1"/>
  <c r="M971" i="1" a="1"/>
  <c r="M971" i="1" s="1"/>
  <c r="O971" i="1" s="1"/>
  <c r="M992" i="1" a="1"/>
  <c r="M992" i="1" s="1"/>
  <c r="M1015" i="1" a="1"/>
  <c r="M1015" i="1" s="1"/>
  <c r="O1015" i="1" s="1"/>
  <c r="M1045" i="1" a="1"/>
  <c r="M1045" i="1" s="1"/>
  <c r="N1045" i="1" s="1"/>
  <c r="M1054" i="1" a="1"/>
  <c r="M1054" i="1" s="1"/>
  <c r="O1054" i="1" s="1"/>
  <c r="M1071" i="1" a="1"/>
  <c r="M1071" i="1" s="1"/>
  <c r="O1071" i="1" s="1"/>
  <c r="M1093" i="1" a="1"/>
  <c r="M1093" i="1" s="1"/>
  <c r="O1093" i="1" s="1"/>
  <c r="M1106" i="1" a="1"/>
  <c r="M1106" i="1" s="1"/>
  <c r="M1119" i="1" a="1"/>
  <c r="M1119" i="1" s="1"/>
  <c r="N1119" i="1" s="1"/>
  <c r="M1167" i="1" a="1"/>
  <c r="M1167" i="1" s="1"/>
  <c r="N1167" i="1" s="1"/>
  <c r="M1215" i="1" a="1"/>
  <c r="M1215" i="1" s="1"/>
  <c r="M1247" i="1" a="1"/>
  <c r="M1247" i="1" s="1"/>
  <c r="N1247" i="1" s="1"/>
  <c r="M1271" i="1" a="1"/>
  <c r="M1271" i="1" s="1"/>
  <c r="N1271" i="1" s="1"/>
  <c r="M1295" i="1" a="1"/>
  <c r="M1295" i="1" s="1"/>
  <c r="M1313" i="1" a="1"/>
  <c r="M1313" i="1" s="1"/>
  <c r="O1313" i="1" s="1"/>
  <c r="M450" i="1" a="1"/>
  <c r="M450" i="1" s="1"/>
  <c r="O450" i="1" s="1"/>
  <c r="M477" i="1" a="1"/>
  <c r="M477" i="1" s="1"/>
  <c r="O477" i="1" s="1"/>
  <c r="M481" i="1" a="1"/>
  <c r="M481" i="1" s="1"/>
  <c r="N481" i="1" s="1"/>
  <c r="M496" i="1" a="1"/>
  <c r="M496" i="1" s="1"/>
  <c r="O496" i="1" s="1"/>
  <c r="M527" i="1" a="1"/>
  <c r="M527" i="1" s="1"/>
  <c r="M579" i="1" a="1"/>
  <c r="M579" i="1" s="1"/>
  <c r="M601" i="1" a="1"/>
  <c r="M601" i="1" s="1"/>
  <c r="O601" i="1" s="1"/>
  <c r="M607" i="1" a="1"/>
  <c r="M607" i="1" s="1"/>
  <c r="M637" i="1" a="1"/>
  <c r="M637" i="1" s="1"/>
  <c r="O637" i="1" s="1"/>
  <c r="M699" i="1" a="1"/>
  <c r="M699" i="1" s="1"/>
  <c r="O699" i="1" s="1"/>
  <c r="M704" i="1" a="1"/>
  <c r="M704" i="1" s="1"/>
  <c r="O704" i="1" s="1"/>
  <c r="M720" i="1" a="1"/>
  <c r="M720" i="1" s="1"/>
  <c r="O720" i="1" s="1"/>
  <c r="M781" i="1" a="1"/>
  <c r="M781" i="1" s="1"/>
  <c r="O781" i="1" s="1"/>
  <c r="M809" i="1" a="1"/>
  <c r="M809" i="1" s="1"/>
  <c r="N809" i="1" s="1"/>
  <c r="M847" i="1" a="1"/>
  <c r="M847" i="1" s="1"/>
  <c r="O847" i="1" s="1"/>
  <c r="M870" i="1" a="1"/>
  <c r="M870" i="1" s="1"/>
  <c r="O870" i="1" s="1"/>
  <c r="M883" i="1" a="1"/>
  <c r="M883" i="1" s="1"/>
  <c r="M894" i="1" a="1"/>
  <c r="M894" i="1" s="1"/>
  <c r="M930" i="1" a="1"/>
  <c r="M930" i="1" s="1"/>
  <c r="O930" i="1" s="1"/>
  <c r="M943" i="1" a="1"/>
  <c r="M943" i="1" s="1"/>
  <c r="M948" i="1" a="1"/>
  <c r="M948" i="1" s="1"/>
  <c r="N948" i="1" s="1"/>
  <c r="M981" i="1" a="1"/>
  <c r="M981" i="1" s="1"/>
  <c r="M985" i="1" a="1"/>
  <c r="M985" i="1" s="1"/>
  <c r="N985" i="1" s="1"/>
  <c r="M987" i="1" a="1"/>
  <c r="M987" i="1" s="1"/>
  <c r="O987" i="1" s="1"/>
  <c r="M1024" i="1" a="1"/>
  <c r="M1024" i="1" s="1"/>
  <c r="N1024" i="1" s="1"/>
  <c r="M1039" i="1" a="1"/>
  <c r="M1039" i="1" s="1"/>
  <c r="M1043" i="1" a="1"/>
  <c r="M1043" i="1" s="1"/>
  <c r="M1078" i="1" a="1"/>
  <c r="M1078" i="1" s="1"/>
  <c r="O1078" i="1" s="1"/>
  <c r="M1089" i="1" a="1"/>
  <c r="M1089" i="1" s="1"/>
  <c r="M1098" i="1" a="1"/>
  <c r="M1098" i="1" s="1"/>
  <c r="M1104" i="1" a="1"/>
  <c r="M1104" i="1" s="1"/>
  <c r="N1104" i="1" s="1"/>
  <c r="M1136" i="1" a="1"/>
  <c r="M1136" i="1" s="1"/>
  <c r="M1142" i="1" a="1"/>
  <c r="M1142" i="1" s="1"/>
  <c r="N1142" i="1" s="1"/>
  <c r="M1184" i="1" a="1"/>
  <c r="M1184" i="1" s="1"/>
  <c r="O1184" i="1" s="1"/>
  <c r="M1190" i="1" a="1"/>
  <c r="M1190" i="1" s="1"/>
  <c r="O1190" i="1" s="1"/>
  <c r="M1245" i="1" a="1"/>
  <c r="M1245" i="1" s="1"/>
  <c r="N1245" i="1" s="1"/>
  <c r="M1269" i="1" a="1"/>
  <c r="M1269" i="1" s="1"/>
  <c r="O1269" i="1" s="1"/>
  <c r="M1293" i="1" a="1"/>
  <c r="M1293" i="1" s="1"/>
  <c r="O1293" i="1" s="1"/>
  <c r="M1304" i="1" a="1"/>
  <c r="M1304" i="1" s="1"/>
  <c r="N1304" i="1" s="1"/>
  <c r="M1320" i="1" a="1"/>
  <c r="M1320" i="1" s="1"/>
  <c r="O1320" i="1" s="1"/>
  <c r="O21" i="1"/>
  <c r="N21" i="1"/>
  <c r="N11" i="1"/>
  <c r="O11" i="1"/>
  <c r="O17" i="1"/>
  <c r="O7" i="1"/>
  <c r="O13" i="1"/>
  <c r="N13" i="1"/>
  <c r="O22" i="1"/>
  <c r="N22" i="1"/>
  <c r="O6" i="1"/>
  <c r="O12" i="1"/>
  <c r="N12" i="1"/>
  <c r="M4" i="1" a="1"/>
  <c r="M4" i="1" s="1"/>
  <c r="N38" i="1"/>
  <c r="O38" i="1"/>
  <c r="O63" i="1"/>
  <c r="O99" i="1"/>
  <c r="N99" i="1"/>
  <c r="O111" i="1"/>
  <c r="N111" i="1"/>
  <c r="O162" i="1"/>
  <c r="N162" i="1"/>
  <c r="O180" i="1"/>
  <c r="N180" i="1"/>
  <c r="O203" i="1"/>
  <c r="N203" i="1"/>
  <c r="M20" i="1" a="1"/>
  <c r="M20" i="1" s="1"/>
  <c r="O58" i="1"/>
  <c r="O87" i="1"/>
  <c r="N87" i="1"/>
  <c r="N153" i="1"/>
  <c r="O153" i="1"/>
  <c r="O169" i="1"/>
  <c r="N169" i="1"/>
  <c r="O181" i="1"/>
  <c r="O183" i="1"/>
  <c r="N183" i="1"/>
  <c r="O187" i="1"/>
  <c r="N187" i="1"/>
  <c r="O248" i="1"/>
  <c r="O252" i="1"/>
  <c r="N252" i="1"/>
  <c r="O268" i="1"/>
  <c r="O24" i="1"/>
  <c r="N24" i="1"/>
  <c r="O65" i="1"/>
  <c r="N65" i="1"/>
  <c r="O92" i="1"/>
  <c r="O104" i="1"/>
  <c r="N104" i="1"/>
  <c r="O120" i="1"/>
  <c r="N120" i="1"/>
  <c r="O123" i="1"/>
  <c r="N123" i="1"/>
  <c r="O137" i="1"/>
  <c r="O160" i="1"/>
  <c r="N160" i="1"/>
  <c r="O176" i="1"/>
  <c r="N176" i="1"/>
  <c r="O29" i="1"/>
  <c r="N29" i="1"/>
  <c r="O41" i="1"/>
  <c r="N41" i="1"/>
  <c r="O52" i="1"/>
  <c r="N52" i="1"/>
  <c r="O68" i="1"/>
  <c r="N68" i="1"/>
  <c r="O80" i="1"/>
  <c r="O85" i="1"/>
  <c r="N85" i="1"/>
  <c r="O97" i="1"/>
  <c r="N97" i="1"/>
  <c r="O109" i="1"/>
  <c r="N109" i="1"/>
  <c r="O127" i="1"/>
  <c r="N127" i="1"/>
  <c r="O130" i="1"/>
  <c r="N130" i="1"/>
  <c r="O132" i="1"/>
  <c r="O148" i="1"/>
  <c r="N148" i="1"/>
  <c r="O188" i="1"/>
  <c r="N188" i="1"/>
  <c r="O199" i="1"/>
  <c r="N199" i="1"/>
  <c r="O209" i="1"/>
  <c r="N209" i="1"/>
  <c r="N224" i="1"/>
  <c r="O224" i="1"/>
  <c r="O249" i="1"/>
  <c r="N249" i="1"/>
  <c r="N264" i="1"/>
  <c r="N8" i="1"/>
  <c r="N34" i="1"/>
  <c r="O34" i="1"/>
  <c r="N46" i="1"/>
  <c r="O46" i="1"/>
  <c r="O107" i="1"/>
  <c r="N107" i="1"/>
  <c r="O149" i="1"/>
  <c r="O179" i="1"/>
  <c r="O186" i="1"/>
  <c r="N186" i="1"/>
  <c r="O213" i="1"/>
  <c r="N213" i="1"/>
  <c r="O235" i="1"/>
  <c r="N235" i="1"/>
  <c r="X98" i="1"/>
  <c r="X94" i="1"/>
  <c r="M3" i="1" a="1"/>
  <c r="M3" i="1" s="1"/>
  <c r="Y98" i="1"/>
  <c r="Y94" i="1"/>
  <c r="O95" i="1"/>
  <c r="N95" i="1"/>
  <c r="O121" i="1"/>
  <c r="N121" i="1"/>
  <c r="N128" i="1"/>
  <c r="O133" i="1"/>
  <c r="N133" i="1"/>
  <c r="O135" i="1"/>
  <c r="N135" i="1"/>
  <c r="O139" i="1"/>
  <c r="N139" i="1"/>
  <c r="O142" i="1"/>
  <c r="N142" i="1"/>
  <c r="N177" i="1"/>
  <c r="O177" i="1"/>
  <c r="O191" i="1"/>
  <c r="N191" i="1"/>
  <c r="O193" i="1"/>
  <c r="N193" i="1"/>
  <c r="O204" i="1"/>
  <c r="N204" i="1"/>
  <c r="N216" i="1"/>
  <c r="O216" i="1"/>
  <c r="O247" i="1"/>
  <c r="N247" i="1"/>
  <c r="O272" i="1"/>
  <c r="N272" i="1"/>
  <c r="M23" i="1" a="1"/>
  <c r="M23" i="1" s="1"/>
  <c r="O32" i="1"/>
  <c r="N32" i="1"/>
  <c r="O48" i="1"/>
  <c r="N48" i="1"/>
  <c r="O64" i="1"/>
  <c r="N64" i="1"/>
  <c r="O88" i="1"/>
  <c r="N88" i="1"/>
  <c r="O100" i="1"/>
  <c r="N100" i="1"/>
  <c r="N126" i="1"/>
  <c r="O147" i="1"/>
  <c r="N147" i="1"/>
  <c r="O184" i="1"/>
  <c r="O198" i="1"/>
  <c r="N198" i="1"/>
  <c r="O200" i="1"/>
  <c r="N200" i="1"/>
  <c r="O205" i="1"/>
  <c r="N205" i="1"/>
  <c r="N207" i="1"/>
  <c r="O214" i="1"/>
  <c r="N214" i="1"/>
  <c r="M9" i="1" a="1"/>
  <c r="M9" i="1" s="1"/>
  <c r="N16" i="1"/>
  <c r="O25" i="1"/>
  <c r="N25" i="1"/>
  <c r="N66" i="1"/>
  <c r="O69" i="1"/>
  <c r="O78" i="1"/>
  <c r="N78" i="1"/>
  <c r="O90" i="1"/>
  <c r="N90" i="1"/>
  <c r="O102" i="1"/>
  <c r="N102" i="1"/>
  <c r="O105" i="1"/>
  <c r="N105" i="1"/>
  <c r="O117" i="1"/>
  <c r="N117" i="1"/>
  <c r="O151" i="1"/>
  <c r="N151" i="1"/>
  <c r="O161" i="1"/>
  <c r="O189" i="1"/>
  <c r="N189" i="1"/>
  <c r="O270" i="1"/>
  <c r="N270" i="1"/>
  <c r="N14" i="1"/>
  <c r="N30" i="1"/>
  <c r="O30" i="1"/>
  <c r="O57" i="1"/>
  <c r="N57" i="1"/>
  <c r="O103" i="1"/>
  <c r="N103" i="1"/>
  <c r="O115" i="1"/>
  <c r="N138" i="1"/>
  <c r="O212" i="1"/>
  <c r="N212" i="1"/>
  <c r="N236" i="1"/>
  <c r="O236" i="1"/>
  <c r="N283" i="1"/>
  <c r="O283" i="1"/>
  <c r="O35" i="1"/>
  <c r="N35" i="1"/>
  <c r="O60" i="1"/>
  <c r="N60" i="1"/>
  <c r="O143" i="1"/>
  <c r="N143" i="1"/>
  <c r="O145" i="1"/>
  <c r="N145" i="1"/>
  <c r="O157" i="1"/>
  <c r="N157" i="1"/>
  <c r="O159" i="1"/>
  <c r="N159" i="1"/>
  <c r="O163" i="1"/>
  <c r="N163" i="1"/>
  <c r="N201" i="1"/>
  <c r="O201" i="1"/>
  <c r="O217" i="1"/>
  <c r="N217" i="1"/>
  <c r="O227" i="1"/>
  <c r="N227" i="1"/>
  <c r="O67" i="1"/>
  <c r="N67" i="1"/>
  <c r="O40" i="1"/>
  <c r="N40" i="1"/>
  <c r="O47" i="1"/>
  <c r="N47" i="1"/>
  <c r="O62" i="1"/>
  <c r="N62" i="1"/>
  <c r="O96" i="1"/>
  <c r="N96" i="1"/>
  <c r="O108" i="1"/>
  <c r="N108" i="1"/>
  <c r="O152" i="1"/>
  <c r="N152" i="1"/>
  <c r="O215" i="1"/>
  <c r="N215" i="1"/>
  <c r="O232" i="1"/>
  <c r="M15" i="1" a="1"/>
  <c r="M15" i="1" s="1"/>
  <c r="O33" i="1"/>
  <c r="N33" i="1"/>
  <c r="O45" i="1"/>
  <c r="N45" i="1"/>
  <c r="O72" i="1"/>
  <c r="N72" i="1"/>
  <c r="O74" i="1"/>
  <c r="N74" i="1"/>
  <c r="O77" i="1"/>
  <c r="N77" i="1"/>
  <c r="O84" i="1"/>
  <c r="N84" i="1"/>
  <c r="O86" i="1"/>
  <c r="N86" i="1"/>
  <c r="O89" i="1"/>
  <c r="N89" i="1"/>
  <c r="O98" i="1"/>
  <c r="N98" i="1"/>
  <c r="O113" i="1"/>
  <c r="N113" i="1"/>
  <c r="O118" i="1"/>
  <c r="N118" i="1"/>
  <c r="O124" i="1"/>
  <c r="N124" i="1"/>
  <c r="O136" i="1"/>
  <c r="N136" i="1"/>
  <c r="O141" i="1"/>
  <c r="N141" i="1"/>
  <c r="O164" i="1"/>
  <c r="N164" i="1"/>
  <c r="O175" i="1"/>
  <c r="N175" i="1"/>
  <c r="O178" i="1"/>
  <c r="N178" i="1"/>
  <c r="O185" i="1"/>
  <c r="N185" i="1"/>
  <c r="O192" i="1"/>
  <c r="N192" i="1"/>
  <c r="O196" i="1"/>
  <c r="N196" i="1"/>
  <c r="O208" i="1"/>
  <c r="N208" i="1"/>
  <c r="O219" i="1"/>
  <c r="N219" i="1"/>
  <c r="O223" i="1"/>
  <c r="N223" i="1"/>
  <c r="O122" i="1"/>
  <c r="O146" i="1"/>
  <c r="O170" i="1"/>
  <c r="O194" i="1"/>
  <c r="O244" i="1"/>
  <c r="M255" i="1" a="1"/>
  <c r="M255" i="1" s="1"/>
  <c r="O310" i="1"/>
  <c r="N310" i="1"/>
  <c r="N317" i="1"/>
  <c r="O317" i="1"/>
  <c r="N324" i="1"/>
  <c r="O324" i="1"/>
  <c r="N383" i="1"/>
  <c r="O383" i="1"/>
  <c r="O385" i="1"/>
  <c r="N399" i="1"/>
  <c r="O399" i="1"/>
  <c r="O414" i="1"/>
  <c r="N429" i="1"/>
  <c r="O429" i="1"/>
  <c r="Z94" i="1"/>
  <c r="Z98" i="1"/>
  <c r="AB94" i="1"/>
  <c r="AB98" i="1"/>
  <c r="M245" i="1" a="1"/>
  <c r="M245" i="1" s="1"/>
  <c r="M257" i="1" a="1"/>
  <c r="M257" i="1" s="1"/>
  <c r="O285" i="1"/>
  <c r="N285" i="1"/>
  <c r="O296" i="1"/>
  <c r="N296" i="1"/>
  <c r="N315" i="1"/>
  <c r="O322" i="1"/>
  <c r="N322" i="1"/>
  <c r="N368" i="1"/>
  <c r="O368" i="1"/>
  <c r="O390" i="1"/>
  <c r="N390" i="1"/>
  <c r="O431" i="1"/>
  <c r="O246" i="1"/>
  <c r="N246" i="1"/>
  <c r="O258" i="1"/>
  <c r="N258" i="1"/>
  <c r="O308" i="1"/>
  <c r="N308" i="1"/>
  <c r="O312" i="1"/>
  <c r="N312" i="1"/>
  <c r="N327" i="1"/>
  <c r="O327" i="1"/>
  <c r="O329" i="1"/>
  <c r="N329" i="1"/>
  <c r="O338" i="1"/>
  <c r="N338" i="1"/>
  <c r="N364" i="1"/>
  <c r="O364" i="1"/>
  <c r="N388" i="1"/>
  <c r="O388" i="1"/>
  <c r="N410" i="1"/>
  <c r="M221" i="1" a="1"/>
  <c r="M221" i="1" s="1"/>
  <c r="M229" i="1" a="1"/>
  <c r="M229" i="1" s="1"/>
  <c r="M237" i="1" a="1"/>
  <c r="M237" i="1" s="1"/>
  <c r="M259" i="1" a="1"/>
  <c r="M259" i="1" s="1"/>
  <c r="O262" i="1"/>
  <c r="N262" i="1"/>
  <c r="N281" i="1"/>
  <c r="O305" i="1"/>
  <c r="N305" i="1"/>
  <c r="O313" i="1"/>
  <c r="N313" i="1"/>
  <c r="O340" i="1"/>
  <c r="N340" i="1"/>
  <c r="N353" i="1"/>
  <c r="O397" i="1"/>
  <c r="N397" i="1"/>
  <c r="O461" i="1"/>
  <c r="O222" i="1"/>
  <c r="N222" i="1"/>
  <c r="O230" i="1"/>
  <c r="N230" i="1"/>
  <c r="O266" i="1"/>
  <c r="N299" i="1"/>
  <c r="O299" i="1"/>
  <c r="N306" i="1"/>
  <c r="O306" i="1"/>
  <c r="N355" i="1"/>
  <c r="O355" i="1"/>
  <c r="O366" i="1"/>
  <c r="N391" i="1"/>
  <c r="O391" i="1"/>
  <c r="O436" i="1"/>
  <c r="N158" i="1"/>
  <c r="N182" i="1"/>
  <c r="N206" i="1"/>
  <c r="M267" i="1" a="1"/>
  <c r="M267" i="1" s="1"/>
  <c r="M275" i="1" a="1"/>
  <c r="M275" i="1" s="1"/>
  <c r="O287" i="1"/>
  <c r="N311" i="1"/>
  <c r="O311" i="1"/>
  <c r="O318" i="1"/>
  <c r="N318" i="1"/>
  <c r="O332" i="1"/>
  <c r="N332" i="1"/>
  <c r="O349" i="1"/>
  <c r="N349" i="1"/>
  <c r="N419" i="1"/>
  <c r="O419" i="1"/>
  <c r="O273" i="1"/>
  <c r="N273" i="1"/>
  <c r="O301" i="1"/>
  <c r="N301" i="1"/>
  <c r="O304" i="1"/>
  <c r="N304" i="1"/>
  <c r="N323" i="1"/>
  <c r="O323" i="1"/>
  <c r="O334" i="1"/>
  <c r="N334" i="1"/>
  <c r="N343" i="1"/>
  <c r="O343" i="1"/>
  <c r="N384" i="1"/>
  <c r="O384" i="1"/>
  <c r="O402" i="1"/>
  <c r="N411" i="1"/>
  <c r="O411" i="1"/>
  <c r="N432" i="1"/>
  <c r="O432" i="1"/>
  <c r="O449" i="1"/>
  <c r="N449" i="1"/>
  <c r="M271" i="1" a="1"/>
  <c r="M271" i="1" s="1"/>
  <c r="O294" i="1"/>
  <c r="N294" i="1"/>
  <c r="O302" i="1"/>
  <c r="N302" i="1"/>
  <c r="O309" i="1"/>
  <c r="N309" i="1"/>
  <c r="O393" i="1"/>
  <c r="N393" i="1"/>
  <c r="O413" i="1"/>
  <c r="N413" i="1"/>
  <c r="N424" i="1"/>
  <c r="O424" i="1"/>
  <c r="N439" i="1"/>
  <c r="O439" i="1"/>
  <c r="M241" i="1" a="1"/>
  <c r="M241" i="1" s="1"/>
  <c r="N279" i="1"/>
  <c r="O279" i="1"/>
  <c r="O284" i="1"/>
  <c r="O288" i="1"/>
  <c r="N288" i="1"/>
  <c r="O321" i="1"/>
  <c r="N321" i="1"/>
  <c r="N363" i="1"/>
  <c r="O363" i="1"/>
  <c r="O367" i="1"/>
  <c r="O373" i="1"/>
  <c r="N373" i="1"/>
  <c r="O398" i="1"/>
  <c r="N398" i="1"/>
  <c r="O407" i="1"/>
  <c r="M225" i="1" a="1"/>
  <c r="M225" i="1" s="1"/>
  <c r="M233" i="1" a="1"/>
  <c r="M233" i="1" s="1"/>
  <c r="N261" i="1"/>
  <c r="N263" i="1"/>
  <c r="N265" i="1"/>
  <c r="O277" i="1"/>
  <c r="M282" i="1" a="1"/>
  <c r="M282" i="1" s="1"/>
  <c r="O290" i="1"/>
  <c r="N290" i="1"/>
  <c r="O328" i="1"/>
  <c r="N328" i="1"/>
  <c r="N356" i="1"/>
  <c r="O356" i="1"/>
  <c r="O420" i="1"/>
  <c r="O226" i="1"/>
  <c r="N226" i="1"/>
  <c r="O234" i="1"/>
  <c r="N234" i="1"/>
  <c r="M253" i="1" a="1"/>
  <c r="M253" i="1" s="1"/>
  <c r="M278" i="1" a="1"/>
  <c r="M278" i="1" s="1"/>
  <c r="O314" i="1"/>
  <c r="N314" i="1"/>
  <c r="O326" i="1"/>
  <c r="N326" i="1"/>
  <c r="O337" i="1"/>
  <c r="N337" i="1"/>
  <c r="N352" i="1"/>
  <c r="O352" i="1"/>
  <c r="O369" i="1"/>
  <c r="N369" i="1"/>
  <c r="N389" i="1"/>
  <c r="O394" i="1"/>
  <c r="N394" i="1"/>
  <c r="AA94" i="1"/>
  <c r="AA98" i="1"/>
  <c r="O254" i="1"/>
  <c r="N254" i="1"/>
  <c r="O269" i="1"/>
  <c r="M274" i="1" a="1"/>
  <c r="M274" i="1" s="1"/>
  <c r="M289" i="1" a="1"/>
  <c r="M289" i="1" s="1"/>
  <c r="O293" i="1"/>
  <c r="N293" i="1"/>
  <c r="O298" i="1"/>
  <c r="N298" i="1"/>
  <c r="O316" i="1"/>
  <c r="N316" i="1"/>
  <c r="N319" i="1"/>
  <c r="O319" i="1"/>
  <c r="N335" i="1"/>
  <c r="O335" i="1"/>
  <c r="O348" i="1"/>
  <c r="N348" i="1"/>
  <c r="N359" i="1"/>
  <c r="O359" i="1"/>
  <c r="O361" i="1"/>
  <c r="O405" i="1"/>
  <c r="N405" i="1"/>
  <c r="N433" i="1"/>
  <c r="N450" i="1"/>
  <c r="O470" i="1"/>
  <c r="N470" i="1"/>
  <c r="O474" i="1"/>
  <c r="N474" i="1"/>
  <c r="O478" i="1"/>
  <c r="N478" i="1"/>
  <c r="O482" i="1"/>
  <c r="O497" i="1"/>
  <c r="N497" i="1"/>
  <c r="O536" i="1"/>
  <c r="N536" i="1"/>
  <c r="O542" i="1"/>
  <c r="N542" i="1"/>
  <c r="O552" i="1"/>
  <c r="N552" i="1"/>
  <c r="O558" i="1"/>
  <c r="N558" i="1"/>
  <c r="O568" i="1"/>
  <c r="N568" i="1"/>
  <c r="O575" i="1"/>
  <c r="N575" i="1"/>
  <c r="O591" i="1"/>
  <c r="N591" i="1"/>
  <c r="O656" i="1"/>
  <c r="N656" i="1"/>
  <c r="N330" i="1"/>
  <c r="N382" i="1"/>
  <c r="O455" i="1"/>
  <c r="O457" i="1"/>
  <c r="N457" i="1"/>
  <c r="O493" i="1"/>
  <c r="N493" i="1"/>
  <c r="O518" i="1"/>
  <c r="N518" i="1"/>
  <c r="O559" i="1"/>
  <c r="N585" i="1"/>
  <c r="N589" i="1"/>
  <c r="N613" i="1"/>
  <c r="N362" i="1"/>
  <c r="O376" i="1"/>
  <c r="O379" i="1"/>
  <c r="O417" i="1"/>
  <c r="N422" i="1"/>
  <c r="O489" i="1"/>
  <c r="N489" i="1"/>
  <c r="O503" i="1"/>
  <c r="O606" i="1"/>
  <c r="N606" i="1"/>
  <c r="M456" i="1" a="1"/>
  <c r="M456" i="1" s="1"/>
  <c r="O485" i="1"/>
  <c r="O514" i="1"/>
  <c r="N514" i="1"/>
  <c r="O521" i="1"/>
  <c r="N521" i="1"/>
  <c r="O538" i="1"/>
  <c r="N538" i="1"/>
  <c r="N548" i="1"/>
  <c r="O564" i="1"/>
  <c r="N564" i="1"/>
  <c r="O619" i="1"/>
  <c r="N619" i="1"/>
  <c r="O652" i="1"/>
  <c r="O469" i="1"/>
  <c r="N469" i="1"/>
  <c r="O473" i="1"/>
  <c r="O528" i="1"/>
  <c r="N528" i="1"/>
  <c r="N539" i="1"/>
  <c r="O539" i="1"/>
  <c r="N555" i="1"/>
  <c r="O555" i="1"/>
  <c r="N573" i="1"/>
  <c r="O615" i="1"/>
  <c r="N615" i="1"/>
  <c r="O441" i="1"/>
  <c r="N441" i="1"/>
  <c r="M460" i="1" a="1"/>
  <c r="M460" i="1" s="1"/>
  <c r="O463" i="1"/>
  <c r="O465" i="1"/>
  <c r="N465" i="1"/>
  <c r="O491" i="1"/>
  <c r="N500" i="1"/>
  <c r="O510" i="1"/>
  <c r="N510" i="1"/>
  <c r="O523" i="1"/>
  <c r="O534" i="1"/>
  <c r="N534" i="1"/>
  <c r="O581" i="1"/>
  <c r="O487" i="1"/>
  <c r="O506" i="1"/>
  <c r="N506" i="1"/>
  <c r="O544" i="1"/>
  <c r="N544" i="1"/>
  <c r="O550" i="1"/>
  <c r="N550" i="1"/>
  <c r="O560" i="1"/>
  <c r="N560" i="1"/>
  <c r="O566" i="1"/>
  <c r="N566" i="1"/>
  <c r="N574" i="1"/>
  <c r="O574" i="1"/>
  <c r="O583" i="1"/>
  <c r="N583" i="1"/>
  <c r="O593" i="1"/>
  <c r="N593" i="1"/>
  <c r="N600" i="1"/>
  <c r="O600" i="1"/>
  <c r="O372" i="1"/>
  <c r="O400" i="1"/>
  <c r="O408" i="1"/>
  <c r="O416" i="1"/>
  <c r="O421" i="1"/>
  <c r="O471" i="1"/>
  <c r="O475" i="1"/>
  <c r="O492" i="1"/>
  <c r="N492" i="1"/>
  <c r="O502" i="1"/>
  <c r="N502" i="1"/>
  <c r="N551" i="1"/>
  <c r="O551" i="1"/>
  <c r="N553" i="1"/>
  <c r="O569" i="1"/>
  <c r="N569" i="1"/>
  <c r="O622" i="1"/>
  <c r="N622" i="1"/>
  <c r="O660" i="1"/>
  <c r="O498" i="1"/>
  <c r="N498" i="1"/>
  <c r="O572" i="1"/>
  <c r="O598" i="1"/>
  <c r="O484" i="1"/>
  <c r="N484" i="1"/>
  <c r="O494" i="1"/>
  <c r="N494" i="1"/>
  <c r="O509" i="1"/>
  <c r="N509" i="1"/>
  <c r="O526" i="1"/>
  <c r="N526" i="1"/>
  <c r="O533" i="1"/>
  <c r="N533" i="1"/>
  <c r="O540" i="1"/>
  <c r="O546" i="1"/>
  <c r="N546" i="1"/>
  <c r="O556" i="1"/>
  <c r="N556" i="1"/>
  <c r="O562" i="1"/>
  <c r="O577" i="1"/>
  <c r="N577" i="1"/>
  <c r="O595" i="1"/>
  <c r="N595" i="1"/>
  <c r="O490" i="1"/>
  <c r="N490" i="1"/>
  <c r="O505" i="1"/>
  <c r="N505" i="1"/>
  <c r="N547" i="1"/>
  <c r="O547" i="1"/>
  <c r="N563" i="1"/>
  <c r="O563" i="1"/>
  <c r="O570" i="1"/>
  <c r="M448" i="1" a="1"/>
  <c r="M448" i="1" s="1"/>
  <c r="O453" i="1"/>
  <c r="N453" i="1"/>
  <c r="O464" i="1"/>
  <c r="O486" i="1"/>
  <c r="N486" i="1"/>
  <c r="N501" i="1"/>
  <c r="O529" i="1"/>
  <c r="N529" i="1"/>
  <c r="O579" i="1"/>
  <c r="N579" i="1"/>
  <c r="O607" i="1"/>
  <c r="N607" i="1"/>
  <c r="M651" i="1" a="1"/>
  <c r="M651" i="1" s="1"/>
  <c r="M655" i="1" a="1"/>
  <c r="M655" i="1" s="1"/>
  <c r="O659" i="1"/>
  <c r="N659" i="1"/>
  <c r="O670" i="1"/>
  <c r="N670" i="1"/>
  <c r="O688" i="1"/>
  <c r="N688" i="1"/>
  <c r="O694" i="1"/>
  <c r="N694" i="1"/>
  <c r="N697" i="1"/>
  <c r="O697" i="1"/>
  <c r="O718" i="1"/>
  <c r="N718" i="1"/>
  <c r="O725" i="1"/>
  <c r="O734" i="1"/>
  <c r="N734" i="1"/>
  <c r="N750" i="1"/>
  <c r="O750" i="1"/>
  <c r="N757" i="1"/>
  <c r="O757" i="1"/>
  <c r="O779" i="1"/>
  <c r="N779" i="1"/>
  <c r="N790" i="1"/>
  <c r="O790" i="1"/>
  <c r="N822" i="1"/>
  <c r="O822" i="1"/>
  <c r="N826" i="1"/>
  <c r="O826" i="1"/>
  <c r="O661" i="1"/>
  <c r="N661" i="1"/>
  <c r="O666" i="1"/>
  <c r="O672" i="1"/>
  <c r="N672" i="1"/>
  <c r="O683" i="1"/>
  <c r="N683" i="1"/>
  <c r="N729" i="1"/>
  <c r="O743" i="1"/>
  <c r="N743" i="1"/>
  <c r="N777" i="1"/>
  <c r="O807" i="1"/>
  <c r="O843" i="1"/>
  <c r="N843" i="1"/>
  <c r="O633" i="1"/>
  <c r="N633" i="1"/>
  <c r="O673" i="1"/>
  <c r="N673" i="1"/>
  <c r="N695" i="1"/>
  <c r="O700" i="1"/>
  <c r="N700" i="1"/>
  <c r="O706" i="1"/>
  <c r="N706" i="1"/>
  <c r="O723" i="1"/>
  <c r="N730" i="1"/>
  <c r="N745" i="1"/>
  <c r="O745" i="1"/>
  <c r="O748" i="1"/>
  <c r="N748" i="1"/>
  <c r="O759" i="1"/>
  <c r="N759" i="1"/>
  <c r="N820" i="1"/>
  <c r="O820" i="1"/>
  <c r="N879" i="1"/>
  <c r="M608" i="1" a="1"/>
  <c r="M608" i="1" s="1"/>
  <c r="M623" i="1" a="1"/>
  <c r="M623" i="1" s="1"/>
  <c r="M632" i="1" a="1"/>
  <c r="M632" i="1" s="1"/>
  <c r="M634" i="1" a="1"/>
  <c r="M634" i="1" s="1"/>
  <c r="O635" i="1"/>
  <c r="N635" i="1"/>
  <c r="M658" i="1" a="1"/>
  <c r="M658" i="1" s="1"/>
  <c r="N662" i="1"/>
  <c r="O679" i="1"/>
  <c r="O713" i="1"/>
  <c r="N713" i="1"/>
  <c r="O762" i="1"/>
  <c r="N771" i="1"/>
  <c r="N797" i="1"/>
  <c r="O797" i="1"/>
  <c r="N856" i="1"/>
  <c r="N643" i="1"/>
  <c r="O647" i="1"/>
  <c r="O669" i="1"/>
  <c r="O691" i="1"/>
  <c r="N691" i="1"/>
  <c r="O698" i="1"/>
  <c r="N698" i="1"/>
  <c r="O707" i="1"/>
  <c r="N707" i="1"/>
  <c r="O721" i="1"/>
  <c r="N721" i="1"/>
  <c r="N753" i="1"/>
  <c r="N773" i="1"/>
  <c r="O810" i="1"/>
  <c r="O814" i="1"/>
  <c r="O848" i="1"/>
  <c r="N664" i="1"/>
  <c r="N675" i="1"/>
  <c r="O705" i="1"/>
  <c r="N705" i="1"/>
  <c r="O732" i="1"/>
  <c r="N732" i="1"/>
  <c r="O737" i="1"/>
  <c r="N741" i="1"/>
  <c r="O741" i="1"/>
  <c r="N755" i="1"/>
  <c r="O831" i="1"/>
  <c r="O875" i="1"/>
  <c r="N875" i="1"/>
  <c r="M582" i="1" a="1"/>
  <c r="M582" i="1" s="1"/>
  <c r="M620" i="1" a="1"/>
  <c r="M620" i="1" s="1"/>
  <c r="M638" i="1" a="1"/>
  <c r="M638" i="1" s="1"/>
  <c r="M640" i="1" a="1"/>
  <c r="M640" i="1" s="1"/>
  <c r="O665" i="1"/>
  <c r="N665" i="1"/>
  <c r="O693" i="1"/>
  <c r="N693" i="1"/>
  <c r="O696" i="1"/>
  <c r="N696" i="1"/>
  <c r="O751" i="1"/>
  <c r="N751" i="1"/>
  <c r="N767" i="1"/>
  <c r="O767" i="1"/>
  <c r="N778" i="1"/>
  <c r="O778" i="1"/>
  <c r="N808" i="1"/>
  <c r="O808" i="1"/>
  <c r="M592" i="1" a="1"/>
  <c r="M592" i="1" s="1"/>
  <c r="M602" i="1" a="1"/>
  <c r="M602" i="1" s="1"/>
  <c r="M627" i="1" a="1"/>
  <c r="M627" i="1" s="1"/>
  <c r="M644" i="1" a="1"/>
  <c r="M644" i="1" s="1"/>
  <c r="O671" i="1"/>
  <c r="N671" i="1"/>
  <c r="N674" i="1"/>
  <c r="O712" i="1"/>
  <c r="N712" i="1"/>
  <c r="O724" i="1"/>
  <c r="N724" i="1"/>
  <c r="N789" i="1"/>
  <c r="O789" i="1"/>
  <c r="O802" i="1"/>
  <c r="O859" i="1"/>
  <c r="M612" i="1" a="1"/>
  <c r="M612" i="1" s="1"/>
  <c r="O717" i="1"/>
  <c r="N733" i="1"/>
  <c r="O733" i="1"/>
  <c r="N749" i="1"/>
  <c r="O749" i="1"/>
  <c r="O774" i="1"/>
  <c r="N774" i="1"/>
  <c r="N834" i="1"/>
  <c r="M576" i="1" a="1"/>
  <c r="M576" i="1" s="1"/>
  <c r="M584" i="1" a="1"/>
  <c r="M584" i="1" s="1"/>
  <c r="M594" i="1" a="1"/>
  <c r="M594" i="1" s="1"/>
  <c r="O603" i="1"/>
  <c r="N603" i="1"/>
  <c r="O625" i="1"/>
  <c r="M629" i="1" a="1"/>
  <c r="M629" i="1" s="1"/>
  <c r="O636" i="1"/>
  <c r="N654" i="1"/>
  <c r="O667" i="1"/>
  <c r="N667" i="1"/>
  <c r="O731" i="1"/>
  <c r="N731" i="1"/>
  <c r="O740" i="1"/>
  <c r="N740" i="1"/>
  <c r="N754" i="1"/>
  <c r="O763" i="1"/>
  <c r="N763" i="1"/>
  <c r="N815" i="1"/>
  <c r="O815" i="1"/>
  <c r="N819" i="1"/>
  <c r="O819" i="1"/>
  <c r="M604" i="1" a="1"/>
  <c r="M604" i="1" s="1"/>
  <c r="M641" i="1" a="1"/>
  <c r="M641" i="1" s="1"/>
  <c r="O642" i="1"/>
  <c r="O646" i="1"/>
  <c r="N646" i="1"/>
  <c r="O648" i="1"/>
  <c r="N648" i="1"/>
  <c r="M657" i="1" a="1"/>
  <c r="M657" i="1" s="1"/>
  <c r="N685" i="1"/>
  <c r="O715" i="1"/>
  <c r="N715" i="1"/>
  <c r="O722" i="1"/>
  <c r="N722" i="1"/>
  <c r="O747" i="1"/>
  <c r="N747" i="1"/>
  <c r="M586" i="1" a="1"/>
  <c r="M586" i="1" s="1"/>
  <c r="M614" i="1" a="1"/>
  <c r="M614" i="1" s="1"/>
  <c r="M631" i="1" a="1"/>
  <c r="M631" i="1" s="1"/>
  <c r="M649" i="1" a="1"/>
  <c r="M649" i="1" s="1"/>
  <c r="M653" i="1" a="1"/>
  <c r="M653" i="1" s="1"/>
  <c r="O663" i="1"/>
  <c r="N663" i="1"/>
  <c r="N704" i="1"/>
  <c r="O883" i="1"/>
  <c r="N883" i="1"/>
  <c r="M882" i="1" a="1"/>
  <c r="M882" i="1" s="1"/>
  <c r="M886" i="1" a="1"/>
  <c r="M886" i="1" s="1"/>
  <c r="O900" i="1"/>
  <c r="N900" i="1"/>
  <c r="N905" i="1"/>
  <c r="O905" i="1"/>
  <c r="O914" i="1"/>
  <c r="N914" i="1"/>
  <c r="O928" i="1"/>
  <c r="N928" i="1"/>
  <c r="O983" i="1"/>
  <c r="O1003" i="1"/>
  <c r="N1003" i="1"/>
  <c r="N710" i="1"/>
  <c r="N726" i="1"/>
  <c r="N735" i="1"/>
  <c r="N738" i="1"/>
  <c r="N744" i="1"/>
  <c r="N758" i="1"/>
  <c r="N775" i="1"/>
  <c r="N791" i="1"/>
  <c r="O799" i="1"/>
  <c r="O816" i="1"/>
  <c r="O840" i="1"/>
  <c r="O849" i="1"/>
  <c r="O851" i="1"/>
  <c r="N851" i="1"/>
  <c r="O864" i="1"/>
  <c r="O918" i="1"/>
  <c r="N918" i="1"/>
  <c r="O923" i="1"/>
  <c r="N923" i="1"/>
  <c r="O932" i="1"/>
  <c r="N932" i="1"/>
  <c r="O969" i="1"/>
  <c r="O972" i="1"/>
  <c r="N972" i="1"/>
  <c r="O868" i="1"/>
  <c r="O896" i="1"/>
  <c r="O907" i="1"/>
  <c r="N907" i="1"/>
  <c r="O937" i="1"/>
  <c r="O944" i="1"/>
  <c r="N944" i="1"/>
  <c r="N953" i="1"/>
  <c r="N965" i="1"/>
  <c r="O965" i="1"/>
  <c r="O967" i="1"/>
  <c r="N967" i="1"/>
  <c r="O988" i="1"/>
  <c r="N988" i="1"/>
  <c r="N1004" i="1"/>
  <c r="N1026" i="1"/>
  <c r="O1026" i="1"/>
  <c r="N752" i="1"/>
  <c r="O769" i="1"/>
  <c r="O855" i="1"/>
  <c r="N855" i="1"/>
  <c r="N901" i="1"/>
  <c r="O910" i="1"/>
  <c r="N917" i="1"/>
  <c r="O917" i="1"/>
  <c r="O935" i="1"/>
  <c r="N935" i="1"/>
  <c r="O955" i="1"/>
  <c r="N955" i="1"/>
  <c r="O999" i="1"/>
  <c r="N999" i="1"/>
  <c r="N1046" i="1"/>
  <c r="O801" i="1"/>
  <c r="O813" i="1"/>
  <c r="O825" i="1"/>
  <c r="O837" i="1"/>
  <c r="O844" i="1"/>
  <c r="O876" i="1"/>
  <c r="O880" i="1"/>
  <c r="O888" i="1"/>
  <c r="O903" i="1"/>
  <c r="N903" i="1"/>
  <c r="O951" i="1"/>
  <c r="N951" i="1"/>
  <c r="O1002" i="1"/>
  <c r="O1009" i="1"/>
  <c r="N1009" i="1"/>
  <c r="O1090" i="1"/>
  <c r="O846" i="1"/>
  <c r="O857" i="1"/>
  <c r="N897" i="1"/>
  <c r="O897" i="1"/>
  <c r="O906" i="1"/>
  <c r="O931" i="1"/>
  <c r="N931" i="1"/>
  <c r="N940" i="1"/>
  <c r="N946" i="1"/>
  <c r="O946" i="1"/>
  <c r="O968" i="1"/>
  <c r="N968" i="1"/>
  <c r="O893" i="1"/>
  <c r="O899" i="1"/>
  <c r="N899" i="1"/>
  <c r="O912" i="1"/>
  <c r="N912" i="1"/>
  <c r="O975" i="1"/>
  <c r="N975" i="1"/>
  <c r="O1000" i="1"/>
  <c r="N1000" i="1"/>
  <c r="O1025" i="1"/>
  <c r="N1025" i="1"/>
  <c r="O1077" i="1"/>
  <c r="N1077" i="1"/>
  <c r="N1114" i="1"/>
  <c r="O1114" i="1"/>
  <c r="O867" i="1"/>
  <c r="N867" i="1"/>
  <c r="O895" i="1"/>
  <c r="N895" i="1"/>
  <c r="N919" i="1"/>
  <c r="N949" i="1"/>
  <c r="O949" i="1"/>
  <c r="O978" i="1"/>
  <c r="N978" i="1"/>
  <c r="O1062" i="1"/>
  <c r="N1062" i="1"/>
  <c r="N800" i="1"/>
  <c r="O817" i="1"/>
  <c r="O829" i="1"/>
  <c r="O841" i="1"/>
  <c r="O852" i="1"/>
  <c r="O865" i="1"/>
  <c r="O871" i="1"/>
  <c r="N871" i="1"/>
  <c r="O908" i="1"/>
  <c r="N908" i="1"/>
  <c r="O915" i="1"/>
  <c r="N929" i="1"/>
  <c r="O929" i="1"/>
  <c r="O934" i="1"/>
  <c r="N934" i="1"/>
  <c r="N942" i="1"/>
  <c r="O942" i="1"/>
  <c r="N954" i="1"/>
  <c r="O954" i="1"/>
  <c r="N1007" i="1"/>
  <c r="N701" i="1"/>
  <c r="N711" i="1"/>
  <c r="N727" i="1"/>
  <c r="N784" i="1"/>
  <c r="N792" i="1"/>
  <c r="O812" i="1"/>
  <c r="O836" i="1"/>
  <c r="O854" i="1"/>
  <c r="O869" i="1"/>
  <c r="M898" i="1" a="1"/>
  <c r="M898" i="1" s="1"/>
  <c r="N920" i="1"/>
  <c r="O920" i="1"/>
  <c r="O927" i="1"/>
  <c r="N927" i="1"/>
  <c r="N1010" i="1"/>
  <c r="O877" i="1"/>
  <c r="O881" i="1"/>
  <c r="O894" i="1"/>
  <c r="N894" i="1"/>
  <c r="O904" i="1"/>
  <c r="N904" i="1"/>
  <c r="O916" i="1"/>
  <c r="O922" i="1"/>
  <c r="N925" i="1"/>
  <c r="O925" i="1"/>
  <c r="N941" i="1"/>
  <c r="O941" i="1"/>
  <c r="N957" i="1"/>
  <c r="O957" i="1"/>
  <c r="N980" i="1"/>
  <c r="O980" i="1"/>
  <c r="N992" i="1"/>
  <c r="O992" i="1"/>
  <c r="O845" i="1"/>
  <c r="O866" i="1"/>
  <c r="N866" i="1"/>
  <c r="M890" i="1" a="1"/>
  <c r="M890" i="1" s="1"/>
  <c r="O943" i="1"/>
  <c r="N943" i="1"/>
  <c r="O1089" i="1"/>
  <c r="N1089" i="1"/>
  <c r="O1098" i="1"/>
  <c r="N1098" i="1"/>
  <c r="O1035" i="1"/>
  <c r="N1035" i="1"/>
  <c r="O1051" i="1"/>
  <c r="N1051" i="1"/>
  <c r="O1061" i="1"/>
  <c r="O1065" i="1"/>
  <c r="N1065" i="1"/>
  <c r="N1082" i="1"/>
  <c r="O1086" i="1"/>
  <c r="N1086" i="1"/>
  <c r="O1095" i="1"/>
  <c r="N1095" i="1"/>
  <c r="N1117" i="1"/>
  <c r="O1117" i="1"/>
  <c r="N1140" i="1"/>
  <c r="O1140" i="1"/>
  <c r="N1157" i="1"/>
  <c r="O1157" i="1"/>
  <c r="N1188" i="1"/>
  <c r="O1188" i="1"/>
  <c r="N1205" i="1"/>
  <c r="O1205" i="1"/>
  <c r="N1207" i="1"/>
  <c r="O1207" i="1"/>
  <c r="O933" i="1"/>
  <c r="N1084" i="1"/>
  <c r="N1124" i="1"/>
  <c r="O1124" i="1"/>
  <c r="N1130" i="1"/>
  <c r="N1203" i="1"/>
  <c r="O1203" i="1"/>
  <c r="M1016" i="1" a="1"/>
  <c r="M1016" i="1" s="1"/>
  <c r="O1037" i="1"/>
  <c r="N1037" i="1"/>
  <c r="M1060" i="1" a="1"/>
  <c r="M1060" i="1" s="1"/>
  <c r="M1064" i="1" a="1"/>
  <c r="M1064" i="1" s="1"/>
  <c r="O1070" i="1"/>
  <c r="N1108" i="1"/>
  <c r="O1108" i="1"/>
  <c r="N1128" i="1"/>
  <c r="O1128" i="1"/>
  <c r="N1138" i="1"/>
  <c r="O1138" i="1"/>
  <c r="N1178" i="1"/>
  <c r="N1226" i="1"/>
  <c r="O1226" i="1"/>
  <c r="O1053" i="1"/>
  <c r="N1053" i="1"/>
  <c r="O1085" i="1"/>
  <c r="N1085" i="1"/>
  <c r="O1100" i="1"/>
  <c r="N1112" i="1"/>
  <c r="O1112" i="1"/>
  <c r="N1118" i="1"/>
  <c r="N1145" i="1"/>
  <c r="O1145" i="1"/>
  <c r="O1147" i="1"/>
  <c r="N1176" i="1"/>
  <c r="O1176" i="1"/>
  <c r="N1224" i="1"/>
  <c r="O1224" i="1"/>
  <c r="N952" i="1"/>
  <c r="M962" i="1" a="1"/>
  <c r="M962" i="1" s="1"/>
  <c r="M970" i="1" a="1"/>
  <c r="M970" i="1" s="1"/>
  <c r="O1031" i="1"/>
  <c r="N1047" i="1"/>
  <c r="M1052" i="1" a="1"/>
  <c r="M1052" i="1" s="1"/>
  <c r="O1083" i="1"/>
  <c r="N1083" i="1"/>
  <c r="N1116" i="1"/>
  <c r="O1116" i="1"/>
  <c r="N1126" i="1"/>
  <c r="O1126" i="1"/>
  <c r="N1143" i="1"/>
  <c r="O1143" i="1"/>
  <c r="N1191" i="1"/>
  <c r="O1191" i="1"/>
  <c r="M997" i="1" a="1"/>
  <c r="M997" i="1" s="1"/>
  <c r="M1006" i="1" a="1"/>
  <c r="M1006" i="1" s="1"/>
  <c r="O1023" i="1"/>
  <c r="M1029" i="1" a="1"/>
  <c r="M1029" i="1" s="1"/>
  <c r="N1034" i="1"/>
  <c r="M1048" i="1" a="1"/>
  <c r="M1048" i="1" s="1"/>
  <c r="N1160" i="1"/>
  <c r="O1160" i="1"/>
  <c r="N1166" i="1"/>
  <c r="O1166" i="1"/>
  <c r="N1208" i="1"/>
  <c r="O1208" i="1"/>
  <c r="O1214" i="1"/>
  <c r="O1087" i="1"/>
  <c r="N1087" i="1"/>
  <c r="N1106" i="1"/>
  <c r="O1106" i="1"/>
  <c r="N1135" i="1"/>
  <c r="O1135" i="1"/>
  <c r="N1164" i="1"/>
  <c r="O1164" i="1"/>
  <c r="N1181" i="1"/>
  <c r="O1181" i="1"/>
  <c r="N1183" i="1"/>
  <c r="O1183" i="1"/>
  <c r="N1212" i="1"/>
  <c r="O1212" i="1"/>
  <c r="O1229" i="1"/>
  <c r="M982" i="1" a="1"/>
  <c r="M982" i="1" s="1"/>
  <c r="M994" i="1" a="1"/>
  <c r="M994" i="1" s="1"/>
  <c r="M1008" i="1" a="1"/>
  <c r="M1008" i="1" s="1"/>
  <c r="M1073" i="1" a="1"/>
  <c r="M1073" i="1" s="1"/>
  <c r="N1088" i="1"/>
  <c r="M1092" i="1" a="1"/>
  <c r="M1092" i="1" s="1"/>
  <c r="O1110" i="1"/>
  <c r="N1227" i="1"/>
  <c r="M1017" i="1" a="1"/>
  <c r="M1017" i="1" s="1"/>
  <c r="M1019" i="1" a="1"/>
  <c r="M1019" i="1" s="1"/>
  <c r="M1028" i="1" a="1"/>
  <c r="M1028" i="1" s="1"/>
  <c r="O1102" i="1"/>
  <c r="N1102" i="1"/>
  <c r="N1121" i="1"/>
  <c r="O1121" i="1"/>
  <c r="N1123" i="1"/>
  <c r="O1123" i="1"/>
  <c r="N1148" i="1"/>
  <c r="O1148" i="1"/>
  <c r="N1154" i="1"/>
  <c r="O1154" i="1"/>
  <c r="N1202" i="1"/>
  <c r="O1202" i="1"/>
  <c r="M977" i="1" a="1"/>
  <c r="M977" i="1" s="1"/>
  <c r="M989" i="1" a="1"/>
  <c r="M989" i="1" s="1"/>
  <c r="M1001" i="1" a="1"/>
  <c r="M1001" i="1" s="1"/>
  <c r="O1067" i="1"/>
  <c r="N1067" i="1"/>
  <c r="N1096" i="1"/>
  <c r="O1096" i="1"/>
  <c r="N1152" i="1"/>
  <c r="O1152" i="1"/>
  <c r="N1171" i="1"/>
  <c r="O1171" i="1"/>
  <c r="N1200" i="1"/>
  <c r="O1200" i="1"/>
  <c r="N1217" i="1"/>
  <c r="O1217" i="1"/>
  <c r="N1219" i="1"/>
  <c r="O1219" i="1"/>
  <c r="M958" i="1" a="1"/>
  <c r="M958" i="1" s="1"/>
  <c r="M966" i="1" a="1"/>
  <c r="M966" i="1" s="1"/>
  <c r="M974" i="1" a="1"/>
  <c r="M974" i="1" s="1"/>
  <c r="O985" i="1"/>
  <c r="N1022" i="1"/>
  <c r="N1033" i="1"/>
  <c r="M1041" i="1" a="1"/>
  <c r="M1041" i="1" s="1"/>
  <c r="O1050" i="1"/>
  <c r="N1050" i="1"/>
  <c r="M1057" i="1" a="1"/>
  <c r="M1057" i="1" s="1"/>
  <c r="N1111" i="1"/>
  <c r="O1111" i="1"/>
  <c r="N1215" i="1"/>
  <c r="O1215" i="1"/>
  <c r="M986" i="1" a="1"/>
  <c r="M986" i="1" s="1"/>
  <c r="M998" i="1" a="1"/>
  <c r="M998" i="1" s="1"/>
  <c r="M1012" i="1" a="1"/>
  <c r="M1012" i="1" s="1"/>
  <c r="M1076" i="1" a="1"/>
  <c r="M1076" i="1" s="1"/>
  <c r="M1080" i="1" a="1"/>
  <c r="M1080" i="1" s="1"/>
  <c r="N1107" i="1"/>
  <c r="O1107" i="1"/>
  <c r="O1119" i="1"/>
  <c r="N1136" i="1"/>
  <c r="O1136" i="1"/>
  <c r="N1184" i="1"/>
  <c r="N1190" i="1"/>
  <c r="O1278" i="1"/>
  <c r="N1278" i="1"/>
  <c r="O1280" i="1"/>
  <c r="N1280" i="1"/>
  <c r="N1291" i="1"/>
  <c r="O1322" i="1"/>
  <c r="N1322" i="1"/>
  <c r="O1332" i="1"/>
  <c r="N1332" i="1"/>
  <c r="O1338" i="1"/>
  <c r="N1338" i="1"/>
  <c r="O1274" i="1"/>
  <c r="N1274" i="1"/>
  <c r="N1276" i="1"/>
  <c r="O1289" i="1"/>
  <c r="N1289" i="1"/>
  <c r="N1325" i="1"/>
  <c r="O1339" i="1"/>
  <c r="N1339" i="1"/>
  <c r="N1069" i="1"/>
  <c r="O1120" i="1"/>
  <c r="O1132" i="1"/>
  <c r="O1144" i="1"/>
  <c r="O1156" i="1"/>
  <c r="O1168" i="1"/>
  <c r="O1180" i="1"/>
  <c r="O1192" i="1"/>
  <c r="O1204" i="1"/>
  <c r="O1216" i="1"/>
  <c r="O1270" i="1"/>
  <c r="N1270" i="1"/>
  <c r="O1272" i="1"/>
  <c r="N1272" i="1"/>
  <c r="N1285" i="1"/>
  <c r="O1316" i="1"/>
  <c r="N1316" i="1"/>
  <c r="O1105" i="1"/>
  <c r="O1266" i="1"/>
  <c r="N1266" i="1"/>
  <c r="O1268" i="1"/>
  <c r="N1268" i="1"/>
  <c r="O1302" i="1"/>
  <c r="N1302" i="1"/>
  <c r="N1307" i="1"/>
  <c r="O1318" i="1"/>
  <c r="N1318" i="1"/>
  <c r="O1323" i="1"/>
  <c r="N1323" i="1"/>
  <c r="O1328" i="1"/>
  <c r="N1328" i="1"/>
  <c r="O1334" i="1"/>
  <c r="N1334" i="1"/>
  <c r="O1337" i="1"/>
  <c r="N1337" i="1"/>
  <c r="O1232" i="1"/>
  <c r="N1232" i="1"/>
  <c r="O1234" i="1"/>
  <c r="N1234" i="1"/>
  <c r="O1236" i="1"/>
  <c r="N1236" i="1"/>
  <c r="O1238" i="1"/>
  <c r="N1238" i="1"/>
  <c r="O1240" i="1"/>
  <c r="N1240" i="1"/>
  <c r="O1242" i="1"/>
  <c r="N1242" i="1"/>
  <c r="O1244" i="1"/>
  <c r="N1244" i="1"/>
  <c r="O1246" i="1"/>
  <c r="N1246" i="1"/>
  <c r="O1248" i="1"/>
  <c r="N1248" i="1"/>
  <c r="O1252" i="1"/>
  <c r="N1252" i="1"/>
  <c r="O1254" i="1"/>
  <c r="N1254" i="1"/>
  <c r="O1256" i="1"/>
  <c r="N1256" i="1"/>
  <c r="O1258" i="1"/>
  <c r="N1258" i="1"/>
  <c r="O1260" i="1"/>
  <c r="N1260" i="1"/>
  <c r="O1264" i="1"/>
  <c r="N1264" i="1"/>
  <c r="O1277" i="1"/>
  <c r="N1277" i="1"/>
  <c r="O1300" i="1"/>
  <c r="N1300" i="1"/>
  <c r="N1305" i="1"/>
  <c r="O1321" i="1"/>
  <c r="N1321" i="1"/>
  <c r="O1129" i="1"/>
  <c r="O1141" i="1"/>
  <c r="O1153" i="1"/>
  <c r="O1165" i="1"/>
  <c r="O1177" i="1"/>
  <c r="O1189" i="1"/>
  <c r="O1201" i="1"/>
  <c r="O1213" i="1"/>
  <c r="O1225" i="1"/>
  <c r="O1273" i="1"/>
  <c r="N1273" i="1"/>
  <c r="O1298" i="1"/>
  <c r="N1298" i="1"/>
  <c r="O1312" i="1"/>
  <c r="N1312" i="1"/>
  <c r="N1269" i="1"/>
  <c r="N1296" i="1"/>
  <c r="N1303" i="1"/>
  <c r="O1314" i="1"/>
  <c r="N1314" i="1"/>
  <c r="O1319" i="1"/>
  <c r="O1330" i="1"/>
  <c r="N1330" i="1"/>
  <c r="O1333" i="1"/>
  <c r="N1333" i="1"/>
  <c r="O1340" i="1"/>
  <c r="N1340" i="1"/>
  <c r="O1275" i="1"/>
  <c r="O1294" i="1"/>
  <c r="N1294" i="1"/>
  <c r="O1301" i="1"/>
  <c r="N1301" i="1"/>
  <c r="O1317" i="1"/>
  <c r="O1162" i="1"/>
  <c r="O1198" i="1"/>
  <c r="O1210" i="1"/>
  <c r="O1299" i="1"/>
  <c r="N1299" i="1"/>
  <c r="N1308" i="1"/>
  <c r="O1324" i="1"/>
  <c r="O1267" i="1"/>
  <c r="O1290" i="1"/>
  <c r="N1290" i="1"/>
  <c r="O1297" i="1"/>
  <c r="N1297" i="1"/>
  <c r="O1310" i="1"/>
  <c r="N1310" i="1"/>
  <c r="O1315" i="1"/>
  <c r="N1315" i="1"/>
  <c r="N1329" i="1"/>
  <c r="O1331" i="1"/>
  <c r="N1331" i="1"/>
  <c r="O1336" i="1"/>
  <c r="N1336" i="1"/>
  <c r="O1231" i="1"/>
  <c r="O1233" i="1"/>
  <c r="O1239" i="1"/>
  <c r="O1253" i="1"/>
  <c r="O1255" i="1"/>
  <c r="O1259" i="1"/>
  <c r="O1263" i="1"/>
  <c r="O1286" i="1"/>
  <c r="N1286" i="1"/>
  <c r="O1288" i="1"/>
  <c r="N1288" i="1"/>
  <c r="O1295" i="1"/>
  <c r="N1295" i="1"/>
  <c r="O1282" i="1"/>
  <c r="N1282" i="1"/>
  <c r="O1306" i="1" l="1"/>
  <c r="N1018" i="1"/>
  <c r="O891" i="1"/>
  <c r="O990" i="1"/>
  <c r="N782" i="1"/>
  <c r="O702" i="1"/>
  <c r="N803" i="1"/>
  <c r="O522" i="1"/>
  <c r="O639" i="1"/>
  <c r="O590" i="1"/>
  <c r="O71" i="1"/>
  <c r="N144" i="1"/>
  <c r="O443" i="1"/>
  <c r="O427" i="1"/>
  <c r="N197" i="1"/>
  <c r="O1161" i="1"/>
  <c r="O435" i="1"/>
  <c r="N1042" i="1"/>
  <c r="O1133" i="1"/>
  <c r="O833" i="1"/>
  <c r="N554" i="1"/>
  <c r="O873" i="1"/>
  <c r="O1170" i="1"/>
  <c r="N984" i="1"/>
  <c r="N1159" i="1"/>
  <c r="N874" i="1"/>
  <c r="N1066" i="1"/>
  <c r="N1101" i="1"/>
  <c r="N1013" i="1"/>
  <c r="N720" i="1"/>
  <c r="O832" i="1"/>
  <c r="N609" i="1"/>
  <c r="N561" i="1"/>
  <c r="N297" i="1"/>
  <c r="N79" i="1"/>
  <c r="N54" i="1"/>
  <c r="O1127" i="1"/>
  <c r="N1313" i="1"/>
  <c r="O1249" i="1"/>
  <c r="N1292" i="1"/>
  <c r="N1027" i="1"/>
  <c r="O961" i="1"/>
  <c r="N347" i="1"/>
  <c r="O239" i="1"/>
  <c r="N131" i="1"/>
  <c r="N18" i="1"/>
  <c r="N325" i="1"/>
  <c r="O423" i="1"/>
  <c r="O5" i="1"/>
  <c r="O1237" i="1"/>
  <c r="O1222" i="1"/>
  <c r="N963" i="1"/>
  <c r="O911" i="1"/>
  <c r="N681" i="1"/>
  <c r="O838" i="1"/>
  <c r="O863" i="1"/>
  <c r="O380" i="1"/>
  <c r="N418" i="1"/>
  <c r="N172" i="1"/>
  <c r="O228" i="1"/>
  <c r="O830" i="1"/>
  <c r="N1015" i="1"/>
  <c r="N358" i="1"/>
  <c r="N101" i="1"/>
  <c r="N1309" i="1"/>
  <c r="O805" i="1"/>
  <c r="O610" i="1"/>
  <c r="N599" i="1"/>
  <c r="N580" i="1"/>
  <c r="N1262" i="1"/>
  <c r="N1250" i="1"/>
  <c r="N1311" i="1"/>
  <c r="N1036" i="1"/>
  <c r="N746" i="1"/>
  <c r="N736" i="1"/>
  <c r="O515" i="1"/>
  <c r="N242" i="1"/>
  <c r="N31" i="1"/>
  <c r="O1175" i="1"/>
  <c r="O1223" i="1"/>
  <c r="N404" i="1"/>
  <c r="O1174" i="1"/>
  <c r="N926" i="1"/>
  <c r="O462" i="1"/>
  <c r="N381" i="1"/>
  <c r="N76" i="1"/>
  <c r="O240" i="1"/>
  <c r="N1335" i="1"/>
  <c r="O804" i="1"/>
  <c r="O511" i="1"/>
  <c r="N1054" i="1"/>
  <c r="N793" i="1"/>
  <c r="N445" i="1"/>
  <c r="N256" i="1"/>
  <c r="N168" i="1"/>
  <c r="O630" i="1"/>
  <c r="O1194" i="1"/>
  <c r="O1146" i="1"/>
  <c r="N617" i="1"/>
  <c r="O459" i="1"/>
  <c r="N1081" i="1"/>
  <c r="O375" i="1"/>
  <c r="N588" i="1"/>
  <c r="O1125" i="1"/>
  <c r="N909" i="1"/>
  <c r="N1058" i="1"/>
  <c r="N596" i="1"/>
  <c r="R112" i="1"/>
  <c r="O1245" i="1"/>
  <c r="N987" i="1"/>
  <c r="N1293" i="1"/>
  <c r="O1281" i="1"/>
  <c r="N1097" i="1"/>
  <c r="O1195" i="1"/>
  <c r="O1094" i="1"/>
  <c r="O1099" i="1"/>
  <c r="N976" i="1"/>
  <c r="N1049" i="1"/>
  <c r="N889" i="1"/>
  <c r="O386" i="1"/>
  <c r="O114" i="1"/>
  <c r="N165" i="1"/>
  <c r="O1134" i="1"/>
  <c r="N783" i="1"/>
  <c r="O370" i="1"/>
  <c r="N1265" i="1"/>
  <c r="N971" i="1"/>
  <c r="N605" i="1"/>
  <c r="N618" i="1"/>
  <c r="N477" i="1"/>
  <c r="N50" i="1"/>
  <c r="N1005" i="1"/>
  <c r="O809" i="1"/>
  <c r="N708" i="1"/>
  <c r="N524" i="1"/>
  <c r="O360" i="1"/>
  <c r="N434" i="1"/>
  <c r="O1271" i="1"/>
  <c r="O303" i="1"/>
  <c r="O1179" i="1"/>
  <c r="N902" i="1"/>
  <c r="O798" i="1"/>
  <c r="N571" i="1"/>
  <c r="N39" i="1"/>
  <c r="N73" i="1"/>
  <c r="N154" i="1"/>
  <c r="N862" i="1"/>
  <c r="N699" i="1"/>
  <c r="N785" i="1"/>
  <c r="N956" i="1"/>
  <c r="N770" i="1"/>
  <c r="O821" i="1"/>
  <c r="N760" i="1"/>
  <c r="N545" i="1"/>
  <c r="O452" i="1"/>
  <c r="N1078" i="1"/>
  <c r="N1320" i="1"/>
  <c r="N719" i="1"/>
  <c r="N520" i="1"/>
  <c r="N1093" i="1"/>
  <c r="N703" i="1"/>
  <c r="N190" i="1"/>
  <c r="N173" i="1"/>
  <c r="N512" i="1"/>
  <c r="N496" i="1"/>
  <c r="N687" i="1"/>
  <c r="N628" i="1"/>
  <c r="N537" i="1"/>
  <c r="O945" i="1"/>
  <c r="N870" i="1"/>
  <c r="N578" i="1"/>
  <c r="O1155" i="1"/>
  <c r="O1045" i="1"/>
  <c r="O938" i="1"/>
  <c r="N921" i="1"/>
  <c r="O1220" i="1"/>
  <c r="O1024" i="1"/>
  <c r="N776" i="1"/>
  <c r="N781" i="1"/>
  <c r="O677" i="1"/>
  <c r="O1304" i="1"/>
  <c r="N786" i="1"/>
  <c r="O709" i="1"/>
  <c r="N525" i="1"/>
  <c r="O350" i="1"/>
  <c r="O300" i="1"/>
  <c r="O341" i="1"/>
  <c r="O171" i="1"/>
  <c r="O210" i="1"/>
  <c r="N140" i="1"/>
  <c r="O27" i="1"/>
  <c r="O231" i="1"/>
  <c r="O106" i="1"/>
  <c r="O195" i="1"/>
  <c r="N1032" i="1"/>
  <c r="N1122" i="1"/>
  <c r="O1197" i="1"/>
  <c r="O1261" i="1"/>
  <c r="N1075" i="1"/>
  <c r="O1040" i="1"/>
  <c r="N924" i="1"/>
  <c r="N878" i="1"/>
  <c r="N692" i="1"/>
  <c r="N689" i="1"/>
  <c r="N516" i="1"/>
  <c r="N488" i="1"/>
  <c r="N626" i="1"/>
  <c r="N238" i="1"/>
  <c r="N59" i="1"/>
  <c r="N167" i="1"/>
  <c r="O839" i="1"/>
  <c r="O567" i="1"/>
  <c r="N587" i="1"/>
  <c r="O481" i="1"/>
  <c r="O387" i="1"/>
  <c r="O295" i="1"/>
  <c r="O428" i="1"/>
  <c r="N395" i="1"/>
  <c r="N51" i="1"/>
  <c r="N166" i="1"/>
  <c r="N91" i="1"/>
  <c r="O42" i="1"/>
  <c r="O94" i="1"/>
  <c r="N1327" i="1"/>
  <c r="O1172" i="1"/>
  <c r="O1104" i="1"/>
  <c r="O1279" i="1"/>
  <c r="N930" i="1"/>
  <c r="N616" i="1"/>
  <c r="N134" i="1"/>
  <c r="N36" i="1"/>
  <c r="O1287" i="1"/>
  <c r="N1071" i="1"/>
  <c r="O739" i="1"/>
  <c r="O467" i="1"/>
  <c r="O446" i="1"/>
  <c r="O211" i="1"/>
  <c r="N939" i="1"/>
  <c r="N426" i="1"/>
  <c r="O331" i="1"/>
  <c r="N320" i="1"/>
  <c r="O357" i="1"/>
  <c r="N44" i="1"/>
  <c r="N125" i="1"/>
  <c r="N964" i="1"/>
  <c r="O913" i="1"/>
  <c r="N950" i="1"/>
  <c r="N766" i="1"/>
  <c r="N1020" i="1"/>
  <c r="N756" i="1"/>
  <c r="N676" i="1"/>
  <c r="N795" i="1"/>
  <c r="N517" i="1"/>
  <c r="N401" i="1"/>
  <c r="N81" i="1"/>
  <c r="N37" i="1"/>
  <c r="O1113" i="1"/>
  <c r="O827" i="1"/>
  <c r="N541" i="1"/>
  <c r="N682" i="1"/>
  <c r="O374" i="1"/>
  <c r="O371" i="1"/>
  <c r="N292" i="1"/>
  <c r="N346" i="1"/>
  <c r="N260" i="1"/>
  <c r="N70" i="1"/>
  <c r="N43" i="1"/>
  <c r="O1235" i="1"/>
  <c r="N1196" i="1"/>
  <c r="O1131" i="1"/>
  <c r="N1044" i="1"/>
  <c r="O947" i="1"/>
  <c r="N513" i="1"/>
  <c r="N112" i="1"/>
  <c r="N742" i="1"/>
  <c r="O1167" i="1"/>
  <c r="O549" i="1"/>
  <c r="O794" i="1"/>
  <c r="N650" i="1"/>
  <c r="N344" i="1"/>
  <c r="N10" i="1"/>
  <c r="N847" i="1"/>
  <c r="N150" i="1"/>
  <c r="O535" i="1"/>
  <c r="N621" i="1"/>
  <c r="N1063" i="1"/>
  <c r="O458" i="1"/>
  <c r="O979" i="1"/>
  <c r="N728" i="1"/>
  <c r="O1150" i="1"/>
  <c r="O1251" i="1"/>
  <c r="O565" i="1"/>
  <c r="O597" i="1"/>
  <c r="O530" i="1"/>
  <c r="O508" i="1"/>
  <c r="O93" i="1"/>
  <c r="O1247" i="1"/>
  <c r="O1283" i="1"/>
  <c r="O1142" i="1"/>
  <c r="O884" i="1"/>
  <c r="N787" i="1"/>
  <c r="O765" i="1"/>
  <c r="O129" i="1"/>
  <c r="N55" i="1"/>
  <c r="N119" i="1"/>
  <c r="N996" i="1"/>
  <c r="O243" i="1"/>
  <c r="O466" i="1"/>
  <c r="N53" i="1"/>
  <c r="O1186" i="1"/>
  <c r="O1228" i="1"/>
  <c r="N1011" i="1"/>
  <c r="O1193" i="1"/>
  <c r="O1109" i="1"/>
  <c r="O858" i="1"/>
  <c r="N959" i="1"/>
  <c r="O768" i="1"/>
  <c r="O887" i="1"/>
  <c r="O504" i="1"/>
  <c r="N409" i="1"/>
  <c r="O438" i="1"/>
  <c r="O19" i="1"/>
  <c r="O1243" i="1"/>
  <c r="O1241" i="1"/>
  <c r="N1326" i="1"/>
  <c r="N995" i="1"/>
  <c r="N960" i="1"/>
  <c r="O761" i="1"/>
  <c r="O403" i="1"/>
  <c r="O437" i="1"/>
  <c r="O307" i="1"/>
  <c r="N286" i="1"/>
  <c r="N83" i="1"/>
  <c r="O26" i="1"/>
  <c r="O1139" i="1"/>
  <c r="O835" i="1"/>
  <c r="N1284" i="1"/>
  <c r="O1169" i="1"/>
  <c r="N716" i="1"/>
  <c r="N684" i="1"/>
  <c r="N611" i="1"/>
  <c r="N557" i="1"/>
  <c r="N336" i="1"/>
  <c r="N156" i="1"/>
  <c r="N49" i="1"/>
  <c r="O280" i="1"/>
  <c r="N155" i="1"/>
  <c r="N637" i="1"/>
  <c r="O948" i="1"/>
  <c r="O678" i="1"/>
  <c r="N532" i="1"/>
  <c r="N406" i="1"/>
  <c r="N377" i="1"/>
  <c r="O1187" i="1"/>
  <c r="N991" i="1"/>
  <c r="O973" i="1"/>
  <c r="N1074" i="1"/>
  <c r="N624" i="1"/>
  <c r="O543" i="1"/>
  <c r="N110" i="1"/>
  <c r="N61" i="1"/>
  <c r="O1182" i="1"/>
  <c r="O1038" i="1"/>
  <c r="O828" i="1"/>
  <c r="N764" i="1"/>
  <c r="N250" i="1"/>
  <c r="N28" i="1"/>
  <c r="O218" i="1"/>
  <c r="N116" i="1"/>
  <c r="O396" i="1"/>
  <c r="O824" i="1"/>
  <c r="O1257" i="1"/>
  <c r="O392" i="1"/>
  <c r="N56" i="1"/>
  <c r="N1014" i="1"/>
  <c r="O714" i="1"/>
  <c r="N680" i="1"/>
  <c r="O82" i="1"/>
  <c r="O75" i="1"/>
  <c r="N601" i="1"/>
  <c r="O174" i="1"/>
  <c r="N507" i="1"/>
  <c r="O507" i="1"/>
  <c r="O772" i="1"/>
  <c r="N772" i="1"/>
  <c r="O645" i="1"/>
  <c r="O1039" i="1"/>
  <c r="N1039" i="1"/>
  <c r="N885" i="1"/>
  <c r="O885" i="1"/>
  <c r="N1068" i="1"/>
  <c r="O1068" i="1"/>
  <c r="N480" i="1"/>
  <c r="O480" i="1"/>
  <c r="N850" i="1"/>
  <c r="O850" i="1"/>
  <c r="N476" i="1"/>
  <c r="O476" i="1"/>
  <c r="N425" i="1"/>
  <c r="O425" i="1"/>
  <c r="N291" i="1"/>
  <c r="O291" i="1"/>
  <c r="N981" i="1"/>
  <c r="O981" i="1"/>
  <c r="N993" i="1"/>
  <c r="O993" i="1"/>
  <c r="N440" i="1"/>
  <c r="O440" i="1"/>
  <c r="O1059" i="1"/>
  <c r="N1059" i="1"/>
  <c r="N690" i="1"/>
  <c r="O690" i="1"/>
  <c r="N495" i="1"/>
  <c r="O495" i="1"/>
  <c r="N276" i="1"/>
  <c r="O276" i="1"/>
  <c r="N202" i="1"/>
  <c r="O686" i="1"/>
  <c r="N686" i="1"/>
  <c r="N472" i="1"/>
  <c r="O472" i="1"/>
  <c r="N527" i="1"/>
  <c r="O527" i="1"/>
  <c r="N519" i="1"/>
  <c r="O519" i="1"/>
  <c r="N668" i="1"/>
  <c r="O668" i="1"/>
  <c r="N468" i="1"/>
  <c r="O468" i="1"/>
  <c r="O1043" i="1"/>
  <c r="N1043" i="1"/>
  <c r="O1055" i="1"/>
  <c r="N1055" i="1"/>
  <c r="O1028" i="1"/>
  <c r="N1028" i="1"/>
  <c r="N1080" i="1"/>
  <c r="O1080" i="1"/>
  <c r="N1057" i="1"/>
  <c r="O1057" i="1"/>
  <c r="N631" i="1"/>
  <c r="O631" i="1"/>
  <c r="O584" i="1"/>
  <c r="N584" i="1"/>
  <c r="O612" i="1"/>
  <c r="N612" i="1"/>
  <c r="N627" i="1"/>
  <c r="O627" i="1"/>
  <c r="O638" i="1"/>
  <c r="N638" i="1"/>
  <c r="O632" i="1"/>
  <c r="N632" i="1"/>
  <c r="O225" i="1"/>
  <c r="N225" i="1"/>
  <c r="N20" i="1"/>
  <c r="O20" i="1"/>
  <c r="N1092" i="1"/>
  <c r="O1092" i="1"/>
  <c r="O614" i="1"/>
  <c r="N614" i="1"/>
  <c r="O657" i="1"/>
  <c r="N657" i="1"/>
  <c r="O576" i="1"/>
  <c r="N576" i="1"/>
  <c r="O602" i="1"/>
  <c r="N602" i="1"/>
  <c r="N620" i="1"/>
  <c r="O620" i="1"/>
  <c r="O623" i="1"/>
  <c r="N623" i="1"/>
  <c r="O241" i="1"/>
  <c r="N241" i="1"/>
  <c r="O257" i="1"/>
  <c r="N257" i="1"/>
  <c r="O4" i="1"/>
  <c r="N4" i="1"/>
  <c r="O1076" i="1"/>
  <c r="N1076" i="1"/>
  <c r="N1012" i="1"/>
  <c r="O1012" i="1"/>
  <c r="O1048" i="1"/>
  <c r="N1048" i="1"/>
  <c r="O586" i="1"/>
  <c r="N586" i="1"/>
  <c r="O592" i="1"/>
  <c r="N592" i="1"/>
  <c r="O608" i="1"/>
  <c r="N608" i="1"/>
  <c r="O245" i="1"/>
  <c r="N245" i="1"/>
  <c r="N1001" i="1"/>
  <c r="O1001" i="1"/>
  <c r="N1041" i="1"/>
  <c r="O1041" i="1"/>
  <c r="O998" i="1"/>
  <c r="N998" i="1"/>
  <c r="O890" i="1"/>
  <c r="N890" i="1"/>
  <c r="O582" i="1"/>
  <c r="N582" i="1"/>
  <c r="O986" i="1"/>
  <c r="N986" i="1"/>
  <c r="N1073" i="1"/>
  <c r="O1073" i="1"/>
  <c r="O1029" i="1"/>
  <c r="N1029" i="1"/>
  <c r="O3" i="1"/>
  <c r="N3" i="1"/>
  <c r="O282" i="1"/>
  <c r="N282" i="1"/>
  <c r="N275" i="1"/>
  <c r="O275" i="1"/>
  <c r="O15" i="1"/>
  <c r="N15" i="1"/>
  <c r="O9" i="1"/>
  <c r="N9" i="1"/>
  <c r="O278" i="1"/>
  <c r="N278" i="1"/>
  <c r="O1019" i="1"/>
  <c r="N1019" i="1"/>
  <c r="O1008" i="1"/>
  <c r="N1008" i="1"/>
  <c r="O898" i="1"/>
  <c r="N898" i="1"/>
  <c r="O651" i="1"/>
  <c r="N651" i="1"/>
  <c r="N448" i="1"/>
  <c r="O448" i="1"/>
  <c r="O253" i="1"/>
  <c r="N253" i="1"/>
  <c r="N267" i="1"/>
  <c r="O267" i="1"/>
  <c r="O23" i="1"/>
  <c r="N23" i="1"/>
  <c r="N1052" i="1"/>
  <c r="O1052" i="1"/>
  <c r="N977" i="1"/>
  <c r="O977" i="1"/>
  <c r="O1017" i="1"/>
  <c r="N1017" i="1"/>
  <c r="O994" i="1"/>
  <c r="N994" i="1"/>
  <c r="N997" i="1"/>
  <c r="O997" i="1"/>
  <c r="O1064" i="1"/>
  <c r="N1064" i="1"/>
  <c r="O641" i="1"/>
  <c r="N641" i="1"/>
  <c r="O629" i="1"/>
  <c r="N629" i="1"/>
  <c r="N460" i="1"/>
  <c r="O460" i="1"/>
  <c r="N456" i="1"/>
  <c r="O456" i="1"/>
  <c r="O259" i="1"/>
  <c r="N259" i="1"/>
  <c r="O255" i="1"/>
  <c r="N255" i="1"/>
  <c r="O655" i="1"/>
  <c r="N655" i="1"/>
  <c r="N989" i="1"/>
  <c r="O989" i="1"/>
  <c r="O1006" i="1"/>
  <c r="N1006" i="1"/>
  <c r="N974" i="1"/>
  <c r="O974" i="1"/>
  <c r="N966" i="1"/>
  <c r="O966" i="1"/>
  <c r="O982" i="1"/>
  <c r="N982" i="1"/>
  <c r="O1060" i="1"/>
  <c r="N1060" i="1"/>
  <c r="O604" i="1"/>
  <c r="N604" i="1"/>
  <c r="N658" i="1"/>
  <c r="O658" i="1"/>
  <c r="N271" i="1"/>
  <c r="O271" i="1"/>
  <c r="O237" i="1"/>
  <c r="N237" i="1"/>
  <c r="N958" i="1"/>
  <c r="O958" i="1"/>
  <c r="O229" i="1"/>
  <c r="N229" i="1"/>
  <c r="N970" i="1"/>
  <c r="O970" i="1"/>
  <c r="O886" i="1"/>
  <c r="N886" i="1"/>
  <c r="N653" i="1"/>
  <c r="O653" i="1"/>
  <c r="O289" i="1"/>
  <c r="N289" i="1"/>
  <c r="O221" i="1"/>
  <c r="N221" i="1"/>
  <c r="N962" i="1"/>
  <c r="O962" i="1"/>
  <c r="O1016" i="1"/>
  <c r="N1016" i="1"/>
  <c r="O882" i="1"/>
  <c r="N882" i="1"/>
  <c r="O649" i="1"/>
  <c r="N649" i="1"/>
  <c r="O594" i="1"/>
  <c r="N594" i="1"/>
  <c r="O644" i="1"/>
  <c r="N644" i="1"/>
  <c r="O640" i="1"/>
  <c r="N640" i="1"/>
  <c r="N634" i="1"/>
  <c r="O634" i="1"/>
  <c r="O274" i="1"/>
  <c r="N274" i="1"/>
  <c r="O233" i="1"/>
  <c r="N2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<sst xmlns="http://schemas.openxmlformats.org/spreadsheetml/2006/main" count="4173" uniqueCount="93">
  <si>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</si>
  <si>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</si>
  <si>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</si>
  <si>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</si>
  <si>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</si>
  <si>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</si>
  <si>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</si>
  <si>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</si>
  <si>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Age</t>
  </si>
  <si>
    <t>Sex</t>
  </si>
  <si>
    <t>BMI</t>
  </si>
  <si>
    <t>Children</t>
  </si>
  <si>
    <t>Smoker</t>
  </si>
  <si>
    <t>Region</t>
  </si>
  <si>
    <t>Charges</t>
  </si>
  <si>
    <t>Southeast</t>
  </si>
  <si>
    <t>Northwest</t>
  </si>
  <si>
    <t>Northeast</t>
  </si>
  <si>
    <t>Descriptive Statistics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</si>
  <si>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</si>
  <si>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</si>
  <si>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</si>
  <si>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</si>
  <si>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</si>
  <si>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</si>
  <si>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</si>
  <si>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</si>
  <si>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Minimum</t>
  </si>
  <si>
    <t>Maximum</t>
  </si>
  <si>
    <t>Range</t>
  </si>
  <si>
    <t>Sum</t>
  </si>
  <si>
    <t>Count</t>
  </si>
  <si>
    <t>Statistic</t>
  </si>
  <si>
    <t>Female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</si>
  <si>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</si>
  <si>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</si>
  <si>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</si>
  <si>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</si>
  <si>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</si>
  <si>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</si>
  <si>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</si>
  <si>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</si>
  <si>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</si>
  <si>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</si>
  <si>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</si>
  <si>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</si>
  <si>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</si>
  <si>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</si>
  <si>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</si>
  <si>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</si>
  <si>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</si>
  <si>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</si>
  <si>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</si>
  <si>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</si>
  <si>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</si>
  <si>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</si>
  <si>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</si>
  <si>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Charge Estimate</t>
  </si>
  <si>
    <t>-95% Prediction</t>
  </si>
  <si>
    <t>+95% Prediction</t>
  </si>
  <si>
    <t>Predictive</t>
  </si>
  <si>
    <t>Average Bill</t>
  </si>
  <si>
    <t>Is a Smoker?</t>
  </si>
  <si>
    <t>Age?</t>
  </si>
  <si>
    <t>18-30</t>
  </si>
  <si>
    <t>31-40</t>
  </si>
  <si>
    <t>41-50</t>
  </si>
  <si>
    <t>51-60</t>
  </si>
  <si>
    <t>61+</t>
  </si>
  <si>
    <t>15.5 - 20</t>
  </si>
  <si>
    <t>41+</t>
  </si>
  <si>
    <t>36-40</t>
  </si>
  <si>
    <t>31-35</t>
  </si>
  <si>
    <t>26-30</t>
  </si>
  <si>
    <t>21-25</t>
  </si>
  <si>
    <t>MIN</t>
  </si>
  <si>
    <t>Inequality</t>
  </si>
  <si>
    <t>MAX</t>
  </si>
  <si>
    <t>&lt;=</t>
  </si>
  <si>
    <t>Decision</t>
  </si>
  <si>
    <t>OBJECTIVE</t>
  </si>
  <si>
    <t>Total Cost</t>
  </si>
  <si>
    <t>Solver Model Focused on Generating Minimum Cost Based on Demographical Factors</t>
  </si>
  <si>
    <t>Geographical</t>
  </si>
  <si>
    <t>Coefficient Calculation</t>
  </si>
  <si>
    <t>SmokerYes</t>
  </si>
  <si>
    <t>Correlation</t>
  </si>
  <si>
    <t>Smoker?</t>
  </si>
  <si>
    <t>Charts Illustrating Impact of Highest Correlation Factors</t>
  </si>
  <si>
    <t>&gt;=</t>
  </si>
  <si>
    <t>MIN Cost</t>
  </si>
  <si>
    <t>MAX Cost</t>
  </si>
  <si>
    <t>Additional Solver Model Focused on Generating Maximum Revenue Based on Demographical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</si>
</sst>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4" fontId="2" fillId="5" borderId="3">
      <alignment horizontal="center" vertical="center"/>
    </xf>
    <xf numFmtId="4" fontId="2" fillId="6" borderId="3">
      <alignment horizontal="center" vertical="center"/>
    </xf>
    <xf numFmtId="44" fontId="4" fillId="0" borderId="0" applyFont="0" applyFill="0" applyBorder="0" applyAlignment="0" applyProtection="0"/>
  </cellStyleXfs>
  <cellXfs count="75">
    <xf numFmtId="0" fontId="0" fillId="0" borderId="0" xfId="0"/>
    <xf numFmtId="0" fontId="0" fillId="0" borderId="3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4" fontId="2" fillId="6" borderId="3" xfId="3">
      <alignment horizontal="center" vertical="center"/>
    </xf>
    <xf numFmtId="0" fontId="0" fillId="0" borderId="3" xfId="0" applyBorder="1" applyAlignment="1">
      <alignment horizontal="center" vertical="center"/>
    </xf>
    <xf numFmtId="8" fontId="3" fillId="2" borderId="1" xfId="1" applyNumberFormat="1" applyFont="1" applyAlignment="1">
      <alignment horizontal="center" vertical="center"/>
    </xf>
    <xf numFmtId="4" fontId="3" fillId="2" borderId="1" xfId="1" applyNumberFormat="1" applyFont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3" xfId="0" quotePrefix="1" applyFont="1" applyFill="1" applyBorder="1" applyAlignment="1">
      <alignment horizontal="center"/>
    </xf>
    <xf numFmtId="44" fontId="0" fillId="0" borderId="3" xfId="4" applyFont="1" applyBorder="1" applyAlignment="1">
      <alignment horizontal="center"/>
    </xf>
    <xf numFmtId="44" fontId="0" fillId="0" borderId="0" xfId="4" applyFont="1" applyAlignment="1">
      <alignment horizontal="center"/>
    </xf>
    <xf numFmtId="44" fontId="0" fillId="0" borderId="0" xfId="0" applyNumberFormat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3" borderId="3" xfId="0" applyFill="1" applyBorder="1" applyAlignment="1">
      <alignment horizontal="center"/>
    </xf>
    <xf numFmtId="44" fontId="0" fillId="3" borderId="3" xfId="4" applyFont="1" applyFill="1" applyBorder="1" applyAlignment="1">
      <alignment horizontal="center"/>
    </xf>
    <xf numFmtId="0" fontId="0" fillId="0" borderId="3" xfId="0" applyBorder="1"/>
    <xf numFmtId="0" fontId="2" fillId="4" borderId="3" xfId="0" applyFont="1" applyFill="1" applyBorder="1"/>
    <xf numFmtId="44" fontId="0" fillId="0" borderId="3" xfId="4" applyFont="1" applyBorder="1"/>
    <xf numFmtId="44" fontId="0" fillId="3" borderId="3" xfId="4" applyFont="1" applyFill="1" applyBorder="1"/>
    <xf numFmtId="0" fontId="0" fillId="7" borderId="3" xfId="0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Continuous"/>
    </xf>
    <xf numFmtId="2" fontId="0" fillId="0" borderId="0" xfId="0" applyNumberFormat="1"/>
    <xf numFmtId="2" fontId="0" fillId="0" borderId="7" xfId="0" applyNumberFormat="1" applyBorder="1"/>
    <xf numFmtId="1" fontId="0" fillId="0" borderId="0" xfId="0" applyNumberFormat="1"/>
    <xf numFmtId="1" fontId="0" fillId="0" borderId="7" xfId="0" applyNumberFormat="1" applyBorder="1"/>
    <xf numFmtId="44" fontId="0" fillId="7" borderId="3" xfId="0" applyNumberFormat="1" applyFill="1" applyBorder="1" applyAlignment="1">
      <alignment horizontal="center"/>
    </xf>
    <xf numFmtId="44" fontId="2" fillId="9" borderId="3" xfId="4" applyFont="1" applyFill="1" applyBorder="1" applyAlignment="1">
      <alignment horizontal="center"/>
    </xf>
    <xf numFmtId="44" fontId="0" fillId="7" borderId="3" xfId="4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4" fontId="2" fillId="5" borderId="4" xfId="2" applyBorder="1">
      <alignment horizontal="center" vertical="center"/>
    </xf>
    <xf numFmtId="4" fontId="2" fillId="5" borderId="5" xfId="2" applyBorder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</cellXfs>
  <cellStyles count="5">
    <cellStyle name="2  Heading" xfId="2" xr:uid="{47E3C19B-9235-4AAE-994D-30FFB9948165}"/>
    <cellStyle name="3 Alt Heading" xfId="3" xr:uid="{A6062F4B-D78F-4966-ACE0-D6AF8958F793}"/>
    <cellStyle name="Calculation" xfId="1" builtinId="22"/>
    <cellStyle name="Currency" xfId="4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Project_Analysis!$M$2</c:f>
              <c:strCache>
                <c:ptCount val="1"/>
                <c:pt idx="0">
                  <c:v>Charge Estimate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Project_Analysis!$L$3:$L$1340</c:f>
              <c:numCache>
                <c:formatCode>_("$"* #,##0.00_);_("$"* \(#,##0.00\);_("$"* "-"??_);_(@_)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xVal>
          <c:yVal>
            <c:numRef>
              <c:f>Project_Analysis!$M$3:$M$1340</c:f>
              <c:numCache>
                <c:formatCode>_("$"* #,##0.00_);_("$"* \(#,##0.00\);_("$"* "-"??_);_(@_)</c:formatCode>
                <c:ptCount val="1338"/>
                <c:pt idx="0">
                  <c:v>25293.7130283968</c:v>
                </c:pt>
                <c:pt idx="1">
                  <c:v>3448.6028343093312</c:v>
                </c:pt>
                <c:pt idx="2">
                  <c:v>6706.988490700729</c:v>
                </c:pt>
                <c:pt idx="3">
                  <c:v>3754.8301629796479</c:v>
                </c:pt>
                <c:pt idx="4">
                  <c:v>5592.4933864892409</c:v>
                </c:pt>
                <c:pt idx="5">
                  <c:v>3719.8257990457823</c:v>
                </c:pt>
                <c:pt idx="6">
                  <c:v>10659.961225058603</c:v>
                </c:pt>
                <c:pt idx="7">
                  <c:v>8047.9106069021291</c:v>
                </c:pt>
                <c:pt idx="8">
                  <c:v>8502.9739198291827</c:v>
                </c:pt>
                <c:pt idx="9">
                  <c:v>11884.637517953135</c:v>
                </c:pt>
                <c:pt idx="10">
                  <c:v>3245.2082315476109</c:v>
                </c:pt>
                <c:pt idx="11">
                  <c:v>35717.463669102326</c:v>
                </c:pt>
                <c:pt idx="12">
                  <c:v>4546.0469857087519</c:v>
                </c:pt>
                <c:pt idx="13">
                  <c:v>14917.07843932011</c:v>
                </c:pt>
                <c:pt idx="14">
                  <c:v>31969.001276095747</c:v>
                </c:pt>
                <c:pt idx="15">
                  <c:v>670.02627532226325</c:v>
                </c:pt>
                <c:pt idx="16">
                  <c:v>12333.866803065677</c:v>
                </c:pt>
                <c:pt idx="17">
                  <c:v>1925.9110741471704</c:v>
                </c:pt>
                <c:pt idx="18">
                  <c:v>15023.547995745193</c:v>
                </c:pt>
                <c:pt idx="19">
                  <c:v>30497.850103632736</c:v>
                </c:pt>
                <c:pt idx="20">
                  <c:v>15685.502873331967</c:v>
                </c:pt>
                <c:pt idx="21">
                  <c:v>6272.4694507927488</c:v>
                </c:pt>
                <c:pt idx="22">
                  <c:v>3085.0361288517761</c:v>
                </c:pt>
                <c:pt idx="23">
                  <c:v>31945.667536422567</c:v>
                </c:pt>
                <c:pt idx="24">
                  <c:v>7537.765836636976</c:v>
                </c:pt>
                <c:pt idx="25">
                  <c:v>13009.908343688388</c:v>
                </c:pt>
                <c:pt idx="26">
                  <c:v>12073.692510291956</c:v>
                </c:pt>
                <c:pt idx="27">
                  <c:v>13903.663446355833</c:v>
                </c:pt>
                <c:pt idx="28">
                  <c:v>0</c:v>
                </c:pt>
                <c:pt idx="29">
                  <c:v>32044.90100007919</c:v>
                </c:pt>
                <c:pt idx="30">
                  <c:v>28544.757319417215</c:v>
                </c:pt>
                <c:pt idx="31">
                  <c:v>1610.7515012743115</c:v>
                </c:pt>
                <c:pt idx="32">
                  <c:v>4060.1166297572599</c:v>
                </c:pt>
                <c:pt idx="33">
                  <c:v>13361.700046588845</c:v>
                </c:pt>
                <c:pt idx="34">
                  <c:v>30832.750742679105</c:v>
                </c:pt>
                <c:pt idx="35">
                  <c:v>0</c:v>
                </c:pt>
                <c:pt idx="36">
                  <c:v>16241.605215452466</c:v>
                </c:pt>
                <c:pt idx="37">
                  <c:v>703.58507421337345</c:v>
                </c:pt>
                <c:pt idx="38">
                  <c:v>33682.378434216298</c:v>
                </c:pt>
                <c:pt idx="39">
                  <c:v>39763.830566363045</c:v>
                </c:pt>
                <c:pt idx="40">
                  <c:v>3248.5597507774892</c:v>
                </c:pt>
                <c:pt idx="41">
                  <c:v>8364.6435991660983</c:v>
                </c:pt>
                <c:pt idx="42">
                  <c:v>5289.3694338743626</c:v>
                </c:pt>
                <c:pt idx="43">
                  <c:v>7928.2838798389857</c:v>
                </c:pt>
                <c:pt idx="44">
                  <c:v>10733.306462287666</c:v>
                </c:pt>
                <c:pt idx="45">
                  <c:v>13749.111282375325</c:v>
                </c:pt>
                <c:pt idx="46">
                  <c:v>6750.7917436664502</c:v>
                </c:pt>
                <c:pt idx="47">
                  <c:v>6694.2317775028023</c:v>
                </c:pt>
                <c:pt idx="48">
                  <c:v>10758.235943759759</c:v>
                </c:pt>
                <c:pt idx="49">
                  <c:v>32405.598360557895</c:v>
                </c:pt>
                <c:pt idx="50">
                  <c:v>4768.6425543912337</c:v>
                </c:pt>
                <c:pt idx="51">
                  <c:v>5460.5578629232732</c:v>
                </c:pt>
                <c:pt idx="52">
                  <c:v>33120.652783095007</c:v>
                </c:pt>
                <c:pt idx="53">
                  <c:v>31668.91885612841</c:v>
                </c:pt>
                <c:pt idx="54">
                  <c:v>9140.7134454444677</c:v>
                </c:pt>
                <c:pt idx="55">
                  <c:v>39809.281322578878</c:v>
                </c:pt>
                <c:pt idx="56">
                  <c:v>14704.962622462222</c:v>
                </c:pt>
                <c:pt idx="57">
                  <c:v>27063.723603324601</c:v>
                </c:pt>
                <c:pt idx="58">
                  <c:v>32724.607364602365</c:v>
                </c:pt>
                <c:pt idx="59">
                  <c:v>10056.402191536959</c:v>
                </c:pt>
                <c:pt idx="60">
                  <c:v>9681.8047497836305</c:v>
                </c:pt>
                <c:pt idx="61">
                  <c:v>6635.787657620971</c:v>
                </c:pt>
                <c:pt idx="62">
                  <c:v>12869.568576740196</c:v>
                </c:pt>
                <c:pt idx="63">
                  <c:v>4172.958160000162</c:v>
                </c:pt>
                <c:pt idx="64">
                  <c:v>24298.876347022939</c:v>
                </c:pt>
                <c:pt idx="65">
                  <c:v>1784.3719400948485</c:v>
                </c:pt>
                <c:pt idx="66">
                  <c:v>16983.113063792298</c:v>
                </c:pt>
                <c:pt idx="67">
                  <c:v>7252.8135434253527</c:v>
                </c:pt>
                <c:pt idx="68">
                  <c:v>9576.1045621151898</c:v>
                </c:pt>
                <c:pt idx="69">
                  <c:v>27495.998081043748</c:v>
                </c:pt>
                <c:pt idx="70">
                  <c:v>26205.133411734452</c:v>
                </c:pt>
                <c:pt idx="71">
                  <c:v>7937.2101467500761</c:v>
                </c:pt>
                <c:pt idx="72">
                  <c:v>11672.634798923405</c:v>
                </c:pt>
                <c:pt idx="73">
                  <c:v>13125.876457448172</c:v>
                </c:pt>
                <c:pt idx="74">
                  <c:v>8516.6773040154476</c:v>
                </c:pt>
                <c:pt idx="75">
                  <c:v>13753.964616946549</c:v>
                </c:pt>
                <c:pt idx="76">
                  <c:v>4987.5084355219551</c:v>
                </c:pt>
                <c:pt idx="77">
                  <c:v>4340.6518251273228</c:v>
                </c:pt>
                <c:pt idx="78">
                  <c:v>7213.8966006339324</c:v>
                </c:pt>
                <c:pt idx="79">
                  <c:v>9421.1201767207604</c:v>
                </c:pt>
                <c:pt idx="80">
                  <c:v>5487.4105385720395</c:v>
                </c:pt>
                <c:pt idx="81">
                  <c:v>12606.018659504458</c:v>
                </c:pt>
                <c:pt idx="82">
                  <c:v>29630.457582773255</c:v>
                </c:pt>
                <c:pt idx="83">
                  <c:v>15924.550719172315</c:v>
                </c:pt>
                <c:pt idx="84">
                  <c:v>33208.563294282125</c:v>
                </c:pt>
                <c:pt idx="85">
                  <c:v>31701.088781824939</c:v>
                </c:pt>
                <c:pt idx="86">
                  <c:v>36767.112175463553</c:v>
                </c:pt>
                <c:pt idx="87">
                  <c:v>10711.428112838297</c:v>
                </c:pt>
                <c:pt idx="88">
                  <c:v>8933.1161442908597</c:v>
                </c:pt>
                <c:pt idx="89">
                  <c:v>10987.036292382752</c:v>
                </c:pt>
                <c:pt idx="90">
                  <c:v>5815.1722608213531</c:v>
                </c:pt>
                <c:pt idx="91">
                  <c:v>10207.686436317505</c:v>
                </c:pt>
                <c:pt idx="92">
                  <c:v>38477.848762712762</c:v>
                </c:pt>
                <c:pt idx="93">
                  <c:v>9311.9129761673976</c:v>
                </c:pt>
                <c:pt idx="94">
                  <c:v>38956.50772515258</c:v>
                </c:pt>
                <c:pt idx="95">
                  <c:v>7454.3755154796527</c:v>
                </c:pt>
                <c:pt idx="96">
                  <c:v>12845.31347621002</c:v>
                </c:pt>
                <c:pt idx="97">
                  <c:v>14006.54980882696</c:v>
                </c:pt>
                <c:pt idx="98">
                  <c:v>32929.546747978224</c:v>
                </c:pt>
                <c:pt idx="99">
                  <c:v>27125.605666158081</c:v>
                </c:pt>
                <c:pt idx="100">
                  <c:v>8351.0340206657747</c:v>
                </c:pt>
                <c:pt idx="101">
                  <c:v>4271.7029694901139</c:v>
                </c:pt>
                <c:pt idx="102">
                  <c:v>2899.6866249955019</c:v>
                </c:pt>
                <c:pt idx="103">
                  <c:v>38118.381188619729</c:v>
                </c:pt>
                <c:pt idx="104">
                  <c:v>5637.8469382490293</c:v>
                </c:pt>
                <c:pt idx="105">
                  <c:v>26544.24184026572</c:v>
                </c:pt>
                <c:pt idx="106">
                  <c:v>2090.2757584385618</c:v>
                </c:pt>
                <c:pt idx="107">
                  <c:v>5679.0473015170428</c:v>
                </c:pt>
                <c:pt idx="108">
                  <c:v>3821.024332519828</c:v>
                </c:pt>
                <c:pt idx="109">
                  <c:v>38827.908054019965</c:v>
                </c:pt>
                <c:pt idx="110">
                  <c:v>13330.002592111519</c:v>
                </c:pt>
                <c:pt idx="111">
                  <c:v>12253.556484626311</c:v>
                </c:pt>
                <c:pt idx="112">
                  <c:v>6920.9394882326014</c:v>
                </c:pt>
                <c:pt idx="113">
                  <c:v>5218.4710906716646</c:v>
                </c:pt>
                <c:pt idx="114">
                  <c:v>13636.904205364281</c:v>
                </c:pt>
                <c:pt idx="115">
                  <c:v>13040.765022680534</c:v>
                </c:pt>
                <c:pt idx="116">
                  <c:v>18433.624296363858</c:v>
                </c:pt>
                <c:pt idx="117">
                  <c:v>28276.373778976864</c:v>
                </c:pt>
                <c:pt idx="118">
                  <c:v>8828.2867833815471</c:v>
                </c:pt>
                <c:pt idx="119">
                  <c:v>6090.1346694736239</c:v>
                </c:pt>
                <c:pt idx="120">
                  <c:v>11806.853804040595</c:v>
                </c:pt>
                <c:pt idx="121">
                  <c:v>609.4059333674013</c:v>
                </c:pt>
                <c:pt idx="122">
                  <c:v>2673.7548935291998</c:v>
                </c:pt>
                <c:pt idx="123">
                  <c:v>34189.576433842754</c:v>
                </c:pt>
                <c:pt idx="124">
                  <c:v>12710.993708322545</c:v>
                </c:pt>
                <c:pt idx="125">
                  <c:v>4503.4101519918695</c:v>
                </c:pt>
                <c:pt idx="126">
                  <c:v>25429.390409841144</c:v>
                </c:pt>
                <c:pt idx="127">
                  <c:v>13143.775929519474</c:v>
                </c:pt>
                <c:pt idx="128">
                  <c:v>26753.208141210918</c:v>
                </c:pt>
                <c:pt idx="129">
                  <c:v>9451.6514001504947</c:v>
                </c:pt>
                <c:pt idx="130">
                  <c:v>12206.308711491634</c:v>
                </c:pt>
                <c:pt idx="131">
                  <c:v>11205.522646193931</c:v>
                </c:pt>
                <c:pt idx="132">
                  <c:v>13842.843191938824</c:v>
                </c:pt>
                <c:pt idx="133">
                  <c:v>1125.5425702476732</c:v>
                </c:pt>
                <c:pt idx="134">
                  <c:v>2962.272036767783</c:v>
                </c:pt>
                <c:pt idx="135">
                  <c:v>2191.6555040506919</c:v>
                </c:pt>
                <c:pt idx="136">
                  <c:v>3416.8635394761113</c:v>
                </c:pt>
                <c:pt idx="137">
                  <c:v>1767.218115487598</c:v>
                </c:pt>
                <c:pt idx="138">
                  <c:v>13143.455217094957</c:v>
                </c:pt>
                <c:pt idx="139">
                  <c:v>4963.2145183438588</c:v>
                </c:pt>
                <c:pt idx="140">
                  <c:v>5218.981370960817</c:v>
                </c:pt>
                <c:pt idx="141">
                  <c:v>6104.3080833740605</c:v>
                </c:pt>
                <c:pt idx="142">
                  <c:v>29009.371009885013</c:v>
                </c:pt>
                <c:pt idx="143">
                  <c:v>6062.9358220127287</c:v>
                </c:pt>
                <c:pt idx="144">
                  <c:v>30289.370102588677</c:v>
                </c:pt>
                <c:pt idx="145">
                  <c:v>9072.6570371843809</c:v>
                </c:pt>
                <c:pt idx="146">
                  <c:v>35011.315926953808</c:v>
                </c:pt>
                <c:pt idx="147">
                  <c:v>13399.382903735848</c:v>
                </c:pt>
                <c:pt idx="148">
                  <c:v>14493.395722690468</c:v>
                </c:pt>
                <c:pt idx="149">
                  <c:v>1958.9613990434555</c:v>
                </c:pt>
                <c:pt idx="150">
                  <c:v>5227.3940845989273</c:v>
                </c:pt>
                <c:pt idx="151">
                  <c:v>9298.2755090845167</c:v>
                </c:pt>
                <c:pt idx="152">
                  <c:v>10306.70717484998</c:v>
                </c:pt>
                <c:pt idx="153">
                  <c:v>30624.913783199532</c:v>
                </c:pt>
                <c:pt idx="154">
                  <c:v>7447.0813994078308</c:v>
                </c:pt>
                <c:pt idx="155">
                  <c:v>12283.787963356754</c:v>
                </c:pt>
                <c:pt idx="156">
                  <c:v>31355.868615932079</c:v>
                </c:pt>
                <c:pt idx="157">
                  <c:v>24941.291146675641</c:v>
                </c:pt>
                <c:pt idx="158">
                  <c:v>30500.893539876248</c:v>
                </c:pt>
                <c:pt idx="159">
                  <c:v>10735.512450749447</c:v>
                </c:pt>
                <c:pt idx="160">
                  <c:v>31367.544738937904</c:v>
                </c:pt>
                <c:pt idx="161">
                  <c:v>27997.667027589487</c:v>
                </c:pt>
                <c:pt idx="162">
                  <c:v>14747.900418292043</c:v>
                </c:pt>
                <c:pt idx="163">
                  <c:v>6379.7797216283943</c:v>
                </c:pt>
                <c:pt idx="164">
                  <c:v>7134.5621739202179</c:v>
                </c:pt>
                <c:pt idx="165">
                  <c:v>11474.741107919424</c:v>
                </c:pt>
                <c:pt idx="166">
                  <c:v>7166.1979926256645</c:v>
                </c:pt>
                <c:pt idx="167">
                  <c:v>8600.3613955180845</c:v>
                </c:pt>
                <c:pt idx="168">
                  <c:v>3859.1004289318771</c:v>
                </c:pt>
                <c:pt idx="169">
                  <c:v>2704.2224589064099</c:v>
                </c:pt>
                <c:pt idx="170">
                  <c:v>17143.427746144323</c:v>
                </c:pt>
                <c:pt idx="171">
                  <c:v>9833.6189918753589</c:v>
                </c:pt>
                <c:pt idx="172">
                  <c:v>0</c:v>
                </c:pt>
                <c:pt idx="173">
                  <c:v>8370.8155021455023</c:v>
                </c:pt>
                <c:pt idx="174">
                  <c:v>5183.4556959579641</c:v>
                </c:pt>
                <c:pt idx="175">
                  <c:v>39919.488385426346</c:v>
                </c:pt>
                <c:pt idx="176">
                  <c:v>7730.1754329882642</c:v>
                </c:pt>
                <c:pt idx="177">
                  <c:v>11220.288500739309</c:v>
                </c:pt>
                <c:pt idx="178">
                  <c:v>9670.4945489015081</c:v>
                </c:pt>
                <c:pt idx="179">
                  <c:v>11265.032467778859</c:v>
                </c:pt>
                <c:pt idx="180">
                  <c:v>12174.088418181196</c:v>
                </c:pt>
                <c:pt idx="181">
                  <c:v>4634.1791243401931</c:v>
                </c:pt>
                <c:pt idx="182">
                  <c:v>1774.397855242998</c:v>
                </c:pt>
                <c:pt idx="183">
                  <c:v>7968.2761459137473</c:v>
                </c:pt>
                <c:pt idx="184">
                  <c:v>9557.6527083081237</c:v>
                </c:pt>
                <c:pt idx="185">
                  <c:v>36662.521672168543</c:v>
                </c:pt>
                <c:pt idx="186">
                  <c:v>4804.3737627506198</c:v>
                </c:pt>
                <c:pt idx="187">
                  <c:v>6714.6803606747562</c:v>
                </c:pt>
                <c:pt idx="188">
                  <c:v>9030.0506379814105</c:v>
                </c:pt>
                <c:pt idx="189">
                  <c:v>6999.8346337335788</c:v>
                </c:pt>
                <c:pt idx="190">
                  <c:v>13271.699850322315</c:v>
                </c:pt>
                <c:pt idx="191">
                  <c:v>5235.1076084804954</c:v>
                </c:pt>
                <c:pt idx="192">
                  <c:v>2047.3733244265895</c:v>
                </c:pt>
                <c:pt idx="193">
                  <c:v>11590.499677697117</c:v>
                </c:pt>
                <c:pt idx="194">
                  <c:v>3196.9699685433534</c:v>
                </c:pt>
                <c:pt idx="195">
                  <c:v>2833.3816091782519</c:v>
                </c:pt>
                <c:pt idx="196">
                  <c:v>8244.3534599240847</c:v>
                </c:pt>
                <c:pt idx="197">
                  <c:v>9236.9091021939239</c:v>
                </c:pt>
                <c:pt idx="198">
                  <c:v>6930.6133414885589</c:v>
                </c:pt>
                <c:pt idx="199">
                  <c:v>17840.746516737399</c:v>
                </c:pt>
                <c:pt idx="200">
                  <c:v>3480.270018061834</c:v>
                </c:pt>
                <c:pt idx="201">
                  <c:v>10763.249851264183</c:v>
                </c:pt>
                <c:pt idx="202">
                  <c:v>11272.39333418557</c:v>
                </c:pt>
                <c:pt idx="203">
                  <c:v>30048.195241145273</c:v>
                </c:pt>
                <c:pt idx="204">
                  <c:v>6349.5023053765944</c:v>
                </c:pt>
                <c:pt idx="205">
                  <c:v>5524.8467803087296</c:v>
                </c:pt>
                <c:pt idx="206">
                  <c:v>11004.356990079574</c:v>
                </c:pt>
                <c:pt idx="207">
                  <c:v>31128.881438620621</c:v>
                </c:pt>
                <c:pt idx="208">
                  <c:v>14069.712467209592</c:v>
                </c:pt>
                <c:pt idx="209">
                  <c:v>12664.847803455672</c:v>
                </c:pt>
                <c:pt idx="210">
                  <c:v>3776.1076381906678</c:v>
                </c:pt>
                <c:pt idx="211">
                  <c:v>10226.037327338177</c:v>
                </c:pt>
                <c:pt idx="212">
                  <c:v>4359.7501441166023</c:v>
                </c:pt>
                <c:pt idx="213">
                  <c:v>5301.6969208816954</c:v>
                </c:pt>
                <c:pt idx="214">
                  <c:v>10092.025103585838</c:v>
                </c:pt>
                <c:pt idx="215">
                  <c:v>11167.599105823658</c:v>
                </c:pt>
                <c:pt idx="216">
                  <c:v>10344.430074935939</c:v>
                </c:pt>
                <c:pt idx="217">
                  <c:v>1665.6153119686678</c:v>
                </c:pt>
                <c:pt idx="218">
                  <c:v>4328.8732176014892</c:v>
                </c:pt>
                <c:pt idx="219">
                  <c:v>1063.6718936489233</c:v>
                </c:pt>
                <c:pt idx="220">
                  <c:v>7740.8463506362386</c:v>
                </c:pt>
                <c:pt idx="221">
                  <c:v>12953.030440872666</c:v>
                </c:pt>
                <c:pt idx="222">
                  <c:v>7063.1593609932606</c:v>
                </c:pt>
                <c:pt idx="223">
                  <c:v>27502.833498916487</c:v>
                </c:pt>
                <c:pt idx="224">
                  <c:v>29889.35306050237</c:v>
                </c:pt>
                <c:pt idx="225">
                  <c:v>13940.600248386665</c:v>
                </c:pt>
                <c:pt idx="226">
                  <c:v>6996.8057305241819</c:v>
                </c:pt>
                <c:pt idx="227">
                  <c:v>16139.70546244146</c:v>
                </c:pt>
                <c:pt idx="228">
                  <c:v>9798.4573279921206</c:v>
                </c:pt>
                <c:pt idx="229">
                  <c:v>9589.2620529232954</c:v>
                </c:pt>
                <c:pt idx="230">
                  <c:v>11249.071929570255</c:v>
                </c:pt>
                <c:pt idx="231">
                  <c:v>13047.219623585577</c:v>
                </c:pt>
                <c:pt idx="232">
                  <c:v>0</c:v>
                </c:pt>
                <c:pt idx="233">
                  <c:v>11927.941392287619</c:v>
                </c:pt>
                <c:pt idx="234">
                  <c:v>6859.213552269568</c:v>
                </c:pt>
                <c:pt idx="235">
                  <c:v>29637.107647382814</c:v>
                </c:pt>
                <c:pt idx="236">
                  <c:v>716.49473513499106</c:v>
                </c:pt>
                <c:pt idx="237">
                  <c:v>8830.3097181260673</c:v>
                </c:pt>
                <c:pt idx="238">
                  <c:v>26166.342101602568</c:v>
                </c:pt>
                <c:pt idx="239">
                  <c:v>11582.007916270883</c:v>
                </c:pt>
                <c:pt idx="240">
                  <c:v>31206.917108312351</c:v>
                </c:pt>
                <c:pt idx="241">
                  <c:v>4521.268698390355</c:v>
                </c:pt>
                <c:pt idx="242">
                  <c:v>10794.394924005748</c:v>
                </c:pt>
                <c:pt idx="243">
                  <c:v>10644.380722540824</c:v>
                </c:pt>
                <c:pt idx="244">
                  <c:v>37501.172578763209</c:v>
                </c:pt>
                <c:pt idx="245">
                  <c:v>11630.013679427251</c:v>
                </c:pt>
                <c:pt idx="246">
                  <c:v>15347.523371114425</c:v>
                </c:pt>
                <c:pt idx="247">
                  <c:v>5223.1547224309397</c:v>
                </c:pt>
                <c:pt idx="248">
                  <c:v>0</c:v>
                </c:pt>
                <c:pt idx="249">
                  <c:v>5682.6121515440027</c:v>
                </c:pt>
                <c:pt idx="250">
                  <c:v>23217.751855252427</c:v>
                </c:pt>
                <c:pt idx="251">
                  <c:v>39004.925480864986</c:v>
                </c:pt>
                <c:pt idx="252">
                  <c:v>37168.711732304553</c:v>
                </c:pt>
                <c:pt idx="253">
                  <c:v>5609.2808715011015</c:v>
                </c:pt>
                <c:pt idx="254">
                  <c:v>35416.33089438286</c:v>
                </c:pt>
                <c:pt idx="255">
                  <c:v>12218.704399673286</c:v>
                </c:pt>
                <c:pt idx="256">
                  <c:v>37216.74929394987</c:v>
                </c:pt>
                <c:pt idx="257">
                  <c:v>10405.597933339424</c:v>
                </c:pt>
                <c:pt idx="258">
                  <c:v>10860.26749492298</c:v>
                </c:pt>
                <c:pt idx="259">
                  <c:v>27133.043444393465</c:v>
                </c:pt>
                <c:pt idx="260">
                  <c:v>10546.75391069131</c:v>
                </c:pt>
                <c:pt idx="261">
                  <c:v>25591.553807168806</c:v>
                </c:pt>
                <c:pt idx="262">
                  <c:v>34810.8983655556</c:v>
                </c:pt>
                <c:pt idx="263">
                  <c:v>28840.882483324043</c:v>
                </c:pt>
                <c:pt idx="264">
                  <c:v>14976.030538800387</c:v>
                </c:pt>
                <c:pt idx="265">
                  <c:v>38350.396169547144</c:v>
                </c:pt>
                <c:pt idx="266">
                  <c:v>28209.444585100347</c:v>
                </c:pt>
                <c:pt idx="267">
                  <c:v>15630.659788706886</c:v>
                </c:pt>
                <c:pt idx="268">
                  <c:v>9247.7747815140137</c:v>
                </c:pt>
                <c:pt idx="269">
                  <c:v>9756.3677252209745</c:v>
                </c:pt>
                <c:pt idx="270">
                  <c:v>1956.1516384216357</c:v>
                </c:pt>
                <c:pt idx="271">
                  <c:v>36212.86544570604</c:v>
                </c:pt>
                <c:pt idx="272">
                  <c:v>11626.412165624199</c:v>
                </c:pt>
                <c:pt idx="273">
                  <c:v>10561.021505339831</c:v>
                </c:pt>
                <c:pt idx="274">
                  <c:v>3343.371625425385</c:v>
                </c:pt>
                <c:pt idx="275">
                  <c:v>10107.256949434759</c:v>
                </c:pt>
                <c:pt idx="276">
                  <c:v>400.92799970838678</c:v>
                </c:pt>
                <c:pt idx="277">
                  <c:v>994.65111109702775</c:v>
                </c:pt>
                <c:pt idx="278">
                  <c:v>13783.610795340264</c:v>
                </c:pt>
                <c:pt idx="279">
                  <c:v>7914.6247588485639</c:v>
                </c:pt>
                <c:pt idx="280">
                  <c:v>32197.870527925465</c:v>
                </c:pt>
                <c:pt idx="281">
                  <c:v>40834.808724538394</c:v>
                </c:pt>
                <c:pt idx="282">
                  <c:v>5488.34121077893</c:v>
                </c:pt>
                <c:pt idx="283">
                  <c:v>13652.233288259227</c:v>
                </c:pt>
                <c:pt idx="284">
                  <c:v>11040.776517132264</c:v>
                </c:pt>
                <c:pt idx="285">
                  <c:v>8215.3475120375697</c:v>
                </c:pt>
                <c:pt idx="286">
                  <c:v>17132.884045922143</c:v>
                </c:pt>
                <c:pt idx="287">
                  <c:v>12784.100087937295</c:v>
                </c:pt>
                <c:pt idx="288">
                  <c:v>40010.46863260078</c:v>
                </c:pt>
                <c:pt idx="289">
                  <c:v>10632.864157765536</c:v>
                </c:pt>
                <c:pt idx="290">
                  <c:v>5622.4496541797598</c:v>
                </c:pt>
                <c:pt idx="291">
                  <c:v>5908.1757981952105</c:v>
                </c:pt>
                <c:pt idx="292">
                  <c:v>33562.939338132281</c:v>
                </c:pt>
                <c:pt idx="293">
                  <c:v>2452.8344633310389</c:v>
                </c:pt>
                <c:pt idx="294">
                  <c:v>3908.391078788467</c:v>
                </c:pt>
                <c:pt idx="295">
                  <c:v>351.61890862316068</c:v>
                </c:pt>
                <c:pt idx="296">
                  <c:v>25094.559978279533</c:v>
                </c:pt>
                <c:pt idx="297">
                  <c:v>31910.314327618595</c:v>
                </c:pt>
                <c:pt idx="298">
                  <c:v>32479.62914070781</c:v>
                </c:pt>
                <c:pt idx="299">
                  <c:v>10309.009931631048</c:v>
                </c:pt>
                <c:pt idx="300">
                  <c:v>7948.2570382082522</c:v>
                </c:pt>
                <c:pt idx="301">
                  <c:v>34619.048271813517</c:v>
                </c:pt>
                <c:pt idx="302">
                  <c:v>15084.542651777334</c:v>
                </c:pt>
                <c:pt idx="303">
                  <c:v>6362.802304946701</c:v>
                </c:pt>
                <c:pt idx="304">
                  <c:v>15582.57485467098</c:v>
                </c:pt>
                <c:pt idx="305">
                  <c:v>7287.424189547859</c:v>
                </c:pt>
                <c:pt idx="306">
                  <c:v>4572.2093681740698</c:v>
                </c:pt>
                <c:pt idx="307">
                  <c:v>6512.9483045638444</c:v>
                </c:pt>
                <c:pt idx="308">
                  <c:v>14653.795271745807</c:v>
                </c:pt>
                <c:pt idx="309">
                  <c:v>10404.344645112054</c:v>
                </c:pt>
                <c:pt idx="310">
                  <c:v>8835.4595660525956</c:v>
                </c:pt>
                <c:pt idx="311">
                  <c:v>359.75943492932129</c:v>
                </c:pt>
                <c:pt idx="312">
                  <c:v>35415.772877897936</c:v>
                </c:pt>
                <c:pt idx="313">
                  <c:v>11644.56353586464</c:v>
                </c:pt>
                <c:pt idx="314">
                  <c:v>28535.740936333525</c:v>
                </c:pt>
                <c:pt idx="315">
                  <c:v>12564.859728940213</c:v>
                </c:pt>
                <c:pt idx="316">
                  <c:v>11343.725965417547</c:v>
                </c:pt>
                <c:pt idx="317">
                  <c:v>12917.455543549757</c:v>
                </c:pt>
                <c:pt idx="318">
                  <c:v>8387.1800611231301</c:v>
                </c:pt>
                <c:pt idx="319">
                  <c:v>9288.8384813426674</c:v>
                </c:pt>
                <c:pt idx="320">
                  <c:v>5357.2182691779381</c:v>
                </c:pt>
                <c:pt idx="321">
                  <c:v>6695.4227354256691</c:v>
                </c:pt>
                <c:pt idx="322">
                  <c:v>29998.904972533353</c:v>
                </c:pt>
                <c:pt idx="323">
                  <c:v>16459.235117162363</c:v>
                </c:pt>
                <c:pt idx="324">
                  <c:v>3644.9922349347944</c:v>
                </c:pt>
                <c:pt idx="325">
                  <c:v>10248.094446478437</c:v>
                </c:pt>
                <c:pt idx="326">
                  <c:v>2309.741496410099</c:v>
                </c:pt>
                <c:pt idx="327">
                  <c:v>36309.031849128201</c:v>
                </c:pt>
                <c:pt idx="328">
                  <c:v>39328.990814030549</c:v>
                </c:pt>
                <c:pt idx="329">
                  <c:v>12775.02615259678</c:v>
                </c:pt>
                <c:pt idx="330">
                  <c:v>40395.287825303356</c:v>
                </c:pt>
                <c:pt idx="331">
                  <c:v>34062.580929660508</c:v>
                </c:pt>
                <c:pt idx="332">
                  <c:v>13946.003043700155</c:v>
                </c:pt>
                <c:pt idx="333">
                  <c:v>12209.100728112309</c:v>
                </c:pt>
                <c:pt idx="334">
                  <c:v>12173.275836216224</c:v>
                </c:pt>
                <c:pt idx="335">
                  <c:v>15111.076785101104</c:v>
                </c:pt>
                <c:pt idx="336">
                  <c:v>11037.345663233769</c:v>
                </c:pt>
                <c:pt idx="337">
                  <c:v>13322.557214456392</c:v>
                </c:pt>
                <c:pt idx="338">
                  <c:v>36052.94832999714</c:v>
                </c:pt>
                <c:pt idx="339">
                  <c:v>8719.7746704046003</c:v>
                </c:pt>
                <c:pt idx="340">
                  <c:v>2627.7022130874975</c:v>
                </c:pt>
                <c:pt idx="341">
                  <c:v>13684.864499726034</c:v>
                </c:pt>
                <c:pt idx="342">
                  <c:v>12817.622223052313</c:v>
                </c:pt>
                <c:pt idx="343">
                  <c:v>16582.544596293141</c:v>
                </c:pt>
                <c:pt idx="344">
                  <c:v>15580.75535061309</c:v>
                </c:pt>
                <c:pt idx="345">
                  <c:v>7110.8574488153863</c:v>
                </c:pt>
                <c:pt idx="346">
                  <c:v>8448.5517056681456</c:v>
                </c:pt>
                <c:pt idx="347">
                  <c:v>11531.445536958287</c:v>
                </c:pt>
                <c:pt idx="348">
                  <c:v>6897.4367429749691</c:v>
                </c:pt>
                <c:pt idx="349">
                  <c:v>1898.9036444803878</c:v>
                </c:pt>
                <c:pt idx="350">
                  <c:v>10211.813873736257</c:v>
                </c:pt>
                <c:pt idx="351">
                  <c:v>8627.5804718368636</c:v>
                </c:pt>
                <c:pt idx="352">
                  <c:v>4202.7596736726664</c:v>
                </c:pt>
                <c:pt idx="353">
                  <c:v>8361.2799706842234</c:v>
                </c:pt>
                <c:pt idx="354">
                  <c:v>4634.1791243401931</c:v>
                </c:pt>
                <c:pt idx="355">
                  <c:v>8147.2276095140478</c:v>
                </c:pt>
                <c:pt idx="356">
                  <c:v>15024.21954619504</c:v>
                </c:pt>
                <c:pt idx="357">
                  <c:v>11194.074090927155</c:v>
                </c:pt>
                <c:pt idx="358">
                  <c:v>7018.4187642391771</c:v>
                </c:pt>
                <c:pt idx="359">
                  <c:v>0</c:v>
                </c:pt>
                <c:pt idx="360">
                  <c:v>12297.515987553892</c:v>
                </c:pt>
                <c:pt idx="361">
                  <c:v>6780.9692922237882</c:v>
                </c:pt>
                <c:pt idx="362">
                  <c:v>23190.713616009598</c:v>
                </c:pt>
                <c:pt idx="363">
                  <c:v>1925.6015562915763</c:v>
                </c:pt>
                <c:pt idx="364">
                  <c:v>796.3685675688339</c:v>
                </c:pt>
                <c:pt idx="365">
                  <c:v>11563.297745453634</c:v>
                </c:pt>
                <c:pt idx="366">
                  <c:v>14827.86735300181</c:v>
                </c:pt>
                <c:pt idx="367">
                  <c:v>7922.2138597418707</c:v>
                </c:pt>
                <c:pt idx="368">
                  <c:v>10689.142184305663</c:v>
                </c:pt>
                <c:pt idx="369">
                  <c:v>4291.5440353268823</c:v>
                </c:pt>
                <c:pt idx="370">
                  <c:v>10530.324965838994</c:v>
                </c:pt>
                <c:pt idx="371">
                  <c:v>10242.543992230603</c:v>
                </c:pt>
                <c:pt idx="372">
                  <c:v>10570.887730017941</c:v>
                </c:pt>
                <c:pt idx="373">
                  <c:v>29607.361495115598</c:v>
                </c:pt>
                <c:pt idx="374">
                  <c:v>3337.5698746461239</c:v>
                </c:pt>
                <c:pt idx="375">
                  <c:v>27067.294846402823</c:v>
                </c:pt>
                <c:pt idx="376">
                  <c:v>31796.420410523366</c:v>
                </c:pt>
                <c:pt idx="377">
                  <c:v>30526.829180334244</c:v>
                </c:pt>
                <c:pt idx="378">
                  <c:v>15788.616577736266</c:v>
                </c:pt>
                <c:pt idx="379">
                  <c:v>13966.745468111603</c:v>
                </c:pt>
                <c:pt idx="380">
                  <c:v>25886.337034134878</c:v>
                </c:pt>
                <c:pt idx="381">
                  <c:v>36313.932119953242</c:v>
                </c:pt>
                <c:pt idx="382">
                  <c:v>12215.608373761726</c:v>
                </c:pt>
                <c:pt idx="383">
                  <c:v>11668.057083044223</c:v>
                </c:pt>
                <c:pt idx="384">
                  <c:v>7690.8747620552058</c:v>
                </c:pt>
                <c:pt idx="385">
                  <c:v>3518.6215755593621</c:v>
                </c:pt>
                <c:pt idx="386">
                  <c:v>15169.612185114456</c:v>
                </c:pt>
                <c:pt idx="387">
                  <c:v>9974.6438330176643</c:v>
                </c:pt>
                <c:pt idx="388">
                  <c:v>2055.9266765202919</c:v>
                </c:pt>
                <c:pt idx="389">
                  <c:v>5546.5858543353788</c:v>
                </c:pt>
                <c:pt idx="390">
                  <c:v>14245.020951713097</c:v>
                </c:pt>
                <c:pt idx="391">
                  <c:v>5284.7791912715038</c:v>
                </c:pt>
                <c:pt idx="392">
                  <c:v>11400.690680172389</c:v>
                </c:pt>
                <c:pt idx="393">
                  <c:v>11625.323654616703</c:v>
                </c:pt>
                <c:pt idx="394">
                  <c:v>11783.803282479195</c:v>
                </c:pt>
                <c:pt idx="395">
                  <c:v>6127.2614031742814</c:v>
                </c:pt>
                <c:pt idx="396">
                  <c:v>11240.990031298217</c:v>
                </c:pt>
                <c:pt idx="397">
                  <c:v>2810.889349342433</c:v>
                </c:pt>
                <c:pt idx="398">
                  <c:v>13043.256138262896</c:v>
                </c:pt>
                <c:pt idx="399">
                  <c:v>4596.8678444430006</c:v>
                </c:pt>
                <c:pt idx="400">
                  <c:v>7188.4695563200112</c:v>
                </c:pt>
                <c:pt idx="401">
                  <c:v>15561.347045041475</c:v>
                </c:pt>
                <c:pt idx="402">
                  <c:v>15328.816285079763</c:v>
                </c:pt>
                <c:pt idx="403">
                  <c:v>12545.594626420625</c:v>
                </c:pt>
                <c:pt idx="404">
                  <c:v>1852.1894554557766</c:v>
                </c:pt>
                <c:pt idx="405">
                  <c:v>15387.237595657192</c:v>
                </c:pt>
                <c:pt idx="406">
                  <c:v>3748.4918654569774</c:v>
                </c:pt>
                <c:pt idx="407">
                  <c:v>7654.1250521522743</c:v>
                </c:pt>
                <c:pt idx="408">
                  <c:v>5245.9337871774333</c:v>
                </c:pt>
                <c:pt idx="409">
                  <c:v>5776.0082533276618</c:v>
                </c:pt>
                <c:pt idx="410">
                  <c:v>0</c:v>
                </c:pt>
                <c:pt idx="411">
                  <c:v>30550.755556353375</c:v>
                </c:pt>
                <c:pt idx="412">
                  <c:v>25371.693656853291</c:v>
                </c:pt>
                <c:pt idx="413">
                  <c:v>3875.731153615292</c:v>
                </c:pt>
                <c:pt idx="414">
                  <c:v>4511.4181170387892</c:v>
                </c:pt>
                <c:pt idx="415">
                  <c:v>10635.617765390409</c:v>
                </c:pt>
                <c:pt idx="416">
                  <c:v>11818.152115121607</c:v>
                </c:pt>
                <c:pt idx="417">
                  <c:v>28813.546807692532</c:v>
                </c:pt>
                <c:pt idx="418">
                  <c:v>17092.247765989767</c:v>
                </c:pt>
                <c:pt idx="419">
                  <c:v>36890.421654594327</c:v>
                </c:pt>
                <c:pt idx="420">
                  <c:v>38674.340327688187</c:v>
                </c:pt>
                <c:pt idx="421">
                  <c:v>38575.374308225611</c:v>
                </c:pt>
                <c:pt idx="422">
                  <c:v>33645.501695088809</c:v>
                </c:pt>
                <c:pt idx="423">
                  <c:v>4727.4836238269818</c:v>
                </c:pt>
                <c:pt idx="424">
                  <c:v>10493.844384275191</c:v>
                </c:pt>
                <c:pt idx="425">
                  <c:v>9076.9564622557118</c:v>
                </c:pt>
                <c:pt idx="426">
                  <c:v>7545.6128781007028</c:v>
                </c:pt>
                <c:pt idx="427">
                  <c:v>2577.4528440652048</c:v>
                </c:pt>
                <c:pt idx="428">
                  <c:v>0</c:v>
                </c:pt>
                <c:pt idx="429">
                  <c:v>6381.6016681334804</c:v>
                </c:pt>
                <c:pt idx="430">
                  <c:v>3077.6700858652712</c:v>
                </c:pt>
                <c:pt idx="431">
                  <c:v>2971.9123721048527</c:v>
                </c:pt>
                <c:pt idx="432">
                  <c:v>6882.3667818370668</c:v>
                </c:pt>
                <c:pt idx="433">
                  <c:v>12858.19191990346</c:v>
                </c:pt>
                <c:pt idx="434">
                  <c:v>5714.4674448219375</c:v>
                </c:pt>
                <c:pt idx="435">
                  <c:v>14963.703051793058</c:v>
                </c:pt>
                <c:pt idx="436">
                  <c:v>4343.5951033312958</c:v>
                </c:pt>
                <c:pt idx="437">
                  <c:v>7189.2608567447096</c:v>
                </c:pt>
                <c:pt idx="438">
                  <c:v>18617.766388439504</c:v>
                </c:pt>
                <c:pt idx="439">
                  <c:v>4597.659439247971</c:v>
                </c:pt>
                <c:pt idx="440">
                  <c:v>7231.3870622173235</c:v>
                </c:pt>
                <c:pt idx="441">
                  <c:v>30789.185304140381</c:v>
                </c:pt>
                <c:pt idx="442">
                  <c:v>6107.2498005243615</c:v>
                </c:pt>
                <c:pt idx="443">
                  <c:v>15043.809645165515</c:v>
                </c:pt>
                <c:pt idx="444">
                  <c:v>35339.943238307831</c:v>
                </c:pt>
                <c:pt idx="445">
                  <c:v>9887.249611231422</c:v>
                </c:pt>
                <c:pt idx="446">
                  <c:v>13395.222181703863</c:v>
                </c:pt>
                <c:pt idx="447">
                  <c:v>10792.765351617683</c:v>
                </c:pt>
                <c:pt idx="448">
                  <c:v>7415.7907609067443</c:v>
                </c:pt>
                <c:pt idx="449">
                  <c:v>9528.4362664715918</c:v>
                </c:pt>
                <c:pt idx="450">
                  <c:v>8929.6222295708212</c:v>
                </c:pt>
                <c:pt idx="451">
                  <c:v>3943.1123219121837</c:v>
                </c:pt>
                <c:pt idx="452">
                  <c:v>1071.7753485268622</c:v>
                </c:pt>
                <c:pt idx="453">
                  <c:v>2800.2275588783305</c:v>
                </c:pt>
                <c:pt idx="454">
                  <c:v>11848.200783055654</c:v>
                </c:pt>
                <c:pt idx="455">
                  <c:v>14810.4560378858</c:v>
                </c:pt>
                <c:pt idx="456">
                  <c:v>12327.830546128094</c:v>
                </c:pt>
                <c:pt idx="457">
                  <c:v>12693.013986899554</c:v>
                </c:pt>
                <c:pt idx="458">
                  <c:v>14786.112578217606</c:v>
                </c:pt>
                <c:pt idx="459">
                  <c:v>9920.579080544012</c:v>
                </c:pt>
                <c:pt idx="460">
                  <c:v>13463.558489987492</c:v>
                </c:pt>
                <c:pt idx="461">
                  <c:v>31782.401029943459</c:v>
                </c:pt>
                <c:pt idx="462">
                  <c:v>17859.130986751581</c:v>
                </c:pt>
                <c:pt idx="463">
                  <c:v>11111.085025926306</c:v>
                </c:pt>
                <c:pt idx="464">
                  <c:v>996.64905787555472</c:v>
                </c:pt>
                <c:pt idx="465">
                  <c:v>28682.47525110298</c:v>
                </c:pt>
                <c:pt idx="466">
                  <c:v>12723.144248553079</c:v>
                </c:pt>
                <c:pt idx="467">
                  <c:v>14514.976957916511</c:v>
                </c:pt>
                <c:pt idx="468">
                  <c:v>3978.1246318432968</c:v>
                </c:pt>
                <c:pt idx="469">
                  <c:v>296.52456275150507</c:v>
                </c:pt>
                <c:pt idx="470">
                  <c:v>4911.696663024406</c:v>
                </c:pt>
                <c:pt idx="471">
                  <c:v>2899.6866249955019</c:v>
                </c:pt>
                <c:pt idx="472">
                  <c:v>2089.6460483446044</c:v>
                </c:pt>
                <c:pt idx="473">
                  <c:v>11444.115703741605</c:v>
                </c:pt>
                <c:pt idx="474">
                  <c:v>34629.130973145919</c:v>
                </c:pt>
                <c:pt idx="475">
                  <c:v>37172.022428576078</c:v>
                </c:pt>
                <c:pt idx="476">
                  <c:v>27610.247495155767</c:v>
                </c:pt>
                <c:pt idx="477">
                  <c:v>6082.3587633329189</c:v>
                </c:pt>
                <c:pt idx="478">
                  <c:v>4788.387183893632</c:v>
                </c:pt>
                <c:pt idx="479">
                  <c:v>3846.9599729778201</c:v>
                </c:pt>
                <c:pt idx="480">
                  <c:v>19202.804480781331</c:v>
                </c:pt>
                <c:pt idx="481">
                  <c:v>13155.233824620791</c:v>
                </c:pt>
                <c:pt idx="482">
                  <c:v>2283.5684908170715</c:v>
                </c:pt>
                <c:pt idx="483">
                  <c:v>14074.726374714024</c:v>
                </c:pt>
                <c:pt idx="484">
                  <c:v>12360.038089228769</c:v>
                </c:pt>
                <c:pt idx="485">
                  <c:v>6561.0529889113241</c:v>
                </c:pt>
                <c:pt idx="486">
                  <c:v>10287.725645897073</c:v>
                </c:pt>
                <c:pt idx="487">
                  <c:v>1585.2188899775738</c:v>
                </c:pt>
                <c:pt idx="488">
                  <c:v>35086.35627242965</c:v>
                </c:pt>
                <c:pt idx="489">
                  <c:v>12235.338409155396</c:v>
                </c:pt>
                <c:pt idx="490">
                  <c:v>3141.1457545382091</c:v>
                </c:pt>
                <c:pt idx="491">
                  <c:v>11201.648695783068</c:v>
                </c:pt>
                <c:pt idx="492">
                  <c:v>1191.8475860649232</c:v>
                </c:pt>
                <c:pt idx="493">
                  <c:v>17359.329464625538</c:v>
                </c:pt>
                <c:pt idx="494">
                  <c:v>26831.887956729079</c:v>
                </c:pt>
                <c:pt idx="495">
                  <c:v>2540.9472745354069</c:v>
                </c:pt>
                <c:pt idx="496">
                  <c:v>4019.9239567038385</c:v>
                </c:pt>
                <c:pt idx="497">
                  <c:v>9214.4851462468832</c:v>
                </c:pt>
                <c:pt idx="498">
                  <c:v>7412.9789939744915</c:v>
                </c:pt>
                <c:pt idx="499">
                  <c:v>16322.887671392466</c:v>
                </c:pt>
                <c:pt idx="500">
                  <c:v>29935.719642845637</c:v>
                </c:pt>
                <c:pt idx="501">
                  <c:v>7804.1758210338157</c:v>
                </c:pt>
                <c:pt idx="502">
                  <c:v>32191.514139824139</c:v>
                </c:pt>
                <c:pt idx="503">
                  <c:v>25884.532226900184</c:v>
                </c:pt>
                <c:pt idx="504">
                  <c:v>7075.3479289749339</c:v>
                </c:pt>
                <c:pt idx="505">
                  <c:v>8979.9677245770035</c:v>
                </c:pt>
                <c:pt idx="506">
                  <c:v>4337.2382366836682</c:v>
                </c:pt>
                <c:pt idx="507">
                  <c:v>1978.0121818530679</c:v>
                </c:pt>
                <c:pt idx="508">
                  <c:v>2797.4324574750717</c:v>
                </c:pt>
                <c:pt idx="509">
                  <c:v>11477.074645791905</c:v>
                </c:pt>
                <c:pt idx="510">
                  <c:v>13681.10514712238</c:v>
                </c:pt>
                <c:pt idx="511">
                  <c:v>5247.4981820991379</c:v>
                </c:pt>
                <c:pt idx="512">
                  <c:v>8634.5382737974651</c:v>
                </c:pt>
                <c:pt idx="513">
                  <c:v>2161.8477611160015</c:v>
                </c:pt>
                <c:pt idx="514">
                  <c:v>30910.703646342125</c:v>
                </c:pt>
                <c:pt idx="515">
                  <c:v>13976.970814210028</c:v>
                </c:pt>
                <c:pt idx="516">
                  <c:v>4484.673457944722</c:v>
                </c:pt>
                <c:pt idx="517">
                  <c:v>10430.424487354532</c:v>
                </c:pt>
                <c:pt idx="518">
                  <c:v>7081.8803784243137</c:v>
                </c:pt>
                <c:pt idx="519">
                  <c:v>6365.2918733301594</c:v>
                </c:pt>
                <c:pt idx="520">
                  <c:v>10184.611941492774</c:v>
                </c:pt>
                <c:pt idx="521">
                  <c:v>10244.977174311454</c:v>
                </c:pt>
                <c:pt idx="522">
                  <c:v>12664.881382449177</c:v>
                </c:pt>
                <c:pt idx="523">
                  <c:v>9584.7497756011908</c:v>
                </c:pt>
                <c:pt idx="524">
                  <c:v>30849.900244315009</c:v>
                </c:pt>
                <c:pt idx="525">
                  <c:v>3141.7279284524975</c:v>
                </c:pt>
                <c:pt idx="526">
                  <c:v>3915.6970588716213</c:v>
                </c:pt>
                <c:pt idx="527">
                  <c:v>9427.7760602455164</c:v>
                </c:pt>
                <c:pt idx="528">
                  <c:v>13593.741734912193</c:v>
                </c:pt>
                <c:pt idx="529">
                  <c:v>1189.4267390419373</c:v>
                </c:pt>
                <c:pt idx="530">
                  <c:v>40150.192397365325</c:v>
                </c:pt>
                <c:pt idx="531">
                  <c:v>14749.163564220318</c:v>
                </c:pt>
                <c:pt idx="532">
                  <c:v>13074.696477293608</c:v>
                </c:pt>
                <c:pt idx="533">
                  <c:v>8674.2211451080439</c:v>
                </c:pt>
                <c:pt idx="534">
                  <c:v>17064.482579606942</c:v>
                </c:pt>
                <c:pt idx="535">
                  <c:v>7672.0855434498371</c:v>
                </c:pt>
                <c:pt idx="536">
                  <c:v>10198.797047173521</c:v>
                </c:pt>
                <c:pt idx="537">
                  <c:v>10111.446038595601</c:v>
                </c:pt>
                <c:pt idx="538">
                  <c:v>8831.7085100961776</c:v>
                </c:pt>
                <c:pt idx="539">
                  <c:v>11142.226470229143</c:v>
                </c:pt>
                <c:pt idx="540">
                  <c:v>10150.379291461115</c:v>
                </c:pt>
                <c:pt idx="541">
                  <c:v>3897.527405778801</c:v>
                </c:pt>
                <c:pt idx="542">
                  <c:v>15521.111950371389</c:v>
                </c:pt>
                <c:pt idx="543">
                  <c:v>40826.378589064479</c:v>
                </c:pt>
                <c:pt idx="544">
                  <c:v>11694.46043561331</c:v>
                </c:pt>
                <c:pt idx="545">
                  <c:v>33727.438912858255</c:v>
                </c:pt>
                <c:pt idx="546">
                  <c:v>7141.444964183549</c:v>
                </c:pt>
                <c:pt idx="547">
                  <c:v>17762.988843473246</c:v>
                </c:pt>
                <c:pt idx="548">
                  <c:v>4182.107043268461</c:v>
                </c:pt>
                <c:pt idx="549">
                  <c:v>37590.534632284543</c:v>
                </c:pt>
                <c:pt idx="550">
                  <c:v>13599.204654203648</c:v>
                </c:pt>
                <c:pt idx="551">
                  <c:v>5058.7092686017095</c:v>
                </c:pt>
                <c:pt idx="552">
                  <c:v>10153.929837724405</c:v>
                </c:pt>
                <c:pt idx="553">
                  <c:v>12778.637229720465</c:v>
                </c:pt>
                <c:pt idx="554">
                  <c:v>8500.0397077344569</c:v>
                </c:pt>
                <c:pt idx="555">
                  <c:v>3185.8792304188555</c:v>
                </c:pt>
                <c:pt idx="556">
                  <c:v>11563.668915051316</c:v>
                </c:pt>
                <c:pt idx="557">
                  <c:v>7232.0490493465368</c:v>
                </c:pt>
                <c:pt idx="558">
                  <c:v>33541.698775973222</c:v>
                </c:pt>
                <c:pt idx="559">
                  <c:v>4508.9972700158032</c:v>
                </c:pt>
                <c:pt idx="560">
                  <c:v>7241.8002309606782</c:v>
                </c:pt>
                <c:pt idx="561">
                  <c:v>13016.546524851834</c:v>
                </c:pt>
                <c:pt idx="562">
                  <c:v>4250.6179267758707</c:v>
                </c:pt>
                <c:pt idx="563">
                  <c:v>15399.134105223708</c:v>
                </c:pt>
                <c:pt idx="564">
                  <c:v>3495.7485403956853</c:v>
                </c:pt>
                <c:pt idx="565">
                  <c:v>2932.472590480329</c:v>
                </c:pt>
                <c:pt idx="566">
                  <c:v>11703.921911700232</c:v>
                </c:pt>
                <c:pt idx="567">
                  <c:v>9435.2224552981716</c:v>
                </c:pt>
                <c:pt idx="568">
                  <c:v>12885.145602793469</c:v>
                </c:pt>
                <c:pt idx="569">
                  <c:v>38465.206164740528</c:v>
                </c:pt>
                <c:pt idx="570">
                  <c:v>4934.4868612651917</c:v>
                </c:pt>
                <c:pt idx="571">
                  <c:v>4773.8781504145954</c:v>
                </c:pt>
                <c:pt idx="572">
                  <c:v>10309.152760563098</c:v>
                </c:pt>
                <c:pt idx="573">
                  <c:v>16964.726526393064</c:v>
                </c:pt>
                <c:pt idx="574">
                  <c:v>15285.914100343649</c:v>
                </c:pt>
                <c:pt idx="575">
                  <c:v>11822.052106180854</c:v>
                </c:pt>
                <c:pt idx="576">
                  <c:v>1649.9170657864688</c:v>
                </c:pt>
                <c:pt idx="577">
                  <c:v>33269.618054857456</c:v>
                </c:pt>
                <c:pt idx="578">
                  <c:v>11045.769249275454</c:v>
                </c:pt>
                <c:pt idx="579">
                  <c:v>2442.0446262448531</c:v>
                </c:pt>
                <c:pt idx="580">
                  <c:v>12196.037738222338</c:v>
                </c:pt>
                <c:pt idx="581">
                  <c:v>2833.3816091782519</c:v>
                </c:pt>
                <c:pt idx="582">
                  <c:v>13273.082451845166</c:v>
                </c:pt>
                <c:pt idx="583">
                  <c:v>3743.2683786856069</c:v>
                </c:pt>
                <c:pt idx="584">
                  <c:v>0</c:v>
                </c:pt>
                <c:pt idx="585">
                  <c:v>5567.1984869050393</c:v>
                </c:pt>
                <c:pt idx="586">
                  <c:v>1614.211636984739</c:v>
                </c:pt>
                <c:pt idx="587">
                  <c:v>31012.682831323385</c:v>
                </c:pt>
                <c:pt idx="588">
                  <c:v>15910.135847776284</c:v>
                </c:pt>
                <c:pt idx="589">
                  <c:v>7672.3284073300129</c:v>
                </c:pt>
                <c:pt idx="590">
                  <c:v>11835.689034412502</c:v>
                </c:pt>
                <c:pt idx="591">
                  <c:v>6762.9481665816711</c:v>
                </c:pt>
                <c:pt idx="592">
                  <c:v>3542.3453670005401</c:v>
                </c:pt>
                <c:pt idx="593">
                  <c:v>25190.856875575875</c:v>
                </c:pt>
                <c:pt idx="594">
                  <c:v>11082.16391145355</c:v>
                </c:pt>
                <c:pt idx="595">
                  <c:v>11791.653408725513</c:v>
                </c:pt>
                <c:pt idx="596">
                  <c:v>8764.8302837594165</c:v>
                </c:pt>
                <c:pt idx="597">
                  <c:v>8548.260287812187</c:v>
                </c:pt>
                <c:pt idx="598">
                  <c:v>10023.626910254468</c:v>
                </c:pt>
                <c:pt idx="599">
                  <c:v>14744.263293395281</c:v>
                </c:pt>
                <c:pt idx="600">
                  <c:v>4932.6693635177326</c:v>
                </c:pt>
                <c:pt idx="601">
                  <c:v>11407.242049396718</c:v>
                </c:pt>
                <c:pt idx="602">
                  <c:v>10066.960550977699</c:v>
                </c:pt>
                <c:pt idx="603">
                  <c:v>18137.251935785946</c:v>
                </c:pt>
                <c:pt idx="604">
                  <c:v>26039.869436253437</c:v>
                </c:pt>
                <c:pt idx="605">
                  <c:v>11692.610121979367</c:v>
                </c:pt>
                <c:pt idx="606">
                  <c:v>3535.7781369940858</c:v>
                </c:pt>
                <c:pt idx="607">
                  <c:v>34735.178011188895</c:v>
                </c:pt>
                <c:pt idx="608">
                  <c:v>5224.5654042021597</c:v>
                </c:pt>
                <c:pt idx="609">
                  <c:v>32296.834827958104</c:v>
                </c:pt>
                <c:pt idx="610">
                  <c:v>9536.3002213998334</c:v>
                </c:pt>
                <c:pt idx="611">
                  <c:v>9616.8851049066798</c:v>
                </c:pt>
                <c:pt idx="612">
                  <c:v>3930.8347239724571</c:v>
                </c:pt>
                <c:pt idx="613">
                  <c:v>4665.754664155982</c:v>
                </c:pt>
                <c:pt idx="614">
                  <c:v>3356.9503943496529</c:v>
                </c:pt>
                <c:pt idx="615">
                  <c:v>35847.379236527326</c:v>
                </c:pt>
                <c:pt idx="616">
                  <c:v>12144.653971926251</c:v>
                </c:pt>
                <c:pt idx="617">
                  <c:v>33038.945392115471</c:v>
                </c:pt>
                <c:pt idx="618">
                  <c:v>26985.93986362229</c:v>
                </c:pt>
                <c:pt idx="619">
                  <c:v>13812.586951048263</c:v>
                </c:pt>
                <c:pt idx="620">
                  <c:v>5801.9616377868042</c:v>
                </c:pt>
                <c:pt idx="621">
                  <c:v>33790.814607657696</c:v>
                </c:pt>
                <c:pt idx="622">
                  <c:v>7387.6928139220363</c:v>
                </c:pt>
                <c:pt idx="623">
                  <c:v>27776.948418862259</c:v>
                </c:pt>
                <c:pt idx="624">
                  <c:v>12495.391526904605</c:v>
                </c:pt>
                <c:pt idx="625">
                  <c:v>3986.5373454814071</c:v>
                </c:pt>
                <c:pt idx="626">
                  <c:v>8399.3843315106715</c:v>
                </c:pt>
                <c:pt idx="627">
                  <c:v>10249.039234247753</c:v>
                </c:pt>
                <c:pt idx="628">
                  <c:v>14757.115757514955</c:v>
                </c:pt>
                <c:pt idx="629">
                  <c:v>36070.296596106469</c:v>
                </c:pt>
                <c:pt idx="630">
                  <c:v>13303.866978116755</c:v>
                </c:pt>
                <c:pt idx="631">
                  <c:v>3073.0167248308189</c:v>
                </c:pt>
                <c:pt idx="632">
                  <c:v>6526.8170048212123</c:v>
                </c:pt>
                <c:pt idx="633">
                  <c:v>6856.789620463991</c:v>
                </c:pt>
                <c:pt idx="634">
                  <c:v>14011.250706041083</c:v>
                </c:pt>
                <c:pt idx="635">
                  <c:v>17322.751620225936</c:v>
                </c:pt>
                <c:pt idx="636">
                  <c:v>1377.9003157685838</c:v>
                </c:pt>
                <c:pt idx="637">
                  <c:v>10924.009468243185</c:v>
                </c:pt>
                <c:pt idx="638">
                  <c:v>30754.178465169331</c:v>
                </c:pt>
                <c:pt idx="639">
                  <c:v>14598.334586278757</c:v>
                </c:pt>
                <c:pt idx="640">
                  <c:v>12205.660865714617</c:v>
                </c:pt>
                <c:pt idx="641">
                  <c:v>33242.752820664733</c:v>
                </c:pt>
                <c:pt idx="642">
                  <c:v>15102.130548427551</c:v>
                </c:pt>
                <c:pt idx="643">
                  <c:v>6900.8984064495235</c:v>
                </c:pt>
                <c:pt idx="644">
                  <c:v>10867.870111452856</c:v>
                </c:pt>
                <c:pt idx="645">
                  <c:v>12126.128123819446</c:v>
                </c:pt>
                <c:pt idx="646">
                  <c:v>6963.7338127949733</c:v>
                </c:pt>
                <c:pt idx="647">
                  <c:v>7689.1681716594394</c:v>
                </c:pt>
                <c:pt idx="648">
                  <c:v>2220.5748380188907</c:v>
                </c:pt>
                <c:pt idx="649">
                  <c:v>14140.642069280315</c:v>
                </c:pt>
                <c:pt idx="650">
                  <c:v>15040.178339183942</c:v>
                </c:pt>
                <c:pt idx="651">
                  <c:v>14547.387367062816</c:v>
                </c:pt>
                <c:pt idx="652">
                  <c:v>9914.6365071431246</c:v>
                </c:pt>
                <c:pt idx="653">
                  <c:v>11848.698694997387</c:v>
                </c:pt>
                <c:pt idx="654">
                  <c:v>14120.573741250071</c:v>
                </c:pt>
                <c:pt idx="655">
                  <c:v>33764.099714952376</c:v>
                </c:pt>
                <c:pt idx="656">
                  <c:v>8636.9785767517606</c:v>
                </c:pt>
                <c:pt idx="657">
                  <c:v>6709.2647282871039</c:v>
                </c:pt>
                <c:pt idx="658">
                  <c:v>13046.503809939892</c:v>
                </c:pt>
                <c:pt idx="659">
                  <c:v>14367.959261246186</c:v>
                </c:pt>
                <c:pt idx="660">
                  <c:v>13607.983090891528</c:v>
                </c:pt>
                <c:pt idx="661">
                  <c:v>10276.611031810888</c:v>
                </c:pt>
                <c:pt idx="662">
                  <c:v>7454.5267770629544</c:v>
                </c:pt>
                <c:pt idx="663">
                  <c:v>2935.7910092630045</c:v>
                </c:pt>
                <c:pt idx="664">
                  <c:v>35111.837977261253</c:v>
                </c:pt>
                <c:pt idx="665">
                  <c:v>35649.186650795462</c:v>
                </c:pt>
                <c:pt idx="666">
                  <c:v>9766.410011247146</c:v>
                </c:pt>
                <c:pt idx="667">
                  <c:v>33899.352700208408</c:v>
                </c:pt>
                <c:pt idx="668">
                  <c:v>38563.053881017098</c:v>
                </c:pt>
                <c:pt idx="669">
                  <c:v>7887.5508732271664</c:v>
                </c:pt>
                <c:pt idx="670">
                  <c:v>6735.6545571119241</c:v>
                </c:pt>
                <c:pt idx="671">
                  <c:v>6079.5636619296602</c:v>
                </c:pt>
                <c:pt idx="672">
                  <c:v>6215.9992786363437</c:v>
                </c:pt>
                <c:pt idx="673">
                  <c:v>8079.3307594844991</c:v>
                </c:pt>
                <c:pt idx="674">
                  <c:v>38014.855197279117</c:v>
                </c:pt>
                <c:pt idx="675">
                  <c:v>6385.9791001254089</c:v>
                </c:pt>
                <c:pt idx="676">
                  <c:v>16422.525241304891</c:v>
                </c:pt>
                <c:pt idx="677">
                  <c:v>38897.315265313948</c:v>
                </c:pt>
                <c:pt idx="678">
                  <c:v>15025.437126027064</c:v>
                </c:pt>
                <c:pt idx="679">
                  <c:v>9107.9641437357386</c:v>
                </c:pt>
                <c:pt idx="680">
                  <c:v>0</c:v>
                </c:pt>
                <c:pt idx="681">
                  <c:v>0</c:v>
                </c:pt>
                <c:pt idx="682">
                  <c:v>33760.558366767138</c:v>
                </c:pt>
                <c:pt idx="683">
                  <c:v>9439.7546413081145</c:v>
                </c:pt>
                <c:pt idx="684">
                  <c:v>2328.2495032141178</c:v>
                </c:pt>
                <c:pt idx="685">
                  <c:v>11452.633949077677</c:v>
                </c:pt>
                <c:pt idx="686">
                  <c:v>8530.5439368877633</c:v>
                </c:pt>
                <c:pt idx="687">
                  <c:v>11310.354197579705</c:v>
                </c:pt>
                <c:pt idx="688">
                  <c:v>7823.7217789576935</c:v>
                </c:pt>
                <c:pt idx="689">
                  <c:v>28713.373831525641</c:v>
                </c:pt>
                <c:pt idx="690">
                  <c:v>2604.4633585145748</c:v>
                </c:pt>
                <c:pt idx="691">
                  <c:v>11796.648208253751</c:v>
                </c:pt>
                <c:pt idx="692">
                  <c:v>4177.9826906323033</c:v>
                </c:pt>
                <c:pt idx="693">
                  <c:v>1765.3567710738171</c:v>
                </c:pt>
                <c:pt idx="694">
                  <c:v>6315.9646818467227</c:v>
                </c:pt>
                <c:pt idx="695">
                  <c:v>8017.2516237308046</c:v>
                </c:pt>
                <c:pt idx="696">
                  <c:v>13581.797750240632</c:v>
                </c:pt>
                <c:pt idx="697">
                  <c:v>33876.436522730597</c:v>
                </c:pt>
                <c:pt idx="698">
                  <c:v>13400.438130130111</c:v>
                </c:pt>
                <c:pt idx="699">
                  <c:v>7205.2634963999299</c:v>
                </c:pt>
                <c:pt idx="700">
                  <c:v>4248.0985051392709</c:v>
                </c:pt>
                <c:pt idx="701">
                  <c:v>16081.490132517225</c:v>
                </c:pt>
                <c:pt idx="702">
                  <c:v>14574.864220770844</c:v>
                </c:pt>
                <c:pt idx="703">
                  <c:v>5875.2131656894016</c:v>
                </c:pt>
                <c:pt idx="704">
                  <c:v>10277.717225744909</c:v>
                </c:pt>
                <c:pt idx="705">
                  <c:v>7688.1357803593455</c:v>
                </c:pt>
                <c:pt idx="706">
                  <c:v>36884.35074019109</c:v>
                </c:pt>
                <c:pt idx="707">
                  <c:v>11321.106258885495</c:v>
                </c:pt>
                <c:pt idx="708">
                  <c:v>7794.2143558005446</c:v>
                </c:pt>
                <c:pt idx="709">
                  <c:v>6717.5165183420213</c:v>
                </c:pt>
                <c:pt idx="710">
                  <c:v>3933.6494729728329</c:v>
                </c:pt>
                <c:pt idx="711">
                  <c:v>8804.8719896098119</c:v>
                </c:pt>
                <c:pt idx="712">
                  <c:v>10112.472897861004</c:v>
                </c:pt>
                <c:pt idx="713">
                  <c:v>6794.4331828153408</c:v>
                </c:pt>
                <c:pt idx="714">
                  <c:v>931.73494503329857</c:v>
                </c:pt>
                <c:pt idx="715">
                  <c:v>12184.16803473101</c:v>
                </c:pt>
                <c:pt idx="716">
                  <c:v>8439.1233300284257</c:v>
                </c:pt>
                <c:pt idx="717">
                  <c:v>11713.249654218685</c:v>
                </c:pt>
                <c:pt idx="718">
                  <c:v>14197.396538020668</c:v>
                </c:pt>
                <c:pt idx="719">
                  <c:v>13948.795060320823</c:v>
                </c:pt>
                <c:pt idx="720">
                  <c:v>14952.741227054292</c:v>
                </c:pt>
                <c:pt idx="721">
                  <c:v>14424.46479522044</c:v>
                </c:pt>
                <c:pt idx="722">
                  <c:v>15581.025095497844</c:v>
                </c:pt>
                <c:pt idx="723">
                  <c:v>3857.8150291702041</c:v>
                </c:pt>
                <c:pt idx="724">
                  <c:v>10563.442352362817</c:v>
                </c:pt>
                <c:pt idx="725">
                  <c:v>33252.670491428908</c:v>
                </c:pt>
                <c:pt idx="726">
                  <c:v>8218.5842140093591</c:v>
                </c:pt>
                <c:pt idx="727">
                  <c:v>27213.484317781629</c:v>
                </c:pt>
                <c:pt idx="728">
                  <c:v>6347.5880809496921</c:v>
                </c:pt>
                <c:pt idx="729">
                  <c:v>10271.150179904482</c:v>
                </c:pt>
                <c:pt idx="730">
                  <c:v>29443.237668393951</c:v>
                </c:pt>
                <c:pt idx="731">
                  <c:v>8317.7232100374058</c:v>
                </c:pt>
                <c:pt idx="732">
                  <c:v>4902.1874825619961</c:v>
                </c:pt>
                <c:pt idx="733">
                  <c:v>10114.176403474183</c:v>
                </c:pt>
                <c:pt idx="734">
                  <c:v>14570.546728590856</c:v>
                </c:pt>
                <c:pt idx="735">
                  <c:v>12563.715725936243</c:v>
                </c:pt>
                <c:pt idx="736">
                  <c:v>33400.295644359794</c:v>
                </c:pt>
                <c:pt idx="737">
                  <c:v>2638.2471799830746</c:v>
                </c:pt>
                <c:pt idx="738">
                  <c:v>29875.48763322884</c:v>
                </c:pt>
                <c:pt idx="739">
                  <c:v>31259.833532115823</c:v>
                </c:pt>
                <c:pt idx="740">
                  <c:v>8592.1986764531503</c:v>
                </c:pt>
                <c:pt idx="741">
                  <c:v>27566.27024822704</c:v>
                </c:pt>
                <c:pt idx="742">
                  <c:v>36960.261026227614</c:v>
                </c:pt>
                <c:pt idx="743">
                  <c:v>4018.3160382233218</c:v>
                </c:pt>
                <c:pt idx="744">
                  <c:v>9378.0999017427275</c:v>
                </c:pt>
                <c:pt idx="745">
                  <c:v>11241.626551915131</c:v>
                </c:pt>
                <c:pt idx="746">
                  <c:v>5812.4363971976309</c:v>
                </c:pt>
                <c:pt idx="747">
                  <c:v>0</c:v>
                </c:pt>
                <c:pt idx="748">
                  <c:v>11860.123876926693</c:v>
                </c:pt>
                <c:pt idx="749">
                  <c:v>5241.758916293471</c:v>
                </c:pt>
                <c:pt idx="750">
                  <c:v>29333.366135565819</c:v>
                </c:pt>
                <c:pt idx="751">
                  <c:v>2799.2968866714436</c:v>
                </c:pt>
                <c:pt idx="752">
                  <c:v>16873.117586522207</c:v>
                </c:pt>
                <c:pt idx="753">
                  <c:v>9647.5427603299831</c:v>
                </c:pt>
                <c:pt idx="754">
                  <c:v>7403.7775508631203</c:v>
                </c:pt>
                <c:pt idx="755">
                  <c:v>6220.6981084654108</c:v>
                </c:pt>
                <c:pt idx="756">
                  <c:v>7238.9715505639142</c:v>
                </c:pt>
                <c:pt idx="757">
                  <c:v>32386.9762996028</c:v>
                </c:pt>
                <c:pt idx="758">
                  <c:v>9758.3502446592647</c:v>
                </c:pt>
                <c:pt idx="759">
                  <c:v>28314.088026960686</c:v>
                </c:pt>
                <c:pt idx="760">
                  <c:v>6392.6118958155603</c:v>
                </c:pt>
                <c:pt idx="761">
                  <c:v>5292.9022937465597</c:v>
                </c:pt>
                <c:pt idx="762">
                  <c:v>28962.533386785028</c:v>
                </c:pt>
                <c:pt idx="763">
                  <c:v>3694.4741804362457</c:v>
                </c:pt>
                <c:pt idx="764">
                  <c:v>9110.1935729646138</c:v>
                </c:pt>
                <c:pt idx="765">
                  <c:v>13144.141280201969</c:v>
                </c:pt>
                <c:pt idx="766">
                  <c:v>10473.793739171477</c:v>
                </c:pt>
                <c:pt idx="767">
                  <c:v>8201.4879389640701</c:v>
                </c:pt>
                <c:pt idx="768">
                  <c:v>17006.197103272581</c:v>
                </c:pt>
                <c:pt idx="769">
                  <c:v>5025.8325201967491</c:v>
                </c:pt>
                <c:pt idx="770">
                  <c:v>16309.718888713804</c:v>
                </c:pt>
                <c:pt idx="771">
                  <c:v>10722.263418719092</c:v>
                </c:pt>
                <c:pt idx="772">
                  <c:v>11736.918123199546</c:v>
                </c:pt>
                <c:pt idx="773">
                  <c:v>26233.209704811612</c:v>
                </c:pt>
                <c:pt idx="774">
                  <c:v>10659.710822833305</c:v>
                </c:pt>
                <c:pt idx="775">
                  <c:v>12726.618438751313</c:v>
                </c:pt>
                <c:pt idx="776">
                  <c:v>9758.3869084353573</c:v>
                </c:pt>
                <c:pt idx="777">
                  <c:v>12990.278349597833</c:v>
                </c:pt>
                <c:pt idx="778">
                  <c:v>8952.7183172284749</c:v>
                </c:pt>
                <c:pt idx="779">
                  <c:v>10986.476789773547</c:v>
                </c:pt>
                <c:pt idx="780">
                  <c:v>28227.143094721985</c:v>
                </c:pt>
                <c:pt idx="781">
                  <c:v>5472.9580422720901</c:v>
                </c:pt>
                <c:pt idx="782">
                  <c:v>12671.088065985663</c:v>
                </c:pt>
                <c:pt idx="783">
                  <c:v>33630.002466120473</c:v>
                </c:pt>
                <c:pt idx="784">
                  <c:v>5389.2873009050745</c:v>
                </c:pt>
                <c:pt idx="785">
                  <c:v>6913.5430718068055</c:v>
                </c:pt>
                <c:pt idx="786">
                  <c:v>15876.422294867156</c:v>
                </c:pt>
                <c:pt idx="787">
                  <c:v>5473.8372683929156</c:v>
                </c:pt>
                <c:pt idx="788">
                  <c:v>4442.4235315162405</c:v>
                </c:pt>
                <c:pt idx="789">
                  <c:v>13100.201363796881</c:v>
                </c:pt>
                <c:pt idx="790">
                  <c:v>11222.123484334657</c:v>
                </c:pt>
                <c:pt idx="791">
                  <c:v>1212.1060910056513</c:v>
                </c:pt>
                <c:pt idx="792">
                  <c:v>1574.8054343537187</c:v>
                </c:pt>
                <c:pt idx="793">
                  <c:v>31446.189421908661</c:v>
                </c:pt>
                <c:pt idx="794">
                  <c:v>9503.9514029210004</c:v>
                </c:pt>
                <c:pt idx="795">
                  <c:v>28027.852653343172</c:v>
                </c:pt>
                <c:pt idx="796">
                  <c:v>10550.951200139916</c:v>
                </c:pt>
                <c:pt idx="797">
                  <c:v>4008.4866655225451</c:v>
                </c:pt>
                <c:pt idx="798">
                  <c:v>13226.382194216949</c:v>
                </c:pt>
                <c:pt idx="799">
                  <c:v>28665.242922363745</c:v>
                </c:pt>
                <c:pt idx="800">
                  <c:v>7169.9913416945128</c:v>
                </c:pt>
                <c:pt idx="801">
                  <c:v>15666.034463217158</c:v>
                </c:pt>
                <c:pt idx="802">
                  <c:v>403.59403709202707</c:v>
                </c:pt>
                <c:pt idx="803">
                  <c:v>29825.919742551916</c:v>
                </c:pt>
                <c:pt idx="804">
                  <c:v>1794.8395786322399</c:v>
                </c:pt>
                <c:pt idx="805">
                  <c:v>11415.246929661043</c:v>
                </c:pt>
                <c:pt idx="806">
                  <c:v>12507.645019612199</c:v>
                </c:pt>
                <c:pt idx="807">
                  <c:v>4994.7687884342376</c:v>
                </c:pt>
                <c:pt idx="808">
                  <c:v>1741.8300525528484</c:v>
                </c:pt>
                <c:pt idx="809">
                  <c:v>3591.8152643246212</c:v>
                </c:pt>
                <c:pt idx="810">
                  <c:v>10790.46265591124</c:v>
                </c:pt>
                <c:pt idx="811">
                  <c:v>12176.225691637504</c:v>
                </c:pt>
                <c:pt idx="812">
                  <c:v>8842.823602728673</c:v>
                </c:pt>
                <c:pt idx="813">
                  <c:v>3710.066633829756</c:v>
                </c:pt>
                <c:pt idx="814">
                  <c:v>8771.3854045138833</c:v>
                </c:pt>
                <c:pt idx="815">
                  <c:v>2834.5924757889588</c:v>
                </c:pt>
                <c:pt idx="816">
                  <c:v>2090.011399027102</c:v>
                </c:pt>
                <c:pt idx="817">
                  <c:v>6888.3709459054226</c:v>
                </c:pt>
                <c:pt idx="818">
                  <c:v>33319.174055733267</c:v>
                </c:pt>
                <c:pt idx="819">
                  <c:v>32084.835106846571</c:v>
                </c:pt>
                <c:pt idx="820">
                  <c:v>10434.951869151959</c:v>
                </c:pt>
                <c:pt idx="821">
                  <c:v>248.99665628763614</c:v>
                </c:pt>
                <c:pt idx="822">
                  <c:v>2208.9459310226866</c:v>
                </c:pt>
                <c:pt idx="823">
                  <c:v>9390.4768285256869</c:v>
                </c:pt>
                <c:pt idx="824">
                  <c:v>11237.749109069551</c:v>
                </c:pt>
                <c:pt idx="825">
                  <c:v>16246.100737686309</c:v>
                </c:pt>
                <c:pt idx="826">
                  <c:v>36861.57627964102</c:v>
                </c:pt>
                <c:pt idx="827">
                  <c:v>31006.907380287928</c:v>
                </c:pt>
                <c:pt idx="828">
                  <c:v>34176.668197970794</c:v>
                </c:pt>
                <c:pt idx="829">
                  <c:v>5481.4584205156025</c:v>
                </c:pt>
                <c:pt idx="830">
                  <c:v>14379.349597508583</c:v>
                </c:pt>
                <c:pt idx="831">
                  <c:v>5720.0850570567854</c:v>
                </c:pt>
                <c:pt idx="832">
                  <c:v>3939.54438710264</c:v>
                </c:pt>
                <c:pt idx="833">
                  <c:v>14139.714481856015</c:v>
                </c:pt>
                <c:pt idx="834">
                  <c:v>8771.0350026253145</c:v>
                </c:pt>
                <c:pt idx="835">
                  <c:v>10834.881438298664</c:v>
                </c:pt>
                <c:pt idx="836">
                  <c:v>6901.5185532228425</c:v>
                </c:pt>
                <c:pt idx="837">
                  <c:v>12047.98383764716</c:v>
                </c:pt>
                <c:pt idx="838">
                  <c:v>5961.609241916598</c:v>
                </c:pt>
                <c:pt idx="839">
                  <c:v>13496.737094811513</c:v>
                </c:pt>
                <c:pt idx="840">
                  <c:v>2912.9958837182858</c:v>
                </c:pt>
                <c:pt idx="841">
                  <c:v>11462.750168328963</c:v>
                </c:pt>
                <c:pt idx="842">
                  <c:v>28852.432524378368</c:v>
                </c:pt>
                <c:pt idx="843">
                  <c:v>35627.142863125744</c:v>
                </c:pt>
                <c:pt idx="844">
                  <c:v>11887.238116779696</c:v>
                </c:pt>
                <c:pt idx="845">
                  <c:v>37293.182638270409</c:v>
                </c:pt>
                <c:pt idx="846">
                  <c:v>12277.001070576571</c:v>
                </c:pt>
                <c:pt idx="847">
                  <c:v>10366.887861472125</c:v>
                </c:pt>
                <c:pt idx="848">
                  <c:v>2211.0941830615993</c:v>
                </c:pt>
                <c:pt idx="849">
                  <c:v>12821.347996662462</c:v>
                </c:pt>
                <c:pt idx="850">
                  <c:v>31854.055511769111</c:v>
                </c:pt>
                <c:pt idx="851">
                  <c:v>15152.370311719667</c:v>
                </c:pt>
                <c:pt idx="852">
                  <c:v>35776.931589256739</c:v>
                </c:pt>
                <c:pt idx="853">
                  <c:v>10681.693721867949</c:v>
                </c:pt>
                <c:pt idx="854">
                  <c:v>34010.526776873514</c:v>
                </c:pt>
                <c:pt idx="855">
                  <c:v>2278.6637101597844</c:v>
                </c:pt>
                <c:pt idx="856">
                  <c:v>34434.774087205384</c:v>
                </c:pt>
                <c:pt idx="857">
                  <c:v>26031.864555989108</c:v>
                </c:pt>
                <c:pt idx="858">
                  <c:v>4855.5537429051801</c:v>
                </c:pt>
                <c:pt idx="859">
                  <c:v>11142.244214230293</c:v>
                </c:pt>
                <c:pt idx="860">
                  <c:v>37550.239500500888</c:v>
                </c:pt>
                <c:pt idx="861">
                  <c:v>7785.8701655021032</c:v>
                </c:pt>
                <c:pt idx="862">
                  <c:v>14161.450471100074</c:v>
                </c:pt>
                <c:pt idx="863">
                  <c:v>4042.9761366205457</c:v>
                </c:pt>
                <c:pt idx="864">
                  <c:v>8685.2837742569391</c:v>
                </c:pt>
                <c:pt idx="865">
                  <c:v>8337.2355278931536</c:v>
                </c:pt>
                <c:pt idx="866">
                  <c:v>4167.0632458703549</c:v>
                </c:pt>
                <c:pt idx="867">
                  <c:v>16909.162635708533</c:v>
                </c:pt>
                <c:pt idx="868">
                  <c:v>11622.005714380331</c:v>
                </c:pt>
                <c:pt idx="869">
                  <c:v>3191.7218041564702</c:v>
                </c:pt>
                <c:pt idx="870">
                  <c:v>12091.716720716664</c:v>
                </c:pt>
                <c:pt idx="871">
                  <c:v>4179.6280980127194</c:v>
                </c:pt>
                <c:pt idx="872">
                  <c:v>6115.441078383963</c:v>
                </c:pt>
                <c:pt idx="873">
                  <c:v>8700.1427310782346</c:v>
                </c:pt>
                <c:pt idx="874">
                  <c:v>8069.7051729252489</c:v>
                </c:pt>
                <c:pt idx="875">
                  <c:v>3154.3135483039769</c:v>
                </c:pt>
                <c:pt idx="876">
                  <c:v>9355.0148448649088</c:v>
                </c:pt>
                <c:pt idx="877">
                  <c:v>9091.5164632745036</c:v>
                </c:pt>
                <c:pt idx="878">
                  <c:v>7745.4785363094488</c:v>
                </c:pt>
                <c:pt idx="879">
                  <c:v>7562.3034482318835</c:v>
                </c:pt>
                <c:pt idx="880">
                  <c:v>5851.3696500631413</c:v>
                </c:pt>
                <c:pt idx="881">
                  <c:v>3240.7127093137624</c:v>
                </c:pt>
                <c:pt idx="882">
                  <c:v>963.49192279304407</c:v>
                </c:pt>
                <c:pt idx="883">
                  <c:v>39003.289036879352</c:v>
                </c:pt>
                <c:pt idx="884">
                  <c:v>4955.3634031846486</c:v>
                </c:pt>
                <c:pt idx="885">
                  <c:v>29251.429996268533</c:v>
                </c:pt>
                <c:pt idx="886">
                  <c:v>36247.624019353403</c:v>
                </c:pt>
                <c:pt idx="887">
                  <c:v>7137.9136931500943</c:v>
                </c:pt>
                <c:pt idx="888">
                  <c:v>6019.0772465866903</c:v>
                </c:pt>
                <c:pt idx="889">
                  <c:v>14100.571649723563</c:v>
                </c:pt>
                <c:pt idx="890">
                  <c:v>37115.054629038648</c:v>
                </c:pt>
                <c:pt idx="891">
                  <c:v>8025.4481392448251</c:v>
                </c:pt>
                <c:pt idx="892">
                  <c:v>9952.9047589910151</c:v>
                </c:pt>
                <c:pt idx="893">
                  <c:v>36975.102300122395</c:v>
                </c:pt>
                <c:pt idx="894">
                  <c:v>14746.742717197332</c:v>
                </c:pt>
                <c:pt idx="895">
                  <c:v>17694.159896187146</c:v>
                </c:pt>
                <c:pt idx="896">
                  <c:v>30704.952992779101</c:v>
                </c:pt>
                <c:pt idx="897">
                  <c:v>1601.0431153968057</c:v>
                </c:pt>
                <c:pt idx="898">
                  <c:v>5305.7821624896569</c:v>
                </c:pt>
                <c:pt idx="899">
                  <c:v>225.7088306658261</c:v>
                </c:pt>
                <c:pt idx="900">
                  <c:v>8153.0489468158012</c:v>
                </c:pt>
                <c:pt idx="901">
                  <c:v>40034.836830959117</c:v>
                </c:pt>
                <c:pt idx="902">
                  <c:v>5283.0233785556848</c:v>
                </c:pt>
                <c:pt idx="903">
                  <c:v>11980.365054939371</c:v>
                </c:pt>
                <c:pt idx="904">
                  <c:v>14418.481806513326</c:v>
                </c:pt>
                <c:pt idx="905">
                  <c:v>5647.751510848313</c:v>
                </c:pt>
                <c:pt idx="906">
                  <c:v>7344.3889043027048</c:v>
                </c:pt>
                <c:pt idx="907">
                  <c:v>9773.1357210119859</c:v>
                </c:pt>
                <c:pt idx="908">
                  <c:v>18078.447372148607</c:v>
                </c:pt>
                <c:pt idx="909">
                  <c:v>27513.507214466554</c:v>
                </c:pt>
                <c:pt idx="910">
                  <c:v>3306.090137706713</c:v>
                </c:pt>
                <c:pt idx="911">
                  <c:v>27164.704235094694</c:v>
                </c:pt>
                <c:pt idx="912">
                  <c:v>13344.293203700454</c:v>
                </c:pt>
                <c:pt idx="913">
                  <c:v>8206.4104636225056</c:v>
                </c:pt>
                <c:pt idx="914">
                  <c:v>5350.2988151385107</c:v>
                </c:pt>
                <c:pt idx="915">
                  <c:v>4720.1773235737783</c:v>
                </c:pt>
                <c:pt idx="916">
                  <c:v>31721.071225754342</c:v>
                </c:pt>
                <c:pt idx="917">
                  <c:v>31103.05159095132</c:v>
                </c:pt>
                <c:pt idx="918">
                  <c:v>12334.903329135876</c:v>
                </c:pt>
                <c:pt idx="919">
                  <c:v>8095.7203064281239</c:v>
                </c:pt>
                <c:pt idx="920">
                  <c:v>11506.340630118535</c:v>
                </c:pt>
                <c:pt idx="921">
                  <c:v>14287.726949727421</c:v>
                </c:pt>
                <c:pt idx="922">
                  <c:v>7721.1350766412543</c:v>
                </c:pt>
                <c:pt idx="923">
                  <c:v>8458.5126923551106</c:v>
                </c:pt>
                <c:pt idx="924">
                  <c:v>5884.2073560143035</c:v>
                </c:pt>
                <c:pt idx="925">
                  <c:v>12615.46757704742</c:v>
                </c:pt>
                <c:pt idx="926">
                  <c:v>869.80903553349344</c:v>
                </c:pt>
                <c:pt idx="927">
                  <c:v>9035.5114898878164</c:v>
                </c:pt>
                <c:pt idx="928">
                  <c:v>16234.348875161038</c:v>
                </c:pt>
                <c:pt idx="929">
                  <c:v>9505.5440622571077</c:v>
                </c:pt>
                <c:pt idx="930">
                  <c:v>9831.5621226824369</c:v>
                </c:pt>
                <c:pt idx="931">
                  <c:v>8618.0959689899646</c:v>
                </c:pt>
                <c:pt idx="932">
                  <c:v>9914.1821187602</c:v>
                </c:pt>
                <c:pt idx="933">
                  <c:v>10633.475209175271</c:v>
                </c:pt>
                <c:pt idx="934">
                  <c:v>8676.7419917943007</c:v>
                </c:pt>
                <c:pt idx="935">
                  <c:v>11583.755206533591</c:v>
                </c:pt>
                <c:pt idx="936">
                  <c:v>10268.745009497587</c:v>
                </c:pt>
                <c:pt idx="937">
                  <c:v>8320.3594128329823</c:v>
                </c:pt>
                <c:pt idx="938">
                  <c:v>1349.6250665521875</c:v>
                </c:pt>
                <c:pt idx="939">
                  <c:v>10507.934711976872</c:v>
                </c:pt>
                <c:pt idx="940">
                  <c:v>0</c:v>
                </c:pt>
                <c:pt idx="941">
                  <c:v>15978.183823385123</c:v>
                </c:pt>
                <c:pt idx="942">
                  <c:v>6315.3647028566629</c:v>
                </c:pt>
                <c:pt idx="943">
                  <c:v>126.61784936374897</c:v>
                </c:pt>
                <c:pt idx="944">
                  <c:v>16364.213475046283</c:v>
                </c:pt>
                <c:pt idx="945">
                  <c:v>14103.992359040654</c:v>
                </c:pt>
                <c:pt idx="946">
                  <c:v>10852.189609271805</c:v>
                </c:pt>
                <c:pt idx="947">
                  <c:v>33358.283308872218</c:v>
                </c:pt>
                <c:pt idx="948">
                  <c:v>8966.6413641884646</c:v>
                </c:pt>
                <c:pt idx="949">
                  <c:v>28740.586636172695</c:v>
                </c:pt>
                <c:pt idx="950">
                  <c:v>8790.0711310212719</c:v>
                </c:pt>
                <c:pt idx="951">
                  <c:v>39345.733786570709</c:v>
                </c:pt>
                <c:pt idx="952">
                  <c:v>5524.4786954936353</c:v>
                </c:pt>
                <c:pt idx="953">
                  <c:v>33314.953516038593</c:v>
                </c:pt>
                <c:pt idx="954">
                  <c:v>30075.784019602535</c:v>
                </c:pt>
                <c:pt idx="955">
                  <c:v>8727.921971948861</c:v>
                </c:pt>
                <c:pt idx="956">
                  <c:v>35536.561510342457</c:v>
                </c:pt>
                <c:pt idx="957">
                  <c:v>3304.2287932929321</c:v>
                </c:pt>
                <c:pt idx="958">
                  <c:v>35157.208448840545</c:v>
                </c:pt>
                <c:pt idx="959">
                  <c:v>12820.012575864384</c:v>
                </c:pt>
                <c:pt idx="960">
                  <c:v>6501.4174325603271</c:v>
                </c:pt>
                <c:pt idx="961">
                  <c:v>3335.3551046358079</c:v>
                </c:pt>
                <c:pt idx="962">
                  <c:v>15623.499696548599</c:v>
                </c:pt>
                <c:pt idx="963">
                  <c:v>9582.342598883868</c:v>
                </c:pt>
                <c:pt idx="964">
                  <c:v>14355.161909255938</c:v>
                </c:pt>
                <c:pt idx="965">
                  <c:v>5627.7115499469328</c:v>
                </c:pt>
                <c:pt idx="966">
                  <c:v>33886.694458909624</c:v>
                </c:pt>
                <c:pt idx="967">
                  <c:v>7958.0051726444435</c:v>
                </c:pt>
                <c:pt idx="968">
                  <c:v>3007.6670212313365</c:v>
                </c:pt>
                <c:pt idx="969">
                  <c:v>11062.459177071236</c:v>
                </c:pt>
                <c:pt idx="970">
                  <c:v>10847.446290441028</c:v>
                </c:pt>
                <c:pt idx="971">
                  <c:v>4785.9751771740157</c:v>
                </c:pt>
                <c:pt idx="972">
                  <c:v>222.91681404515293</c:v>
                </c:pt>
                <c:pt idx="973">
                  <c:v>5719.0160019805953</c:v>
                </c:pt>
                <c:pt idx="974">
                  <c:v>5587.6223079168703</c:v>
                </c:pt>
                <c:pt idx="975">
                  <c:v>26993.349950353746</c:v>
                </c:pt>
                <c:pt idx="976">
                  <c:v>12842.847099317798</c:v>
                </c:pt>
                <c:pt idx="977">
                  <c:v>3936.3798989260358</c:v>
                </c:pt>
                <c:pt idx="978">
                  <c:v>14612.541100626397</c:v>
                </c:pt>
                <c:pt idx="979">
                  <c:v>6421.9361978258348</c:v>
                </c:pt>
                <c:pt idx="980">
                  <c:v>10911.755975535598</c:v>
                </c:pt>
                <c:pt idx="981">
                  <c:v>3913.523121639224</c:v>
                </c:pt>
                <c:pt idx="982">
                  <c:v>28992.789627675593</c:v>
                </c:pt>
                <c:pt idx="983">
                  <c:v>5848.0112334459154</c:v>
                </c:pt>
                <c:pt idx="984">
                  <c:v>5659.5876964207564</c:v>
                </c:pt>
                <c:pt idx="985">
                  <c:v>7629.7815924840761</c:v>
                </c:pt>
                <c:pt idx="986">
                  <c:v>10263.318815056853</c:v>
                </c:pt>
                <c:pt idx="987">
                  <c:v>9119.5369588096146</c:v>
                </c:pt>
                <c:pt idx="988">
                  <c:v>8424.7960546633949</c:v>
                </c:pt>
                <c:pt idx="989">
                  <c:v>25034.798094736369</c:v>
                </c:pt>
                <c:pt idx="990">
                  <c:v>971.20652514677386</c:v>
                </c:pt>
                <c:pt idx="991">
                  <c:v>8214.4536918080121</c:v>
                </c:pt>
                <c:pt idx="992">
                  <c:v>11613.742283800169</c:v>
                </c:pt>
                <c:pt idx="993">
                  <c:v>6720.165890196673</c:v>
                </c:pt>
                <c:pt idx="994">
                  <c:v>26717.787997906024</c:v>
                </c:pt>
                <c:pt idx="995">
                  <c:v>7400.0884410290637</c:v>
                </c:pt>
                <c:pt idx="996">
                  <c:v>10111.806585065573</c:v>
                </c:pt>
                <c:pt idx="997">
                  <c:v>15707.668349857351</c:v>
                </c:pt>
                <c:pt idx="998">
                  <c:v>10273.553124550061</c:v>
                </c:pt>
                <c:pt idx="999">
                  <c:v>6074.5422160801099</c:v>
                </c:pt>
                <c:pt idx="1000">
                  <c:v>27880.466871857752</c:v>
                </c:pt>
                <c:pt idx="1001">
                  <c:v>28074.809009020471</c:v>
                </c:pt>
                <c:pt idx="1002">
                  <c:v>1885.8396371928793</c:v>
                </c:pt>
                <c:pt idx="1003">
                  <c:v>9339.3272218104248</c:v>
                </c:pt>
                <c:pt idx="1004">
                  <c:v>6987.018553634196</c:v>
                </c:pt>
                <c:pt idx="1005">
                  <c:v>6739.6267619663558</c:v>
                </c:pt>
                <c:pt idx="1006">
                  <c:v>5997.9264784348743</c:v>
                </c:pt>
                <c:pt idx="1007">
                  <c:v>34494.81120525844</c:v>
                </c:pt>
                <c:pt idx="1008">
                  <c:v>3777.3054066364894</c:v>
                </c:pt>
                <c:pt idx="1009">
                  <c:v>10914.547992156269</c:v>
                </c:pt>
                <c:pt idx="1010">
                  <c:v>7164.1260966518166</c:v>
                </c:pt>
                <c:pt idx="1011">
                  <c:v>29567.448027553095</c:v>
                </c:pt>
                <c:pt idx="1012">
                  <c:v>15901.99686866903</c:v>
                </c:pt>
                <c:pt idx="1013">
                  <c:v>11337.737183585014</c:v>
                </c:pt>
                <c:pt idx="1014">
                  <c:v>6223.6911486103672</c:v>
                </c:pt>
                <c:pt idx="1015">
                  <c:v>11367.573293648562</c:v>
                </c:pt>
                <c:pt idx="1016">
                  <c:v>1410.123693861613</c:v>
                </c:pt>
                <c:pt idx="1017">
                  <c:v>6331.0928022920016</c:v>
                </c:pt>
                <c:pt idx="1018">
                  <c:v>15153.455737944576</c:v>
                </c:pt>
                <c:pt idx="1019">
                  <c:v>5138.3240819929742</c:v>
                </c:pt>
                <c:pt idx="1020">
                  <c:v>12619.927836142684</c:v>
                </c:pt>
                <c:pt idx="1021">
                  <c:v>28474.09623863508</c:v>
                </c:pt>
                <c:pt idx="1022">
                  <c:v>35529.508477646261</c:v>
                </c:pt>
                <c:pt idx="1023">
                  <c:v>0</c:v>
                </c:pt>
                <c:pt idx="1024">
                  <c:v>14946.435806492733</c:v>
                </c:pt>
                <c:pt idx="1025">
                  <c:v>4231.4873307513335</c:v>
                </c:pt>
                <c:pt idx="1026">
                  <c:v>25610.694547774743</c:v>
                </c:pt>
                <c:pt idx="1027">
                  <c:v>0</c:v>
                </c:pt>
                <c:pt idx="1028">
                  <c:v>11558.852244256188</c:v>
                </c:pt>
                <c:pt idx="1029">
                  <c:v>4380.8023709443551</c:v>
                </c:pt>
                <c:pt idx="1030">
                  <c:v>31871.545973352499</c:v>
                </c:pt>
                <c:pt idx="1031">
                  <c:v>36941.682873013473</c:v>
                </c:pt>
                <c:pt idx="1032">
                  <c:v>5240.8251593039931</c:v>
                </c:pt>
                <c:pt idx="1033">
                  <c:v>23716.802779140504</c:v>
                </c:pt>
                <c:pt idx="1034">
                  <c:v>16263.665419375309</c:v>
                </c:pt>
                <c:pt idx="1035">
                  <c:v>10199.604538045471</c:v>
                </c:pt>
                <c:pt idx="1036">
                  <c:v>29919.401728436424</c:v>
                </c:pt>
                <c:pt idx="1037">
                  <c:v>33934.772843513296</c:v>
                </c:pt>
                <c:pt idx="1038">
                  <c:v>3376.8937605403989</c:v>
                </c:pt>
                <c:pt idx="1039">
                  <c:v>2656.5644662204741</c:v>
                </c:pt>
                <c:pt idx="1040">
                  <c:v>30052.900942571912</c:v>
                </c:pt>
                <c:pt idx="1041">
                  <c:v>383.84228671619167</c:v>
                </c:pt>
                <c:pt idx="1042">
                  <c:v>27323.959781146063</c:v>
                </c:pt>
                <c:pt idx="1043">
                  <c:v>3044.5794067373772</c:v>
                </c:pt>
                <c:pt idx="1044">
                  <c:v>14487.620271655014</c:v>
                </c:pt>
                <c:pt idx="1045">
                  <c:v>31930.934619912914</c:v>
                </c:pt>
                <c:pt idx="1046">
                  <c:v>7613.2563994986231</c:v>
                </c:pt>
                <c:pt idx="1047">
                  <c:v>34704.791648791419</c:v>
                </c:pt>
                <c:pt idx="1048">
                  <c:v>2242.3474910390451</c:v>
                </c:pt>
                <c:pt idx="1049">
                  <c:v>33885.669605954652</c:v>
                </c:pt>
                <c:pt idx="1050">
                  <c:v>12020.571659389188</c:v>
                </c:pt>
                <c:pt idx="1051">
                  <c:v>13327.052736690242</c:v>
                </c:pt>
                <c:pt idx="1052">
                  <c:v>11109.749605128229</c:v>
                </c:pt>
                <c:pt idx="1053">
                  <c:v>34425.345737355441</c:v>
                </c:pt>
                <c:pt idx="1054">
                  <c:v>1926.1024919412812</c:v>
                </c:pt>
                <c:pt idx="1055">
                  <c:v>11081.285579638854</c:v>
                </c:pt>
                <c:pt idx="1056">
                  <c:v>9233.2061636779399</c:v>
                </c:pt>
                <c:pt idx="1057">
                  <c:v>9367.935128914236</c:v>
                </c:pt>
                <c:pt idx="1058">
                  <c:v>6585.7413184333964</c:v>
                </c:pt>
                <c:pt idx="1059">
                  <c:v>7743.6095924759211</c:v>
                </c:pt>
                <c:pt idx="1060">
                  <c:v>3917.2599260292081</c:v>
                </c:pt>
                <c:pt idx="1061">
                  <c:v>11488.502748714705</c:v>
                </c:pt>
                <c:pt idx="1062">
                  <c:v>40328.103583365286</c:v>
                </c:pt>
                <c:pt idx="1063">
                  <c:v>7949.7502978069424</c:v>
                </c:pt>
                <c:pt idx="1064">
                  <c:v>5135.599249149087</c:v>
                </c:pt>
                <c:pt idx="1065">
                  <c:v>6946.4721606039602</c:v>
                </c:pt>
                <c:pt idx="1066">
                  <c:v>12823.75491228906</c:v>
                </c:pt>
                <c:pt idx="1067">
                  <c:v>12415.841577164636</c:v>
                </c:pt>
                <c:pt idx="1068">
                  <c:v>11581.564125225894</c:v>
                </c:pt>
                <c:pt idx="1069">
                  <c:v>12192.454126796692</c:v>
                </c:pt>
                <c:pt idx="1070">
                  <c:v>33296.746471347513</c:v>
                </c:pt>
                <c:pt idx="1071">
                  <c:v>14778.035423083475</c:v>
                </c:pt>
                <c:pt idx="1072">
                  <c:v>3572.6579609041582</c:v>
                </c:pt>
                <c:pt idx="1073">
                  <c:v>12678.612491428907</c:v>
                </c:pt>
                <c:pt idx="1074">
                  <c:v>9691.9545480284214</c:v>
                </c:pt>
                <c:pt idx="1075">
                  <c:v>5758.0774931339984</c:v>
                </c:pt>
                <c:pt idx="1076">
                  <c:v>10503.350062483332</c:v>
                </c:pt>
                <c:pt idx="1077">
                  <c:v>2153.3360652121592</c:v>
                </c:pt>
                <c:pt idx="1078">
                  <c:v>28681.28603839982</c:v>
                </c:pt>
                <c:pt idx="1079">
                  <c:v>15920.828508891063</c:v>
                </c:pt>
                <c:pt idx="1080">
                  <c:v>0</c:v>
                </c:pt>
                <c:pt idx="1081">
                  <c:v>5713.5367726150434</c:v>
                </c:pt>
                <c:pt idx="1082">
                  <c:v>4580.1345061176617</c:v>
                </c:pt>
                <c:pt idx="1083">
                  <c:v>6349.5936882225833</c:v>
                </c:pt>
                <c:pt idx="1084">
                  <c:v>14928.296839884555</c:v>
                </c:pt>
                <c:pt idx="1085">
                  <c:v>29552.085650225359</c:v>
                </c:pt>
                <c:pt idx="1086">
                  <c:v>11885.376772365915</c:v>
                </c:pt>
                <c:pt idx="1087">
                  <c:v>12916.156786527772</c:v>
                </c:pt>
                <c:pt idx="1088">
                  <c:v>16920.2513675226</c:v>
                </c:pt>
                <c:pt idx="1089">
                  <c:v>8850.227140027906</c:v>
                </c:pt>
                <c:pt idx="1090">
                  <c:v>35091.319212394315</c:v>
                </c:pt>
                <c:pt idx="1091">
                  <c:v>12306.701534598287</c:v>
                </c:pt>
                <c:pt idx="1092">
                  <c:v>5395.9197500177252</c:v>
                </c:pt>
                <c:pt idx="1093">
                  <c:v>27519.352811912133</c:v>
                </c:pt>
                <c:pt idx="1094">
                  <c:v>13277.049626681201</c:v>
                </c:pt>
                <c:pt idx="1095">
                  <c:v>5220.5927208014218</c:v>
                </c:pt>
                <c:pt idx="1096">
                  <c:v>37818.874173683565</c:v>
                </c:pt>
                <c:pt idx="1097">
                  <c:v>4000.5276993095904</c:v>
                </c:pt>
                <c:pt idx="1098">
                  <c:v>11890.589636009572</c:v>
                </c:pt>
                <c:pt idx="1099">
                  <c:v>5452.5342212602591</c:v>
                </c:pt>
                <c:pt idx="1100">
                  <c:v>27814.155686475322</c:v>
                </c:pt>
                <c:pt idx="1101">
                  <c:v>11710.917166333718</c:v>
                </c:pt>
                <c:pt idx="1102">
                  <c:v>8027.6528673882021</c:v>
                </c:pt>
                <c:pt idx="1103">
                  <c:v>14030.893268495158</c:v>
                </c:pt>
                <c:pt idx="1104">
                  <c:v>6581.7460346217631</c:v>
                </c:pt>
                <c:pt idx="1105">
                  <c:v>11493.085902264404</c:v>
                </c:pt>
                <c:pt idx="1106">
                  <c:v>10444.822898042588</c:v>
                </c:pt>
                <c:pt idx="1107">
                  <c:v>10395.96859525004</c:v>
                </c:pt>
                <c:pt idx="1108">
                  <c:v>4299.6653925822357</c:v>
                </c:pt>
                <c:pt idx="1109">
                  <c:v>6782.7492956585193</c:v>
                </c:pt>
                <c:pt idx="1110">
                  <c:v>13363.153557628848</c:v>
                </c:pt>
                <c:pt idx="1111">
                  <c:v>34952.339272949437</c:v>
                </c:pt>
                <c:pt idx="1112">
                  <c:v>33398.731249438089</c:v>
                </c:pt>
                <c:pt idx="1113">
                  <c:v>5252.8527626705472</c:v>
                </c:pt>
                <c:pt idx="1114">
                  <c:v>2151.4747207983783</c:v>
                </c:pt>
                <c:pt idx="1115">
                  <c:v>12579.175079219283</c:v>
                </c:pt>
                <c:pt idx="1116">
                  <c:v>10892.454209239913</c:v>
                </c:pt>
                <c:pt idx="1117">
                  <c:v>29421.38726954392</c:v>
                </c:pt>
                <c:pt idx="1118">
                  <c:v>31821.58570243181</c:v>
                </c:pt>
                <c:pt idx="1119">
                  <c:v>3607.599135512246</c:v>
                </c:pt>
                <c:pt idx="1120">
                  <c:v>27508.315526184131</c:v>
                </c:pt>
                <c:pt idx="1121">
                  <c:v>12608.532446391902</c:v>
                </c:pt>
                <c:pt idx="1122">
                  <c:v>39099.591086343346</c:v>
                </c:pt>
                <c:pt idx="1123">
                  <c:v>6460.2554172134878</c:v>
                </c:pt>
                <c:pt idx="1124">
                  <c:v>32793.712761117131</c:v>
                </c:pt>
                <c:pt idx="1125">
                  <c:v>12397.419550820938</c:v>
                </c:pt>
                <c:pt idx="1126">
                  <c:v>11239.079725655109</c:v>
                </c:pt>
                <c:pt idx="1127">
                  <c:v>9130.8900500351374</c:v>
                </c:pt>
                <c:pt idx="1128">
                  <c:v>7304.2578829913728</c:v>
                </c:pt>
                <c:pt idx="1129">
                  <c:v>0</c:v>
                </c:pt>
                <c:pt idx="1130">
                  <c:v>7517.8875868379582</c:v>
                </c:pt>
                <c:pt idx="1131">
                  <c:v>10425.198202681069</c:v>
                </c:pt>
                <c:pt idx="1132">
                  <c:v>16233.671470511155</c:v>
                </c:pt>
                <c:pt idx="1133">
                  <c:v>7284.1398283049966</c:v>
                </c:pt>
                <c:pt idx="1134">
                  <c:v>6240.683637177397</c:v>
                </c:pt>
                <c:pt idx="1135">
                  <c:v>11515.936702259773</c:v>
                </c:pt>
                <c:pt idx="1136">
                  <c:v>7358.4268295954025</c:v>
                </c:pt>
                <c:pt idx="1137">
                  <c:v>1927.0331641481716</c:v>
                </c:pt>
                <c:pt idx="1138">
                  <c:v>5631.9866205102589</c:v>
                </c:pt>
                <c:pt idx="1139">
                  <c:v>27457.69807234675</c:v>
                </c:pt>
                <c:pt idx="1140">
                  <c:v>12787.344512420237</c:v>
                </c:pt>
                <c:pt idx="1141">
                  <c:v>10116.729109724012</c:v>
                </c:pt>
                <c:pt idx="1142">
                  <c:v>8815.3189631525493</c:v>
                </c:pt>
                <c:pt idx="1143">
                  <c:v>8833.0401440792702</c:v>
                </c:pt>
                <c:pt idx="1144">
                  <c:v>11719.863341932647</c:v>
                </c:pt>
                <c:pt idx="1145">
                  <c:v>13477.280574497821</c:v>
                </c:pt>
                <c:pt idx="1146">
                  <c:v>37355.557045726076</c:v>
                </c:pt>
                <c:pt idx="1147">
                  <c:v>3672.6796144131258</c:v>
                </c:pt>
                <c:pt idx="1148">
                  <c:v>8865.3552604731849</c:v>
                </c:pt>
                <c:pt idx="1149">
                  <c:v>9324.5596478351144</c:v>
                </c:pt>
                <c:pt idx="1150">
                  <c:v>2964.1333811815621</c:v>
                </c:pt>
                <c:pt idx="1151">
                  <c:v>14979.943159297774</c:v>
                </c:pt>
                <c:pt idx="1152">
                  <c:v>34390.437560480081</c:v>
                </c:pt>
                <c:pt idx="1153">
                  <c:v>9322.1839494366977</c:v>
                </c:pt>
                <c:pt idx="1154">
                  <c:v>11413.277786148145</c:v>
                </c:pt>
                <c:pt idx="1155">
                  <c:v>6242.8388463006631</c:v>
                </c:pt>
                <c:pt idx="1156">
                  <c:v>30846.932453226778</c:v>
                </c:pt>
                <c:pt idx="1157">
                  <c:v>2429.6989777646904</c:v>
                </c:pt>
                <c:pt idx="1158">
                  <c:v>3574.5162205353481</c:v>
                </c:pt>
                <c:pt idx="1159">
                  <c:v>9261.6646571326237</c:v>
                </c:pt>
                <c:pt idx="1160">
                  <c:v>10958.130854526094</c:v>
                </c:pt>
                <c:pt idx="1161">
                  <c:v>10869.462292242653</c:v>
                </c:pt>
                <c:pt idx="1162">
                  <c:v>8247.1979400283599</c:v>
                </c:pt>
                <c:pt idx="1163">
                  <c:v>2255.2190631349076</c:v>
                </c:pt>
                <c:pt idx="1164">
                  <c:v>8317.6751953114326</c:v>
                </c:pt>
                <c:pt idx="1165">
                  <c:v>5912.8627382231643</c:v>
                </c:pt>
                <c:pt idx="1166">
                  <c:v>15229.176831948313</c:v>
                </c:pt>
                <c:pt idx="1167">
                  <c:v>3845.4047052399801</c:v>
                </c:pt>
                <c:pt idx="1168">
                  <c:v>8080.1100117318238</c:v>
                </c:pt>
                <c:pt idx="1169">
                  <c:v>9255.8758488368585</c:v>
                </c:pt>
                <c:pt idx="1170">
                  <c:v>26157.929387964454</c:v>
                </c:pt>
                <c:pt idx="1171">
                  <c:v>32002.234435258411</c:v>
                </c:pt>
                <c:pt idx="1172">
                  <c:v>15625.992757366763</c:v>
                </c:pt>
                <c:pt idx="1173">
                  <c:v>8213.5261043837127</c:v>
                </c:pt>
                <c:pt idx="1174">
                  <c:v>6868.5202743384725</c:v>
                </c:pt>
                <c:pt idx="1175">
                  <c:v>1944.3927812073798</c:v>
                </c:pt>
                <c:pt idx="1176">
                  <c:v>33573.800979041742</c:v>
                </c:pt>
                <c:pt idx="1177">
                  <c:v>7145.0657081120298</c:v>
                </c:pt>
                <c:pt idx="1178">
                  <c:v>5795.1372923337331</c:v>
                </c:pt>
                <c:pt idx="1179">
                  <c:v>28817.563337759595</c:v>
                </c:pt>
                <c:pt idx="1180">
                  <c:v>13342.098246018508</c:v>
                </c:pt>
                <c:pt idx="1181">
                  <c:v>4023.4140846088885</c:v>
                </c:pt>
                <c:pt idx="1182">
                  <c:v>3800.3808903741119</c:v>
                </c:pt>
                <c:pt idx="1183">
                  <c:v>10146.399781567212</c:v>
                </c:pt>
                <c:pt idx="1184">
                  <c:v>26921.79206323874</c:v>
                </c:pt>
                <c:pt idx="1185">
                  <c:v>8431.0817859880008</c:v>
                </c:pt>
                <c:pt idx="1186">
                  <c:v>30073.113178006366</c:v>
                </c:pt>
                <c:pt idx="1187">
                  <c:v>14718.433445725976</c:v>
                </c:pt>
                <c:pt idx="1188">
                  <c:v>32001.738242746607</c:v>
                </c:pt>
                <c:pt idx="1189">
                  <c:v>2506.5232419944841</c:v>
                </c:pt>
                <c:pt idx="1190">
                  <c:v>7739.1109854594833</c:v>
                </c:pt>
                <c:pt idx="1191">
                  <c:v>6447.2260063170179</c:v>
                </c:pt>
                <c:pt idx="1192">
                  <c:v>14422.802345871274</c:v>
                </c:pt>
                <c:pt idx="1193">
                  <c:v>12443.603012017331</c:v>
                </c:pt>
                <c:pt idx="1194">
                  <c:v>3050.1980363697621</c:v>
                </c:pt>
                <c:pt idx="1195">
                  <c:v>3488.9430174159243</c:v>
                </c:pt>
                <c:pt idx="1196">
                  <c:v>26619.890241927969</c:v>
                </c:pt>
                <c:pt idx="1197">
                  <c:v>8806.1758377248152</c:v>
                </c:pt>
                <c:pt idx="1198">
                  <c:v>8283.9616424023043</c:v>
                </c:pt>
                <c:pt idx="1199">
                  <c:v>4766.1495546476872</c:v>
                </c:pt>
                <c:pt idx="1200">
                  <c:v>6281.054091008813</c:v>
                </c:pt>
                <c:pt idx="1201">
                  <c:v>14038.512161566981</c:v>
                </c:pt>
                <c:pt idx="1202">
                  <c:v>4119.5247162787746</c:v>
                </c:pt>
                <c:pt idx="1203">
                  <c:v>12461.270140621698</c:v>
                </c:pt>
                <c:pt idx="1204">
                  <c:v>26178.087311981144</c:v>
                </c:pt>
                <c:pt idx="1205">
                  <c:v>3100.6511304589567</c:v>
                </c:pt>
                <c:pt idx="1206">
                  <c:v>15010.868508190986</c:v>
                </c:pt>
                <c:pt idx="1207">
                  <c:v>32345.521747294493</c:v>
                </c:pt>
                <c:pt idx="1208">
                  <c:v>30557.270261801605</c:v>
                </c:pt>
                <c:pt idx="1209">
                  <c:v>15184.198546951684</c:v>
                </c:pt>
                <c:pt idx="1210">
                  <c:v>7772.1102817413921</c:v>
                </c:pt>
                <c:pt idx="1211">
                  <c:v>9430.0206224343456</c:v>
                </c:pt>
                <c:pt idx="1212">
                  <c:v>0</c:v>
                </c:pt>
                <c:pt idx="1213">
                  <c:v>12704.083860013292</c:v>
                </c:pt>
                <c:pt idx="1214">
                  <c:v>5720.6109806724853</c:v>
                </c:pt>
                <c:pt idx="1215">
                  <c:v>5829.5931844382285</c:v>
                </c:pt>
                <c:pt idx="1216">
                  <c:v>5676.3509331036548</c:v>
                </c:pt>
                <c:pt idx="1217">
                  <c:v>7943.4842140794462</c:v>
                </c:pt>
                <c:pt idx="1218">
                  <c:v>34976.931231246963</c:v>
                </c:pt>
                <c:pt idx="1219">
                  <c:v>9142.5747898582486</c:v>
                </c:pt>
                <c:pt idx="1220">
                  <c:v>3686.2528845922461</c:v>
                </c:pt>
                <c:pt idx="1221">
                  <c:v>6590.0407435047273</c:v>
                </c:pt>
                <c:pt idx="1222">
                  <c:v>8319.5370182715196</c:v>
                </c:pt>
                <c:pt idx="1223">
                  <c:v>24295.205104281442</c:v>
                </c:pt>
                <c:pt idx="1224">
                  <c:v>7057.049343061597</c:v>
                </c:pt>
                <c:pt idx="1225">
                  <c:v>9484.8828761102413</c:v>
                </c:pt>
                <c:pt idx="1226">
                  <c:v>4345.2274736214495</c:v>
                </c:pt>
                <c:pt idx="1227">
                  <c:v>11245.305517167781</c:v>
                </c:pt>
                <c:pt idx="1228">
                  <c:v>12957.511364962578</c:v>
                </c:pt>
                <c:pt idx="1229">
                  <c:v>13107.073123280374</c:v>
                </c:pt>
                <c:pt idx="1230">
                  <c:v>37905.835922085149</c:v>
                </c:pt>
                <c:pt idx="1231">
                  <c:v>23481.489313908023</c:v>
                </c:pt>
                <c:pt idx="1232">
                  <c:v>11351.097122967058</c:v>
                </c:pt>
                <c:pt idx="1233">
                  <c:v>9770.9719894356094</c:v>
                </c:pt>
                <c:pt idx="1234">
                  <c:v>8975.7301429135732</c:v>
                </c:pt>
                <c:pt idx="1235">
                  <c:v>4792.4929674048362</c:v>
                </c:pt>
                <c:pt idx="1236">
                  <c:v>11590.341838896507</c:v>
                </c:pt>
                <c:pt idx="1237">
                  <c:v>12176.509265204186</c:v>
                </c:pt>
                <c:pt idx="1238">
                  <c:v>6561.721108001082</c:v>
                </c:pt>
                <c:pt idx="1239">
                  <c:v>8213.5689336524993</c:v>
                </c:pt>
                <c:pt idx="1240">
                  <c:v>39229.477340136131</c:v>
                </c:pt>
                <c:pt idx="1241">
                  <c:v>40670.057255107844</c:v>
                </c:pt>
                <c:pt idx="1242">
                  <c:v>2003.875608515882</c:v>
                </c:pt>
                <c:pt idx="1243">
                  <c:v>5449.1124945456286</c:v>
                </c:pt>
                <c:pt idx="1244">
                  <c:v>2823.857169571429</c:v>
                </c:pt>
                <c:pt idx="1245">
                  <c:v>4781.977592671672</c:v>
                </c:pt>
                <c:pt idx="1246">
                  <c:v>8803.7196899586088</c:v>
                </c:pt>
                <c:pt idx="1247">
                  <c:v>7320.6454236245627</c:v>
                </c:pt>
                <c:pt idx="1248">
                  <c:v>5156.5370429008872</c:v>
                </c:pt>
                <c:pt idx="1249">
                  <c:v>31880.661277627296</c:v>
                </c:pt>
                <c:pt idx="1250">
                  <c:v>28061.374788458183</c:v>
                </c:pt>
                <c:pt idx="1251">
                  <c:v>0</c:v>
                </c:pt>
                <c:pt idx="1252">
                  <c:v>25215.738949372542</c:v>
                </c:pt>
                <c:pt idx="1253">
                  <c:v>9216.0349054200233</c:v>
                </c:pt>
                <c:pt idx="1254">
                  <c:v>5161.9978948072931</c:v>
                </c:pt>
                <c:pt idx="1255">
                  <c:v>10744.809130951409</c:v>
                </c:pt>
                <c:pt idx="1256">
                  <c:v>14576.226948890711</c:v>
                </c:pt>
                <c:pt idx="1257">
                  <c:v>11431.244131645744</c:v>
                </c:pt>
                <c:pt idx="1258">
                  <c:v>15923.465292947414</c:v>
                </c:pt>
                <c:pt idx="1259">
                  <c:v>9280.4960104741585</c:v>
                </c:pt>
                <c:pt idx="1260">
                  <c:v>3241.1143731223638</c:v>
                </c:pt>
                <c:pt idx="1261">
                  <c:v>7221.6516182938976</c:v>
                </c:pt>
                <c:pt idx="1262">
                  <c:v>7547.4267474094377</c:v>
                </c:pt>
                <c:pt idx="1263">
                  <c:v>8763.6183997511762</c:v>
                </c:pt>
                <c:pt idx="1264">
                  <c:v>12908.829499114567</c:v>
                </c:pt>
                <c:pt idx="1265">
                  <c:v>35241.702577146491</c:v>
                </c:pt>
                <c:pt idx="1266">
                  <c:v>11573.91015721672</c:v>
                </c:pt>
                <c:pt idx="1267">
                  <c:v>28480.278703667573</c:v>
                </c:pt>
                <c:pt idx="1268">
                  <c:v>3533.6794885198906</c:v>
                </c:pt>
                <c:pt idx="1269">
                  <c:v>9282.9535470630144</c:v>
                </c:pt>
                <c:pt idx="1270">
                  <c:v>6234.6948553448638</c:v>
                </c:pt>
                <c:pt idx="1271">
                  <c:v>5826.9925856116679</c:v>
                </c:pt>
                <c:pt idx="1272">
                  <c:v>8973.6678360501319</c:v>
                </c:pt>
                <c:pt idx="1273">
                  <c:v>5725.7291532014751</c:v>
                </c:pt>
                <c:pt idx="1274">
                  <c:v>26600.499577643044</c:v>
                </c:pt>
                <c:pt idx="1275">
                  <c:v>9649.793018342596</c:v>
                </c:pt>
                <c:pt idx="1276">
                  <c:v>4023.7821694239829</c:v>
                </c:pt>
                <c:pt idx="1277">
                  <c:v>6013.8181487216134</c:v>
                </c:pt>
                <c:pt idx="1278">
                  <c:v>32421.943999760566</c:v>
                </c:pt>
                <c:pt idx="1279">
                  <c:v>4167.9000503745192</c:v>
                </c:pt>
                <c:pt idx="1280">
                  <c:v>10660.862105086973</c:v>
                </c:pt>
                <c:pt idx="1281">
                  <c:v>33957.284750946237</c:v>
                </c:pt>
                <c:pt idx="1282">
                  <c:v>23880.340516628639</c:v>
                </c:pt>
                <c:pt idx="1283">
                  <c:v>2180.0193178047903</c:v>
                </c:pt>
                <c:pt idx="1284">
                  <c:v>39275.091031050499</c:v>
                </c:pt>
                <c:pt idx="1285">
                  <c:v>8382.8947849037759</c:v>
                </c:pt>
                <c:pt idx="1286">
                  <c:v>1118.0941078099604</c:v>
                </c:pt>
                <c:pt idx="1287">
                  <c:v>5608.8501175463753</c:v>
                </c:pt>
                <c:pt idx="1288">
                  <c:v>30270.980828361971</c:v>
                </c:pt>
                <c:pt idx="1289">
                  <c:v>10313.42439976634</c:v>
                </c:pt>
                <c:pt idx="1290">
                  <c:v>5539.9133100865402</c:v>
                </c:pt>
                <c:pt idx="1291">
                  <c:v>27536.75284427758</c:v>
                </c:pt>
                <c:pt idx="1292">
                  <c:v>161.78847664177192</c:v>
                </c:pt>
                <c:pt idx="1293">
                  <c:v>9551.6124803895254</c:v>
                </c:pt>
                <c:pt idx="1294">
                  <c:v>11367.010706256766</c:v>
                </c:pt>
                <c:pt idx="1295">
                  <c:v>44.979648471426117</c:v>
                </c:pt>
                <c:pt idx="1296">
                  <c:v>1414.9903856931451</c:v>
                </c:pt>
                <c:pt idx="1297">
                  <c:v>4161.436791012351</c:v>
                </c:pt>
                <c:pt idx="1298">
                  <c:v>6317.0001579294039</c:v>
                </c:pt>
                <c:pt idx="1299">
                  <c:v>1796.8042309779721</c:v>
                </c:pt>
                <c:pt idx="1300">
                  <c:v>32600.108672768423</c:v>
                </c:pt>
                <c:pt idx="1301">
                  <c:v>39249.911079923499</c:v>
                </c:pt>
                <c:pt idx="1302">
                  <c:v>1053.5436262202657</c:v>
                </c:pt>
                <c:pt idx="1303">
                  <c:v>31293.031784536972</c:v>
                </c:pt>
                <c:pt idx="1304">
                  <c:v>31863.504429312074</c:v>
                </c:pt>
                <c:pt idx="1305">
                  <c:v>2593.4343694338113</c:v>
                </c:pt>
                <c:pt idx="1306">
                  <c:v>26770.207150725531</c:v>
                </c:pt>
                <c:pt idx="1307">
                  <c:v>31085.243084254318</c:v>
                </c:pt>
                <c:pt idx="1308">
                  <c:v>27614.996086925821</c:v>
                </c:pt>
                <c:pt idx="1309">
                  <c:v>9374.2368237354349</c:v>
                </c:pt>
                <c:pt idx="1310">
                  <c:v>7766.5262485000494</c:v>
                </c:pt>
                <c:pt idx="1311">
                  <c:v>5239.5264022820083</c:v>
                </c:pt>
                <c:pt idx="1312">
                  <c:v>10730.111764460857</c:v>
                </c:pt>
                <c:pt idx="1313">
                  <c:v>28551.229603248779</c:v>
                </c:pt>
                <c:pt idx="1314">
                  <c:v>28712.845423053201</c:v>
                </c:pt>
                <c:pt idx="1315">
                  <c:v>2631.628626981963</c:v>
                </c:pt>
                <c:pt idx="1316">
                  <c:v>0</c:v>
                </c:pt>
                <c:pt idx="1317">
                  <c:v>9539.8875510660619</c:v>
                </c:pt>
                <c:pt idx="1318">
                  <c:v>12291.49362672785</c:v>
                </c:pt>
                <c:pt idx="1319">
                  <c:v>7602.7720954322394</c:v>
                </c:pt>
                <c:pt idx="1320">
                  <c:v>7503.2763655389754</c:v>
                </c:pt>
                <c:pt idx="1321">
                  <c:v>36758.544707807421</c:v>
                </c:pt>
                <c:pt idx="1322">
                  <c:v>15991.100676074358</c:v>
                </c:pt>
                <c:pt idx="1323">
                  <c:v>36307.181535494259</c:v>
                </c:pt>
                <c:pt idx="1324">
                  <c:v>4812.212858217099</c:v>
                </c:pt>
                <c:pt idx="1325">
                  <c:v>14973.237036055431</c:v>
                </c:pt>
                <c:pt idx="1326">
                  <c:v>9998.7170505897157</c:v>
                </c:pt>
                <c:pt idx="1327">
                  <c:v>10656.278951537275</c:v>
                </c:pt>
                <c:pt idx="1328">
                  <c:v>3137.1200362126601</c:v>
                </c:pt>
                <c:pt idx="1329">
                  <c:v>14370.494804755639</c:v>
                </c:pt>
                <c:pt idx="1330">
                  <c:v>11349.092055315094</c:v>
                </c:pt>
                <c:pt idx="1331">
                  <c:v>4338.1678914930199</c:v>
                </c:pt>
                <c:pt idx="1332">
                  <c:v>17046.389776326007</c:v>
                </c:pt>
                <c:pt idx="1333">
                  <c:v>12351.323685655556</c:v>
                </c:pt>
                <c:pt idx="1334">
                  <c:v>3511.9308087630707</c:v>
                </c:pt>
                <c:pt idx="1335">
                  <c:v>4149.1324856766914</c:v>
                </c:pt>
                <c:pt idx="1336">
                  <c:v>1246.5849389759424</c:v>
                </c:pt>
                <c:pt idx="1337">
                  <c:v>37085.62326756629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332-4003-B4EB-3747B19E080A}"/>
            </c:ext>
          </c:extLst>
        </c:ser>
        <c:ser>
          <c:idx val="1"/>
          <c:order val="1"/>
          <c:tx>
            <c:strRef>
              <c:f>Project_Analysis!$N$2</c:f>
              <c:strCache>
                <c:ptCount val="1"/>
                <c:pt idx="0">
                  <c:v>-95% Prediction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Project_Analysis!$L$3:$L$1340</c:f>
              <c:numCache>
                <c:formatCode>_("$"* #,##0.00_);_("$"* \(#,##0.00\);_("$"* "-"??_);_(@_)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xVal>
          <c:yVal>
            <c:numRef>
              <c:f>Project_Analysis!$N$3:$N$1340</c:f>
              <c:numCache>
                <c:formatCode>_("$"* #,##0.00_);_("$"* \(#,##0.00\);_("$"* "-"??_);_(@_)</c:formatCode>
                <c:ptCount val="1338"/>
                <c:pt idx="0">
                  <c:v>13169.508451361677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23593.259092067201</c:v>
                </c:pt>
                <c:pt idx="12">
                  <c:v>0</c:v>
                </c:pt>
                <c:pt idx="13">
                  <c:v>2792.8738622849869</c:v>
                </c:pt>
                <c:pt idx="14">
                  <c:v>19844.796699060622</c:v>
                </c:pt>
                <c:pt idx="15">
                  <c:v>0</c:v>
                </c:pt>
                <c:pt idx="16">
                  <c:v>209.66222603055394</c:v>
                </c:pt>
                <c:pt idx="17">
                  <c:v>0</c:v>
                </c:pt>
                <c:pt idx="18">
                  <c:v>2899.3434187100702</c:v>
                </c:pt>
                <c:pt idx="19">
                  <c:v>18373.645526597611</c:v>
                </c:pt>
                <c:pt idx="20">
                  <c:v>3561.2982962968435</c:v>
                </c:pt>
                <c:pt idx="21">
                  <c:v>0</c:v>
                </c:pt>
                <c:pt idx="22">
                  <c:v>0</c:v>
                </c:pt>
                <c:pt idx="23">
                  <c:v>19821.462959387442</c:v>
                </c:pt>
                <c:pt idx="24">
                  <c:v>0</c:v>
                </c:pt>
                <c:pt idx="25">
                  <c:v>885.70376665326512</c:v>
                </c:pt>
                <c:pt idx="26">
                  <c:v>0</c:v>
                </c:pt>
                <c:pt idx="27">
                  <c:v>1779.4588693207097</c:v>
                </c:pt>
                <c:pt idx="28">
                  <c:v>0</c:v>
                </c:pt>
                <c:pt idx="29">
                  <c:v>19920.696423044064</c:v>
                </c:pt>
                <c:pt idx="30">
                  <c:v>16420.552742382089</c:v>
                </c:pt>
                <c:pt idx="31">
                  <c:v>0</c:v>
                </c:pt>
                <c:pt idx="32">
                  <c:v>0</c:v>
                </c:pt>
                <c:pt idx="33">
                  <c:v>1237.4954695537217</c:v>
                </c:pt>
                <c:pt idx="34">
                  <c:v>18708.54616564398</c:v>
                </c:pt>
                <c:pt idx="35">
                  <c:v>0</c:v>
                </c:pt>
                <c:pt idx="36">
                  <c:v>4117.4006384173426</c:v>
                </c:pt>
                <c:pt idx="37">
                  <c:v>0</c:v>
                </c:pt>
                <c:pt idx="38">
                  <c:v>21558.173857181173</c:v>
                </c:pt>
                <c:pt idx="39">
                  <c:v>27639.62598932792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1624.9067053402014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20281.39378352277</c:v>
                </c:pt>
                <c:pt idx="50">
                  <c:v>0</c:v>
                </c:pt>
                <c:pt idx="51">
                  <c:v>0</c:v>
                </c:pt>
                <c:pt idx="52">
                  <c:v>20996.448206059882</c:v>
                </c:pt>
                <c:pt idx="53">
                  <c:v>19544.714279093285</c:v>
                </c:pt>
                <c:pt idx="54">
                  <c:v>0</c:v>
                </c:pt>
                <c:pt idx="55">
                  <c:v>27685.076745543753</c:v>
                </c:pt>
                <c:pt idx="56">
                  <c:v>2580.7580454270992</c:v>
                </c:pt>
                <c:pt idx="57">
                  <c:v>14939.519026289478</c:v>
                </c:pt>
                <c:pt idx="58">
                  <c:v>20600.40278756724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745.36399970507227</c:v>
                </c:pt>
                <c:pt idx="63">
                  <c:v>0</c:v>
                </c:pt>
                <c:pt idx="64">
                  <c:v>12174.671769987815</c:v>
                </c:pt>
                <c:pt idx="65">
                  <c:v>0</c:v>
                </c:pt>
                <c:pt idx="66">
                  <c:v>4858.9084867571746</c:v>
                </c:pt>
                <c:pt idx="67">
                  <c:v>0</c:v>
                </c:pt>
                <c:pt idx="68">
                  <c:v>0</c:v>
                </c:pt>
                <c:pt idx="69">
                  <c:v>15371.793504008625</c:v>
                </c:pt>
                <c:pt idx="70">
                  <c:v>14080.928834699329</c:v>
                </c:pt>
                <c:pt idx="71">
                  <c:v>0</c:v>
                </c:pt>
                <c:pt idx="72">
                  <c:v>0</c:v>
                </c:pt>
                <c:pt idx="73">
                  <c:v>1001.6718804130487</c:v>
                </c:pt>
                <c:pt idx="74">
                  <c:v>0</c:v>
                </c:pt>
                <c:pt idx="75">
                  <c:v>1629.7600399114253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481.81408246933461</c:v>
                </c:pt>
                <c:pt idx="82">
                  <c:v>17506.25300573813</c:v>
                </c:pt>
                <c:pt idx="83">
                  <c:v>3800.3461421371921</c:v>
                </c:pt>
                <c:pt idx="84">
                  <c:v>21084.358717247</c:v>
                </c:pt>
                <c:pt idx="85">
                  <c:v>19576.884204789814</c:v>
                </c:pt>
                <c:pt idx="86">
                  <c:v>24642.907598428428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26353.644185677636</c:v>
                </c:pt>
                <c:pt idx="93">
                  <c:v>0</c:v>
                </c:pt>
                <c:pt idx="94">
                  <c:v>26832.303148117455</c:v>
                </c:pt>
                <c:pt idx="95">
                  <c:v>0</c:v>
                </c:pt>
                <c:pt idx="96">
                  <c:v>721.10889917489658</c:v>
                </c:pt>
                <c:pt idx="97">
                  <c:v>1882.3452317918363</c:v>
                </c:pt>
                <c:pt idx="98">
                  <c:v>20805.342170943099</c:v>
                </c:pt>
                <c:pt idx="99">
                  <c:v>15001.401089122957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25994.176611584604</c:v>
                </c:pt>
                <c:pt idx="104">
                  <c:v>0</c:v>
                </c:pt>
                <c:pt idx="105">
                  <c:v>14420.037263230597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26703.70347698484</c:v>
                </c:pt>
                <c:pt idx="110">
                  <c:v>1205.798015076396</c:v>
                </c:pt>
                <c:pt idx="111">
                  <c:v>129.35190759118814</c:v>
                </c:pt>
                <c:pt idx="112">
                  <c:v>0</c:v>
                </c:pt>
                <c:pt idx="113">
                  <c:v>0</c:v>
                </c:pt>
                <c:pt idx="114">
                  <c:v>1512.6996283291573</c:v>
                </c:pt>
                <c:pt idx="115">
                  <c:v>916.56044564541116</c:v>
                </c:pt>
                <c:pt idx="116">
                  <c:v>6309.4197193287346</c:v>
                </c:pt>
                <c:pt idx="117">
                  <c:v>16152.169201941741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22065.371856807629</c:v>
                </c:pt>
                <c:pt idx="124">
                  <c:v>586.7891312874217</c:v>
                </c:pt>
                <c:pt idx="125">
                  <c:v>0</c:v>
                </c:pt>
                <c:pt idx="126">
                  <c:v>13305.185832806021</c:v>
                </c:pt>
                <c:pt idx="127">
                  <c:v>1019.5713524843504</c:v>
                </c:pt>
                <c:pt idx="128">
                  <c:v>14629.003564175795</c:v>
                </c:pt>
                <c:pt idx="129">
                  <c:v>0</c:v>
                </c:pt>
                <c:pt idx="130">
                  <c:v>82.104134456511019</c:v>
                </c:pt>
                <c:pt idx="131">
                  <c:v>0</c:v>
                </c:pt>
                <c:pt idx="132">
                  <c:v>1718.6386149037007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1019.250640059834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16885.166432849888</c:v>
                </c:pt>
                <c:pt idx="143">
                  <c:v>0</c:v>
                </c:pt>
                <c:pt idx="144">
                  <c:v>18165.165525553552</c:v>
                </c:pt>
                <c:pt idx="145">
                  <c:v>0</c:v>
                </c:pt>
                <c:pt idx="146">
                  <c:v>22887.111349918683</c:v>
                </c:pt>
                <c:pt idx="147">
                  <c:v>1275.1783267007249</c:v>
                </c:pt>
                <c:pt idx="148">
                  <c:v>2369.1911456553444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18500.709206164407</c:v>
                </c:pt>
                <c:pt idx="154">
                  <c:v>0</c:v>
                </c:pt>
                <c:pt idx="155">
                  <c:v>159.58338632163031</c:v>
                </c:pt>
                <c:pt idx="156">
                  <c:v>19231.664038896954</c:v>
                </c:pt>
                <c:pt idx="157">
                  <c:v>12817.086569640518</c:v>
                </c:pt>
                <c:pt idx="158">
                  <c:v>18376.688962841123</c:v>
                </c:pt>
                <c:pt idx="159">
                  <c:v>0</c:v>
                </c:pt>
                <c:pt idx="160">
                  <c:v>19243.340161902779</c:v>
                </c:pt>
                <c:pt idx="161">
                  <c:v>15873.462450554363</c:v>
                </c:pt>
                <c:pt idx="162">
                  <c:v>2623.6958412569202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5019.2231691092002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27795.283808391221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49.883841146072882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24538.317095133418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1147.4952732871916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5716.5419397022761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17923.990664110148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19004.676861585496</c:v>
                </c:pt>
                <c:pt idx="208">
                  <c:v>1945.5078901744691</c:v>
                </c:pt>
                <c:pt idx="209">
                  <c:v>540.64322642054867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828.82586383754278</c:v>
                </c:pt>
                <c:pt idx="222">
                  <c:v>0</c:v>
                </c:pt>
                <c:pt idx="223">
                  <c:v>15378.628921881364</c:v>
                </c:pt>
                <c:pt idx="224">
                  <c:v>17765.148483467245</c:v>
                </c:pt>
                <c:pt idx="225">
                  <c:v>1816.3956713515418</c:v>
                </c:pt>
                <c:pt idx="226">
                  <c:v>0</c:v>
                </c:pt>
                <c:pt idx="227">
                  <c:v>4015.5008854063362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923.01504655045392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17512.903070347689</c:v>
                </c:pt>
                <c:pt idx="236">
                  <c:v>0</c:v>
                </c:pt>
                <c:pt idx="237">
                  <c:v>0</c:v>
                </c:pt>
                <c:pt idx="238">
                  <c:v>14042.137524567444</c:v>
                </c:pt>
                <c:pt idx="239">
                  <c:v>0</c:v>
                </c:pt>
                <c:pt idx="240">
                  <c:v>19082.712531277226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25376.968001728084</c:v>
                </c:pt>
                <c:pt idx="245">
                  <c:v>0</c:v>
                </c:pt>
                <c:pt idx="246">
                  <c:v>3223.3187940793014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11093.547278217304</c:v>
                </c:pt>
                <c:pt idx="251">
                  <c:v>26880.720903829861</c:v>
                </c:pt>
                <c:pt idx="252">
                  <c:v>25044.507155269428</c:v>
                </c:pt>
                <c:pt idx="253">
                  <c:v>0</c:v>
                </c:pt>
                <c:pt idx="254">
                  <c:v>23292.126317347735</c:v>
                </c:pt>
                <c:pt idx="255">
                  <c:v>94.499822638163096</c:v>
                </c:pt>
                <c:pt idx="256">
                  <c:v>25092.544716914745</c:v>
                </c:pt>
                <c:pt idx="257">
                  <c:v>0</c:v>
                </c:pt>
                <c:pt idx="258">
                  <c:v>0</c:v>
                </c:pt>
                <c:pt idx="259">
                  <c:v>15008.838867358341</c:v>
                </c:pt>
                <c:pt idx="260">
                  <c:v>0</c:v>
                </c:pt>
                <c:pt idx="261">
                  <c:v>13467.349230133683</c:v>
                </c:pt>
                <c:pt idx="262">
                  <c:v>22686.693788520475</c:v>
                </c:pt>
                <c:pt idx="263">
                  <c:v>16716.677906288918</c:v>
                </c:pt>
                <c:pt idx="264">
                  <c:v>2851.8259617652639</c:v>
                </c:pt>
                <c:pt idx="265">
                  <c:v>26226.191592512019</c:v>
                </c:pt>
                <c:pt idx="266">
                  <c:v>16085.240008065224</c:v>
                </c:pt>
                <c:pt idx="267">
                  <c:v>3506.4552116717623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24088.660868670915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1659.406218305141</c:v>
                </c:pt>
                <c:pt idx="279">
                  <c:v>0</c:v>
                </c:pt>
                <c:pt idx="280">
                  <c:v>20073.665950890339</c:v>
                </c:pt>
                <c:pt idx="281">
                  <c:v>28710.604147503269</c:v>
                </c:pt>
                <c:pt idx="282">
                  <c:v>0</c:v>
                </c:pt>
                <c:pt idx="283">
                  <c:v>1528.028711224104</c:v>
                </c:pt>
                <c:pt idx="284">
                  <c:v>0</c:v>
                </c:pt>
                <c:pt idx="285">
                  <c:v>0</c:v>
                </c:pt>
                <c:pt idx="286">
                  <c:v>5008.6794688870195</c:v>
                </c:pt>
                <c:pt idx="287">
                  <c:v>659.89551090217174</c:v>
                </c:pt>
                <c:pt idx="288">
                  <c:v>27886.264055565654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21438.734761097156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12970.355401244409</c:v>
                </c:pt>
                <c:pt idx="297">
                  <c:v>19786.10975058347</c:v>
                </c:pt>
                <c:pt idx="298">
                  <c:v>20355.424563672685</c:v>
                </c:pt>
                <c:pt idx="299">
                  <c:v>0</c:v>
                </c:pt>
                <c:pt idx="300">
                  <c:v>0</c:v>
                </c:pt>
                <c:pt idx="301">
                  <c:v>22494.843694778392</c:v>
                </c:pt>
                <c:pt idx="302">
                  <c:v>2960.3380747422107</c:v>
                </c:pt>
                <c:pt idx="303">
                  <c:v>0</c:v>
                </c:pt>
                <c:pt idx="304">
                  <c:v>3458.3702776358568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2529.5906947106832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23291.568300862811</c:v>
                </c:pt>
                <c:pt idx="313">
                  <c:v>0</c:v>
                </c:pt>
                <c:pt idx="314">
                  <c:v>16411.536359298399</c:v>
                </c:pt>
                <c:pt idx="315">
                  <c:v>440.65515190508995</c:v>
                </c:pt>
                <c:pt idx="316">
                  <c:v>0</c:v>
                </c:pt>
                <c:pt idx="317">
                  <c:v>793.25096651463355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17874.700395498228</c:v>
                </c:pt>
                <c:pt idx="323">
                  <c:v>4335.0305401272399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24184.827272093076</c:v>
                </c:pt>
                <c:pt idx="328">
                  <c:v>27204.786236995424</c:v>
                </c:pt>
                <c:pt idx="329">
                  <c:v>650.82157556165657</c:v>
                </c:pt>
                <c:pt idx="330">
                  <c:v>28271.083248268231</c:v>
                </c:pt>
                <c:pt idx="331">
                  <c:v>21938.376352625382</c:v>
                </c:pt>
                <c:pt idx="332">
                  <c:v>1821.7984666650318</c:v>
                </c:pt>
                <c:pt idx="333">
                  <c:v>84.896151077186005</c:v>
                </c:pt>
                <c:pt idx="334">
                  <c:v>49.071259181100686</c:v>
                </c:pt>
                <c:pt idx="335">
                  <c:v>2986.8722080659809</c:v>
                </c:pt>
                <c:pt idx="336">
                  <c:v>0</c:v>
                </c:pt>
                <c:pt idx="337">
                  <c:v>1198.3526374212688</c:v>
                </c:pt>
                <c:pt idx="338">
                  <c:v>23928.743752962015</c:v>
                </c:pt>
                <c:pt idx="339">
                  <c:v>0</c:v>
                </c:pt>
                <c:pt idx="340">
                  <c:v>0</c:v>
                </c:pt>
                <c:pt idx="341">
                  <c:v>1560.6599226909111</c:v>
                </c:pt>
                <c:pt idx="342">
                  <c:v>693.41764601718933</c:v>
                </c:pt>
                <c:pt idx="343">
                  <c:v>4458.3400192580175</c:v>
                </c:pt>
                <c:pt idx="344">
                  <c:v>3456.5507735779665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2900.0149691599163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173.31141051876875</c:v>
                </c:pt>
                <c:pt idx="361">
                  <c:v>0</c:v>
                </c:pt>
                <c:pt idx="362">
                  <c:v>11066.509038974475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2703.6627759666862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17483.156918080473</c:v>
                </c:pt>
                <c:pt idx="374">
                  <c:v>0</c:v>
                </c:pt>
                <c:pt idx="375">
                  <c:v>14943.0902693677</c:v>
                </c:pt>
                <c:pt idx="376">
                  <c:v>19672.215833488241</c:v>
                </c:pt>
                <c:pt idx="377">
                  <c:v>18402.624603299118</c:v>
                </c:pt>
                <c:pt idx="378">
                  <c:v>3664.4120007011425</c:v>
                </c:pt>
                <c:pt idx="379">
                  <c:v>1842.54089107648</c:v>
                </c:pt>
                <c:pt idx="380">
                  <c:v>13762.132457099755</c:v>
                </c:pt>
                <c:pt idx="381">
                  <c:v>24189.727542918117</c:v>
                </c:pt>
                <c:pt idx="382">
                  <c:v>91.403796726603105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3045.4076080793329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2120.8163746779737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919.05156122777225</c:v>
                </c:pt>
                <c:pt idx="399">
                  <c:v>0</c:v>
                </c:pt>
                <c:pt idx="400">
                  <c:v>0</c:v>
                </c:pt>
                <c:pt idx="401">
                  <c:v>3437.1424680063519</c:v>
                </c:pt>
                <c:pt idx="402">
                  <c:v>3204.6117080446402</c:v>
                </c:pt>
                <c:pt idx="403">
                  <c:v>421.3900493855017</c:v>
                </c:pt>
                <c:pt idx="404">
                  <c:v>0</c:v>
                </c:pt>
                <c:pt idx="405">
                  <c:v>3263.033018622069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18426.55097931825</c:v>
                </c:pt>
                <c:pt idx="412">
                  <c:v>13247.489079818168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16689.342230657407</c:v>
                </c:pt>
                <c:pt idx="418">
                  <c:v>4968.0431889546435</c:v>
                </c:pt>
                <c:pt idx="419">
                  <c:v>24766.217077559202</c:v>
                </c:pt>
                <c:pt idx="420">
                  <c:v>26550.135750653062</c:v>
                </c:pt>
                <c:pt idx="421">
                  <c:v>26451.169731190486</c:v>
                </c:pt>
                <c:pt idx="422">
                  <c:v>21521.297118053684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733.98734286833678</c:v>
                </c:pt>
                <c:pt idx="434">
                  <c:v>0</c:v>
                </c:pt>
                <c:pt idx="435">
                  <c:v>2839.4984747579347</c:v>
                </c:pt>
                <c:pt idx="436">
                  <c:v>0</c:v>
                </c:pt>
                <c:pt idx="437">
                  <c:v>0</c:v>
                </c:pt>
                <c:pt idx="438">
                  <c:v>6493.5618114043809</c:v>
                </c:pt>
                <c:pt idx="439">
                  <c:v>0</c:v>
                </c:pt>
                <c:pt idx="440">
                  <c:v>0</c:v>
                </c:pt>
                <c:pt idx="441">
                  <c:v>18664.980727105256</c:v>
                </c:pt>
                <c:pt idx="442">
                  <c:v>0</c:v>
                </c:pt>
                <c:pt idx="443">
                  <c:v>2919.6050681303914</c:v>
                </c:pt>
                <c:pt idx="444">
                  <c:v>23215.738661272706</c:v>
                </c:pt>
                <c:pt idx="445">
                  <c:v>0</c:v>
                </c:pt>
                <c:pt idx="446">
                  <c:v>1271.0176046687393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2686.2514608506772</c:v>
                </c:pt>
                <c:pt idx="456">
                  <c:v>203.62596909297099</c:v>
                </c:pt>
                <c:pt idx="457">
                  <c:v>568.80940986443056</c:v>
                </c:pt>
                <c:pt idx="458">
                  <c:v>2661.9080011824826</c:v>
                </c:pt>
                <c:pt idx="459">
                  <c:v>0</c:v>
                </c:pt>
                <c:pt idx="460">
                  <c:v>1339.3539129523688</c:v>
                </c:pt>
                <c:pt idx="461">
                  <c:v>19658.196452908334</c:v>
                </c:pt>
                <c:pt idx="462">
                  <c:v>5734.9264097164578</c:v>
                </c:pt>
                <c:pt idx="463">
                  <c:v>0</c:v>
                </c:pt>
                <c:pt idx="464">
                  <c:v>0</c:v>
                </c:pt>
                <c:pt idx="465">
                  <c:v>16558.270674067855</c:v>
                </c:pt>
                <c:pt idx="466">
                  <c:v>598.9396715179555</c:v>
                </c:pt>
                <c:pt idx="467">
                  <c:v>2390.772380881388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22504.926396110794</c:v>
                </c:pt>
                <c:pt idx="475">
                  <c:v>25047.817851540953</c:v>
                </c:pt>
                <c:pt idx="476">
                  <c:v>15486.042918120644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7078.5999037462079</c:v>
                </c:pt>
                <c:pt idx="481">
                  <c:v>1031.0292475856677</c:v>
                </c:pt>
                <c:pt idx="482">
                  <c:v>0</c:v>
                </c:pt>
                <c:pt idx="483">
                  <c:v>1950.5217976789008</c:v>
                </c:pt>
                <c:pt idx="484">
                  <c:v>235.83351219364522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22962.151695394525</c:v>
                </c:pt>
                <c:pt idx="489">
                  <c:v>111.13383212027293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5235.1248875904148</c:v>
                </c:pt>
                <c:pt idx="494">
                  <c:v>14707.683379693955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4198.6830943573423</c:v>
                </c:pt>
                <c:pt idx="500">
                  <c:v>17811.515065810512</c:v>
                </c:pt>
                <c:pt idx="501">
                  <c:v>0</c:v>
                </c:pt>
                <c:pt idx="502">
                  <c:v>20067.309562789014</c:v>
                </c:pt>
                <c:pt idx="503">
                  <c:v>13760.327649865061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1556.9005700872567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18786.499069306999</c:v>
                </c:pt>
                <c:pt idx="515">
                  <c:v>1852.7662371749047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540.67680541405389</c:v>
                </c:pt>
                <c:pt idx="523">
                  <c:v>0</c:v>
                </c:pt>
                <c:pt idx="524">
                  <c:v>18725.695667279884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1469.5371578770701</c:v>
                </c:pt>
                <c:pt idx="529">
                  <c:v>0</c:v>
                </c:pt>
                <c:pt idx="530">
                  <c:v>28025.9878203302</c:v>
                </c:pt>
                <c:pt idx="531">
                  <c:v>2624.9589871851949</c:v>
                </c:pt>
                <c:pt idx="532">
                  <c:v>950.49190025848475</c:v>
                </c:pt>
                <c:pt idx="533">
                  <c:v>0</c:v>
                </c:pt>
                <c:pt idx="534">
                  <c:v>4940.2780025718184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3396.9073733362657</c:v>
                </c:pt>
                <c:pt idx="543">
                  <c:v>28702.174012029354</c:v>
                </c:pt>
                <c:pt idx="544">
                  <c:v>0</c:v>
                </c:pt>
                <c:pt idx="545">
                  <c:v>21603.23433582313</c:v>
                </c:pt>
                <c:pt idx="546">
                  <c:v>0</c:v>
                </c:pt>
                <c:pt idx="547">
                  <c:v>5638.7842664381224</c:v>
                </c:pt>
                <c:pt idx="548">
                  <c:v>0</c:v>
                </c:pt>
                <c:pt idx="549">
                  <c:v>25466.330055249418</c:v>
                </c:pt>
                <c:pt idx="550">
                  <c:v>1475.0000771685245</c:v>
                </c:pt>
                <c:pt idx="551">
                  <c:v>0</c:v>
                </c:pt>
                <c:pt idx="552">
                  <c:v>0</c:v>
                </c:pt>
                <c:pt idx="553">
                  <c:v>654.43265268534196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21417.494198938097</c:v>
                </c:pt>
                <c:pt idx="559">
                  <c:v>0</c:v>
                </c:pt>
                <c:pt idx="560">
                  <c:v>0</c:v>
                </c:pt>
                <c:pt idx="561">
                  <c:v>892.34194781671067</c:v>
                </c:pt>
                <c:pt idx="562">
                  <c:v>0</c:v>
                </c:pt>
                <c:pt idx="563">
                  <c:v>3274.9295281885843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760.94102575834586</c:v>
                </c:pt>
                <c:pt idx="569">
                  <c:v>26341.001587705403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4840.5219493579407</c:v>
                </c:pt>
                <c:pt idx="574">
                  <c:v>3161.7095233085256</c:v>
                </c:pt>
                <c:pt idx="575">
                  <c:v>0</c:v>
                </c:pt>
                <c:pt idx="576">
                  <c:v>0</c:v>
                </c:pt>
                <c:pt idx="577">
                  <c:v>21145.413477822331</c:v>
                </c:pt>
                <c:pt idx="578">
                  <c:v>0</c:v>
                </c:pt>
                <c:pt idx="579">
                  <c:v>0</c:v>
                </c:pt>
                <c:pt idx="580">
                  <c:v>71.8331611872145</c:v>
                </c:pt>
                <c:pt idx="581">
                  <c:v>0</c:v>
                </c:pt>
                <c:pt idx="582">
                  <c:v>1148.8778748100431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18888.47825428826</c:v>
                </c:pt>
                <c:pt idx="588">
                  <c:v>3785.9312707411609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13066.652298540752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2620.0587163601576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6013.0473587508222</c:v>
                </c:pt>
                <c:pt idx="604">
                  <c:v>13915.664859218314</c:v>
                </c:pt>
                <c:pt idx="605">
                  <c:v>0</c:v>
                </c:pt>
                <c:pt idx="606">
                  <c:v>0</c:v>
                </c:pt>
                <c:pt idx="607">
                  <c:v>22610.97343415377</c:v>
                </c:pt>
                <c:pt idx="608">
                  <c:v>0</c:v>
                </c:pt>
                <c:pt idx="609">
                  <c:v>20172.630250922979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23723.174659492201</c:v>
                </c:pt>
                <c:pt idx="616">
                  <c:v>20.449394891127668</c:v>
                </c:pt>
                <c:pt idx="617">
                  <c:v>20914.740815080346</c:v>
                </c:pt>
                <c:pt idx="618">
                  <c:v>14861.735286587167</c:v>
                </c:pt>
                <c:pt idx="619">
                  <c:v>1688.3823740131393</c:v>
                </c:pt>
                <c:pt idx="620">
                  <c:v>0</c:v>
                </c:pt>
                <c:pt idx="621">
                  <c:v>21666.610030622571</c:v>
                </c:pt>
                <c:pt idx="622">
                  <c:v>0</c:v>
                </c:pt>
                <c:pt idx="623">
                  <c:v>15652.743841827136</c:v>
                </c:pt>
                <c:pt idx="624">
                  <c:v>371.1869498694814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2632.9111804798322</c:v>
                </c:pt>
                <c:pt idx="629">
                  <c:v>23946.092019071344</c:v>
                </c:pt>
                <c:pt idx="630">
                  <c:v>1179.6624010816322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1887.0461290059593</c:v>
                </c:pt>
                <c:pt idx="635">
                  <c:v>5198.5470431908125</c:v>
                </c:pt>
                <c:pt idx="636">
                  <c:v>0</c:v>
                </c:pt>
                <c:pt idx="637">
                  <c:v>0</c:v>
                </c:pt>
                <c:pt idx="638">
                  <c:v>18629.973888134205</c:v>
                </c:pt>
                <c:pt idx="639">
                  <c:v>2474.130009243634</c:v>
                </c:pt>
                <c:pt idx="640">
                  <c:v>81.456288679493809</c:v>
                </c:pt>
                <c:pt idx="641">
                  <c:v>21118.548243629608</c:v>
                </c:pt>
                <c:pt idx="642">
                  <c:v>2977.9259713924275</c:v>
                </c:pt>
                <c:pt idx="643">
                  <c:v>0</c:v>
                </c:pt>
                <c:pt idx="644">
                  <c:v>0</c:v>
                </c:pt>
                <c:pt idx="645">
                  <c:v>1.9235467843227525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2016.4374922451916</c:v>
                </c:pt>
                <c:pt idx="650">
                  <c:v>2915.9737621488184</c:v>
                </c:pt>
                <c:pt idx="651">
                  <c:v>2423.182790027693</c:v>
                </c:pt>
                <c:pt idx="652">
                  <c:v>0</c:v>
                </c:pt>
                <c:pt idx="653">
                  <c:v>0</c:v>
                </c:pt>
                <c:pt idx="654">
                  <c:v>1996.3691642149479</c:v>
                </c:pt>
                <c:pt idx="655">
                  <c:v>21639.89513791725</c:v>
                </c:pt>
                <c:pt idx="656">
                  <c:v>0</c:v>
                </c:pt>
                <c:pt idx="657">
                  <c:v>0</c:v>
                </c:pt>
                <c:pt idx="658">
                  <c:v>922.29923290476836</c:v>
                </c:pt>
                <c:pt idx="659">
                  <c:v>2243.7546842110623</c:v>
                </c:pt>
                <c:pt idx="660">
                  <c:v>1483.778513856405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22987.633400226128</c:v>
                </c:pt>
                <c:pt idx="665">
                  <c:v>23524.982073760337</c:v>
                </c:pt>
                <c:pt idx="666">
                  <c:v>0</c:v>
                </c:pt>
                <c:pt idx="667">
                  <c:v>21775.148123173283</c:v>
                </c:pt>
                <c:pt idx="668">
                  <c:v>26438.849303981973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25890.650620243992</c:v>
                </c:pt>
                <c:pt idx="675">
                  <c:v>0</c:v>
                </c:pt>
                <c:pt idx="676">
                  <c:v>4298.3206642697678</c:v>
                </c:pt>
                <c:pt idx="677">
                  <c:v>26773.110688278823</c:v>
                </c:pt>
                <c:pt idx="678">
                  <c:v>2901.2325489919403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21636.353789732013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16589.169254490516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1457.5931732055087</c:v>
                </c:pt>
                <c:pt idx="697">
                  <c:v>21752.231945695472</c:v>
                </c:pt>
                <c:pt idx="698">
                  <c:v>1276.2335530949877</c:v>
                </c:pt>
                <c:pt idx="699">
                  <c:v>0</c:v>
                </c:pt>
                <c:pt idx="700">
                  <c:v>0</c:v>
                </c:pt>
                <c:pt idx="701">
                  <c:v>3957.2855554821017</c:v>
                </c:pt>
                <c:pt idx="702">
                  <c:v>2450.6596437357202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24760.146163155965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59.963457695886973</c:v>
                </c:pt>
                <c:pt idx="716">
                  <c:v>0</c:v>
                </c:pt>
                <c:pt idx="717">
                  <c:v>0</c:v>
                </c:pt>
                <c:pt idx="718">
                  <c:v>2073.1919609855449</c:v>
                </c:pt>
                <c:pt idx="719">
                  <c:v>1824.5904832856995</c:v>
                </c:pt>
                <c:pt idx="720">
                  <c:v>2828.5366500191685</c:v>
                </c:pt>
                <c:pt idx="721">
                  <c:v>2300.2602181853163</c:v>
                </c:pt>
                <c:pt idx="722">
                  <c:v>3456.8205184627204</c:v>
                </c:pt>
                <c:pt idx="723">
                  <c:v>0</c:v>
                </c:pt>
                <c:pt idx="724">
                  <c:v>0</c:v>
                </c:pt>
                <c:pt idx="725">
                  <c:v>21128.465914393782</c:v>
                </c:pt>
                <c:pt idx="726">
                  <c:v>0</c:v>
                </c:pt>
                <c:pt idx="727">
                  <c:v>15089.279740746506</c:v>
                </c:pt>
                <c:pt idx="728">
                  <c:v>0</c:v>
                </c:pt>
                <c:pt idx="729">
                  <c:v>0</c:v>
                </c:pt>
                <c:pt idx="730">
                  <c:v>17319.033091358826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2446.3421515557329</c:v>
                </c:pt>
                <c:pt idx="735">
                  <c:v>439.51114890111967</c:v>
                </c:pt>
                <c:pt idx="736">
                  <c:v>21276.091067324669</c:v>
                </c:pt>
                <c:pt idx="737">
                  <c:v>0</c:v>
                </c:pt>
                <c:pt idx="738">
                  <c:v>17751.283056193715</c:v>
                </c:pt>
                <c:pt idx="739">
                  <c:v>19135.628955080698</c:v>
                </c:pt>
                <c:pt idx="740">
                  <c:v>0</c:v>
                </c:pt>
                <c:pt idx="741">
                  <c:v>15442.065671191916</c:v>
                </c:pt>
                <c:pt idx="742">
                  <c:v>24836.056449192489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17209.161558530694</c:v>
                </c:pt>
                <c:pt idx="751">
                  <c:v>0</c:v>
                </c:pt>
                <c:pt idx="752">
                  <c:v>4748.9130094870834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20262.771722567675</c:v>
                </c:pt>
                <c:pt idx="758">
                  <c:v>0</c:v>
                </c:pt>
                <c:pt idx="759">
                  <c:v>16189.883449925563</c:v>
                </c:pt>
                <c:pt idx="760">
                  <c:v>0</c:v>
                </c:pt>
                <c:pt idx="761">
                  <c:v>0</c:v>
                </c:pt>
                <c:pt idx="762">
                  <c:v>16838.328809749903</c:v>
                </c:pt>
                <c:pt idx="763">
                  <c:v>0</c:v>
                </c:pt>
                <c:pt idx="764">
                  <c:v>0</c:v>
                </c:pt>
                <c:pt idx="765">
                  <c:v>1019.9367031668462</c:v>
                </c:pt>
                <c:pt idx="766">
                  <c:v>0</c:v>
                </c:pt>
                <c:pt idx="767">
                  <c:v>0</c:v>
                </c:pt>
                <c:pt idx="768">
                  <c:v>4881.9925262374582</c:v>
                </c:pt>
                <c:pt idx="769">
                  <c:v>0</c:v>
                </c:pt>
                <c:pt idx="770">
                  <c:v>4185.5143116786803</c:v>
                </c:pt>
                <c:pt idx="771">
                  <c:v>0</c:v>
                </c:pt>
                <c:pt idx="772">
                  <c:v>0</c:v>
                </c:pt>
                <c:pt idx="773">
                  <c:v>14109.005127776489</c:v>
                </c:pt>
                <c:pt idx="774">
                  <c:v>0</c:v>
                </c:pt>
                <c:pt idx="775">
                  <c:v>602.41386171618979</c:v>
                </c:pt>
                <c:pt idx="776">
                  <c:v>0</c:v>
                </c:pt>
                <c:pt idx="777">
                  <c:v>866.07377256270956</c:v>
                </c:pt>
                <c:pt idx="778">
                  <c:v>0</c:v>
                </c:pt>
                <c:pt idx="779">
                  <c:v>0</c:v>
                </c:pt>
                <c:pt idx="780">
                  <c:v>16102.938517686862</c:v>
                </c:pt>
                <c:pt idx="781">
                  <c:v>0</c:v>
                </c:pt>
                <c:pt idx="782">
                  <c:v>546.88348895053969</c:v>
                </c:pt>
                <c:pt idx="783">
                  <c:v>21505.797889085348</c:v>
                </c:pt>
                <c:pt idx="784">
                  <c:v>0</c:v>
                </c:pt>
                <c:pt idx="785">
                  <c:v>0</c:v>
                </c:pt>
                <c:pt idx="786">
                  <c:v>3752.2177178320326</c:v>
                </c:pt>
                <c:pt idx="787">
                  <c:v>0</c:v>
                </c:pt>
                <c:pt idx="788">
                  <c:v>0</c:v>
                </c:pt>
                <c:pt idx="789">
                  <c:v>975.9967867617579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19321.984844873536</c:v>
                </c:pt>
                <c:pt idx="794">
                  <c:v>0</c:v>
                </c:pt>
                <c:pt idx="795">
                  <c:v>15903.648076308049</c:v>
                </c:pt>
                <c:pt idx="796">
                  <c:v>0</c:v>
                </c:pt>
                <c:pt idx="797">
                  <c:v>0</c:v>
                </c:pt>
                <c:pt idx="798">
                  <c:v>1102.1776171818256</c:v>
                </c:pt>
                <c:pt idx="799">
                  <c:v>16541.038345328619</c:v>
                </c:pt>
                <c:pt idx="800">
                  <c:v>0</c:v>
                </c:pt>
                <c:pt idx="801">
                  <c:v>3541.8298861820349</c:v>
                </c:pt>
                <c:pt idx="802">
                  <c:v>0</c:v>
                </c:pt>
                <c:pt idx="803">
                  <c:v>17701.715165516791</c:v>
                </c:pt>
                <c:pt idx="804">
                  <c:v>0</c:v>
                </c:pt>
                <c:pt idx="805">
                  <c:v>0</c:v>
                </c:pt>
                <c:pt idx="806">
                  <c:v>383.44044257707537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52.021114602381203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21194.969478698142</c:v>
                </c:pt>
                <c:pt idx="819">
                  <c:v>19960.630529811446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4121.8961606511857</c:v>
                </c:pt>
                <c:pt idx="826">
                  <c:v>24737.371702605895</c:v>
                </c:pt>
                <c:pt idx="827">
                  <c:v>18882.702803252803</c:v>
                </c:pt>
                <c:pt idx="828">
                  <c:v>22052.463620935669</c:v>
                </c:pt>
                <c:pt idx="829">
                  <c:v>0</c:v>
                </c:pt>
                <c:pt idx="830">
                  <c:v>2255.1450204734592</c:v>
                </c:pt>
                <c:pt idx="831">
                  <c:v>0</c:v>
                </c:pt>
                <c:pt idx="832">
                  <c:v>0</c:v>
                </c:pt>
                <c:pt idx="833">
                  <c:v>2015.5099048208922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1372.5325177763898</c:v>
                </c:pt>
                <c:pt idx="840">
                  <c:v>0</c:v>
                </c:pt>
                <c:pt idx="841">
                  <c:v>0</c:v>
                </c:pt>
                <c:pt idx="842">
                  <c:v>16728.227947343243</c:v>
                </c:pt>
                <c:pt idx="843">
                  <c:v>23502.938286090619</c:v>
                </c:pt>
                <c:pt idx="844">
                  <c:v>0</c:v>
                </c:pt>
                <c:pt idx="845">
                  <c:v>25168.978061235284</c:v>
                </c:pt>
                <c:pt idx="846">
                  <c:v>152.79649354144749</c:v>
                </c:pt>
                <c:pt idx="847">
                  <c:v>0</c:v>
                </c:pt>
                <c:pt idx="848">
                  <c:v>0</c:v>
                </c:pt>
                <c:pt idx="849">
                  <c:v>697.14341962733852</c:v>
                </c:pt>
                <c:pt idx="850">
                  <c:v>19729.850934733986</c:v>
                </c:pt>
                <c:pt idx="851">
                  <c:v>3028.1657346845441</c:v>
                </c:pt>
                <c:pt idx="852">
                  <c:v>23652.727012221614</c:v>
                </c:pt>
                <c:pt idx="853">
                  <c:v>0</c:v>
                </c:pt>
                <c:pt idx="854">
                  <c:v>21886.322199838389</c:v>
                </c:pt>
                <c:pt idx="855">
                  <c:v>0</c:v>
                </c:pt>
                <c:pt idx="856">
                  <c:v>22310.569510170259</c:v>
                </c:pt>
                <c:pt idx="857">
                  <c:v>13907.659978953985</c:v>
                </c:pt>
                <c:pt idx="858">
                  <c:v>0</c:v>
                </c:pt>
                <c:pt idx="859">
                  <c:v>0</c:v>
                </c:pt>
                <c:pt idx="860">
                  <c:v>25426.034923465762</c:v>
                </c:pt>
                <c:pt idx="861">
                  <c:v>0</c:v>
                </c:pt>
                <c:pt idx="862">
                  <c:v>2037.2458940649503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4784.9580586734101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26879.084459844227</c:v>
                </c:pt>
                <c:pt idx="884">
                  <c:v>0</c:v>
                </c:pt>
                <c:pt idx="885">
                  <c:v>17127.225419233408</c:v>
                </c:pt>
                <c:pt idx="886">
                  <c:v>24123.419442318278</c:v>
                </c:pt>
                <c:pt idx="887">
                  <c:v>0</c:v>
                </c:pt>
                <c:pt idx="888">
                  <c:v>0</c:v>
                </c:pt>
                <c:pt idx="889">
                  <c:v>1976.3670726884393</c:v>
                </c:pt>
                <c:pt idx="890">
                  <c:v>24990.850052003523</c:v>
                </c:pt>
                <c:pt idx="891">
                  <c:v>0</c:v>
                </c:pt>
                <c:pt idx="892">
                  <c:v>0</c:v>
                </c:pt>
                <c:pt idx="893">
                  <c:v>24850.89772308727</c:v>
                </c:pt>
                <c:pt idx="894">
                  <c:v>2622.5381401622089</c:v>
                </c:pt>
                <c:pt idx="895">
                  <c:v>5569.9553191520226</c:v>
                </c:pt>
                <c:pt idx="896">
                  <c:v>18580.748415743976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27910.632253923992</c:v>
                </c:pt>
                <c:pt idx="902">
                  <c:v>0</c:v>
                </c:pt>
                <c:pt idx="903">
                  <c:v>0</c:v>
                </c:pt>
                <c:pt idx="904">
                  <c:v>2294.2772294782026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5954.2427951134832</c:v>
                </c:pt>
                <c:pt idx="909">
                  <c:v>15389.30263743143</c:v>
                </c:pt>
                <c:pt idx="910">
                  <c:v>0</c:v>
                </c:pt>
                <c:pt idx="911">
                  <c:v>15040.499658059571</c:v>
                </c:pt>
                <c:pt idx="912">
                  <c:v>1220.0886266653306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19596.866648719217</c:v>
                </c:pt>
                <c:pt idx="917">
                  <c:v>18978.847013916195</c:v>
                </c:pt>
                <c:pt idx="918">
                  <c:v>210.69875210075224</c:v>
                </c:pt>
                <c:pt idx="919">
                  <c:v>0</c:v>
                </c:pt>
                <c:pt idx="920">
                  <c:v>0</c:v>
                </c:pt>
                <c:pt idx="921">
                  <c:v>2163.5223726922977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491.2630000122972</c:v>
                </c:pt>
                <c:pt idx="926">
                  <c:v>0</c:v>
                </c:pt>
                <c:pt idx="927">
                  <c:v>0</c:v>
                </c:pt>
                <c:pt idx="928">
                  <c:v>4110.1442981259152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3853.9792463499998</c:v>
                </c:pt>
                <c:pt idx="942">
                  <c:v>0</c:v>
                </c:pt>
                <c:pt idx="943">
                  <c:v>0</c:v>
                </c:pt>
                <c:pt idx="944">
                  <c:v>4240.0088980111595</c:v>
                </c:pt>
                <c:pt idx="945">
                  <c:v>1979.787782005531</c:v>
                </c:pt>
                <c:pt idx="946">
                  <c:v>0</c:v>
                </c:pt>
                <c:pt idx="947">
                  <c:v>21234.078731837093</c:v>
                </c:pt>
                <c:pt idx="948">
                  <c:v>0</c:v>
                </c:pt>
                <c:pt idx="949">
                  <c:v>16616.38205913757</c:v>
                </c:pt>
                <c:pt idx="950">
                  <c:v>0</c:v>
                </c:pt>
                <c:pt idx="951">
                  <c:v>27221.529209535584</c:v>
                </c:pt>
                <c:pt idx="952">
                  <c:v>0</c:v>
                </c:pt>
                <c:pt idx="953">
                  <c:v>21190.748939003468</c:v>
                </c:pt>
                <c:pt idx="954">
                  <c:v>17951.57944256741</c:v>
                </c:pt>
                <c:pt idx="955">
                  <c:v>0</c:v>
                </c:pt>
                <c:pt idx="956">
                  <c:v>23412.356933307332</c:v>
                </c:pt>
                <c:pt idx="957">
                  <c:v>0</c:v>
                </c:pt>
                <c:pt idx="958">
                  <c:v>23033.00387180542</c:v>
                </c:pt>
                <c:pt idx="959">
                  <c:v>695.80799882926112</c:v>
                </c:pt>
                <c:pt idx="960">
                  <c:v>0</c:v>
                </c:pt>
                <c:pt idx="961">
                  <c:v>0</c:v>
                </c:pt>
                <c:pt idx="962">
                  <c:v>3499.2951195134756</c:v>
                </c:pt>
                <c:pt idx="963">
                  <c:v>0</c:v>
                </c:pt>
                <c:pt idx="964">
                  <c:v>2230.9573322208144</c:v>
                </c:pt>
                <c:pt idx="965">
                  <c:v>0</c:v>
                </c:pt>
                <c:pt idx="966">
                  <c:v>21762.489881874499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14869.145373318623</c:v>
                </c:pt>
                <c:pt idx="976">
                  <c:v>718.64252228267469</c:v>
                </c:pt>
                <c:pt idx="977">
                  <c:v>0</c:v>
                </c:pt>
                <c:pt idx="978">
                  <c:v>2488.3365235912734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16868.585050640468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12910.593517701245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14593.5834208709</c:v>
                </c:pt>
                <c:pt idx="995">
                  <c:v>0</c:v>
                </c:pt>
                <c:pt idx="996">
                  <c:v>0</c:v>
                </c:pt>
                <c:pt idx="997">
                  <c:v>3583.4637728222278</c:v>
                </c:pt>
                <c:pt idx="998">
                  <c:v>0</c:v>
                </c:pt>
                <c:pt idx="999">
                  <c:v>0</c:v>
                </c:pt>
                <c:pt idx="1000">
                  <c:v>15756.262294822629</c:v>
                </c:pt>
                <c:pt idx="1001">
                  <c:v>15950.604431985348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22370.606628223315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17443.24345051797</c:v>
                </c:pt>
                <c:pt idx="1012">
                  <c:v>3777.7922916339066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3029.2511609094527</c:v>
                </c:pt>
                <c:pt idx="1019">
                  <c:v>0</c:v>
                </c:pt>
                <c:pt idx="1020">
                  <c:v>495.72325910756081</c:v>
                </c:pt>
                <c:pt idx="1021">
                  <c:v>16349.891661599957</c:v>
                </c:pt>
                <c:pt idx="1022">
                  <c:v>23405.303900611136</c:v>
                </c:pt>
                <c:pt idx="1023">
                  <c:v>0</c:v>
                </c:pt>
                <c:pt idx="1024">
                  <c:v>2822.2312294576095</c:v>
                </c:pt>
                <c:pt idx="1025">
                  <c:v>0</c:v>
                </c:pt>
                <c:pt idx="1026">
                  <c:v>13486.48997073962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19747.341396317373</c:v>
                </c:pt>
                <c:pt idx="1031">
                  <c:v>24817.478295978348</c:v>
                </c:pt>
                <c:pt idx="1032">
                  <c:v>0</c:v>
                </c:pt>
                <c:pt idx="1033">
                  <c:v>11592.598202105381</c:v>
                </c:pt>
                <c:pt idx="1034">
                  <c:v>4139.460842340186</c:v>
                </c:pt>
                <c:pt idx="1035">
                  <c:v>0</c:v>
                </c:pt>
                <c:pt idx="1036">
                  <c:v>17795.197151401298</c:v>
                </c:pt>
                <c:pt idx="1037">
                  <c:v>21810.568266478171</c:v>
                </c:pt>
                <c:pt idx="1038">
                  <c:v>0</c:v>
                </c:pt>
                <c:pt idx="1039">
                  <c:v>0</c:v>
                </c:pt>
                <c:pt idx="1040">
                  <c:v>17928.696365536787</c:v>
                </c:pt>
                <c:pt idx="1041">
                  <c:v>0</c:v>
                </c:pt>
                <c:pt idx="1042">
                  <c:v>15199.755204110939</c:v>
                </c:pt>
                <c:pt idx="1043">
                  <c:v>0</c:v>
                </c:pt>
                <c:pt idx="1044">
                  <c:v>2363.4156946198909</c:v>
                </c:pt>
                <c:pt idx="1045">
                  <c:v>19806.730042877789</c:v>
                </c:pt>
                <c:pt idx="1046">
                  <c:v>0</c:v>
                </c:pt>
                <c:pt idx="1047">
                  <c:v>22580.587071756294</c:v>
                </c:pt>
                <c:pt idx="1048">
                  <c:v>0</c:v>
                </c:pt>
                <c:pt idx="1049">
                  <c:v>21761.465028919527</c:v>
                </c:pt>
                <c:pt idx="1050">
                  <c:v>0</c:v>
                </c:pt>
                <c:pt idx="1051">
                  <c:v>1202.8481596551192</c:v>
                </c:pt>
                <c:pt idx="1052">
                  <c:v>0</c:v>
                </c:pt>
                <c:pt idx="1053">
                  <c:v>22301.141160320316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28203.899006330161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699.55033525393628</c:v>
                </c:pt>
                <c:pt idx="1067">
                  <c:v>291.63700012951267</c:v>
                </c:pt>
                <c:pt idx="1068">
                  <c:v>0</c:v>
                </c:pt>
                <c:pt idx="1069">
                  <c:v>68.249549761569142</c:v>
                </c:pt>
                <c:pt idx="1070">
                  <c:v>21172.541894312388</c:v>
                </c:pt>
                <c:pt idx="1071">
                  <c:v>2653.8308460483513</c:v>
                </c:pt>
                <c:pt idx="1072">
                  <c:v>0</c:v>
                </c:pt>
                <c:pt idx="1073">
                  <c:v>554.40791439378336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16557.081461364694</c:v>
                </c:pt>
                <c:pt idx="1079">
                  <c:v>3796.6239318559401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2804.0922628494318</c:v>
                </c:pt>
                <c:pt idx="1085">
                  <c:v>17427.881073190234</c:v>
                </c:pt>
                <c:pt idx="1086">
                  <c:v>0</c:v>
                </c:pt>
                <c:pt idx="1087">
                  <c:v>791.95220949264876</c:v>
                </c:pt>
                <c:pt idx="1088">
                  <c:v>4796.0467904874768</c:v>
                </c:pt>
                <c:pt idx="1089">
                  <c:v>0</c:v>
                </c:pt>
                <c:pt idx="1090">
                  <c:v>22967.11463535919</c:v>
                </c:pt>
                <c:pt idx="1091">
                  <c:v>182.49695756316396</c:v>
                </c:pt>
                <c:pt idx="1092">
                  <c:v>0</c:v>
                </c:pt>
                <c:pt idx="1093">
                  <c:v>15395.14823487701</c:v>
                </c:pt>
                <c:pt idx="1094">
                  <c:v>1152.8450496460773</c:v>
                </c:pt>
                <c:pt idx="1095">
                  <c:v>0</c:v>
                </c:pt>
                <c:pt idx="1096">
                  <c:v>25694.66959664844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15689.951109440199</c:v>
                </c:pt>
                <c:pt idx="1101">
                  <c:v>0</c:v>
                </c:pt>
                <c:pt idx="1102">
                  <c:v>0</c:v>
                </c:pt>
                <c:pt idx="1103">
                  <c:v>1906.6886914600345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1238.9489805937246</c:v>
                </c:pt>
                <c:pt idx="1111">
                  <c:v>22828.134695914312</c:v>
                </c:pt>
                <c:pt idx="1112">
                  <c:v>21274.526672402964</c:v>
                </c:pt>
                <c:pt idx="1113">
                  <c:v>0</c:v>
                </c:pt>
                <c:pt idx="1114">
                  <c:v>0</c:v>
                </c:pt>
                <c:pt idx="1115">
                  <c:v>454.97050218416007</c:v>
                </c:pt>
                <c:pt idx="1116">
                  <c:v>0</c:v>
                </c:pt>
                <c:pt idx="1117">
                  <c:v>17297.182692508795</c:v>
                </c:pt>
                <c:pt idx="1118">
                  <c:v>19697.381125396685</c:v>
                </c:pt>
                <c:pt idx="1119">
                  <c:v>0</c:v>
                </c:pt>
                <c:pt idx="1120">
                  <c:v>15384.110949149008</c:v>
                </c:pt>
                <c:pt idx="1121">
                  <c:v>484.32786935677905</c:v>
                </c:pt>
                <c:pt idx="1122">
                  <c:v>26975.38650930822</c:v>
                </c:pt>
                <c:pt idx="1123">
                  <c:v>0</c:v>
                </c:pt>
                <c:pt idx="1124">
                  <c:v>20669.508184082006</c:v>
                </c:pt>
                <c:pt idx="1125">
                  <c:v>273.21497378581444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4109.4668934760321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15333.493495311626</c:v>
                </c:pt>
                <c:pt idx="1140">
                  <c:v>663.13993538511386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1353.0759974626981</c:v>
                </c:pt>
                <c:pt idx="1146">
                  <c:v>25231.352468690951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2855.7385822626511</c:v>
                </c:pt>
                <c:pt idx="1152">
                  <c:v>22266.232983444956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18722.727876191653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3104.9722549131893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14033.72481092933</c:v>
                </c:pt>
                <c:pt idx="1171">
                  <c:v>19878.029858223286</c:v>
                </c:pt>
                <c:pt idx="1172">
                  <c:v>3501.7881803316395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21449.596402006617</c:v>
                </c:pt>
                <c:pt idx="1177">
                  <c:v>0</c:v>
                </c:pt>
                <c:pt idx="1178">
                  <c:v>0</c:v>
                </c:pt>
                <c:pt idx="1179">
                  <c:v>16693.35876072447</c:v>
                </c:pt>
                <c:pt idx="1180">
                  <c:v>1217.8936689833845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14797.587486203616</c:v>
                </c:pt>
                <c:pt idx="1185">
                  <c:v>0</c:v>
                </c:pt>
                <c:pt idx="1186">
                  <c:v>17948.908600971241</c:v>
                </c:pt>
                <c:pt idx="1187">
                  <c:v>2594.2288686908523</c:v>
                </c:pt>
                <c:pt idx="1188">
                  <c:v>19877.533665711482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2298.5977688361509</c:v>
                </c:pt>
                <c:pt idx="1193">
                  <c:v>319.39843498220762</c:v>
                </c:pt>
                <c:pt idx="1194">
                  <c:v>0</c:v>
                </c:pt>
                <c:pt idx="1195">
                  <c:v>0</c:v>
                </c:pt>
                <c:pt idx="1196">
                  <c:v>14495.685664892846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1914.3075845318581</c:v>
                </c:pt>
                <c:pt idx="1202">
                  <c:v>0</c:v>
                </c:pt>
                <c:pt idx="1203">
                  <c:v>337.06556358657508</c:v>
                </c:pt>
                <c:pt idx="1204">
                  <c:v>14053.882734946021</c:v>
                </c:pt>
                <c:pt idx="1205">
                  <c:v>0</c:v>
                </c:pt>
                <c:pt idx="1206">
                  <c:v>2886.6639311558629</c:v>
                </c:pt>
                <c:pt idx="1207">
                  <c:v>20221.317170259368</c:v>
                </c:pt>
                <c:pt idx="1208">
                  <c:v>18433.06568476648</c:v>
                </c:pt>
                <c:pt idx="1209">
                  <c:v>3059.9939699165607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579.8792829781687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22852.726654211838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12171.000527246319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833.30678792745493</c:v>
                </c:pt>
                <c:pt idx="1229">
                  <c:v>982.8685462452504</c:v>
                </c:pt>
                <c:pt idx="1230">
                  <c:v>25781.631345050024</c:v>
                </c:pt>
                <c:pt idx="1231">
                  <c:v>11357.2847368729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52.304688169062501</c:v>
                </c:pt>
                <c:pt idx="1238">
                  <c:v>0</c:v>
                </c:pt>
                <c:pt idx="1239">
                  <c:v>0</c:v>
                </c:pt>
                <c:pt idx="1240">
                  <c:v>27105.272763101006</c:v>
                </c:pt>
                <c:pt idx="1241">
                  <c:v>28545.852678072719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19756.456700592171</c:v>
                </c:pt>
                <c:pt idx="1250">
                  <c:v>15937.170211423059</c:v>
                </c:pt>
                <c:pt idx="1251">
                  <c:v>0</c:v>
                </c:pt>
                <c:pt idx="1252">
                  <c:v>13091.534372337419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2452.0223718555881</c:v>
                </c:pt>
                <c:pt idx="1257">
                  <c:v>0</c:v>
                </c:pt>
                <c:pt idx="1258">
                  <c:v>3799.2607159122908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784.62492207944342</c:v>
                </c:pt>
                <c:pt idx="1265">
                  <c:v>23117.498000111365</c:v>
                </c:pt>
                <c:pt idx="1266">
                  <c:v>0</c:v>
                </c:pt>
                <c:pt idx="1267">
                  <c:v>16356.074126632449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14476.295000607921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20297.739422725441</c:v>
                </c:pt>
                <c:pt idx="1279">
                  <c:v>0</c:v>
                </c:pt>
                <c:pt idx="1280">
                  <c:v>0</c:v>
                </c:pt>
                <c:pt idx="1281">
                  <c:v>21833.080173911112</c:v>
                </c:pt>
                <c:pt idx="1282">
                  <c:v>11756.135939593516</c:v>
                </c:pt>
                <c:pt idx="1283">
                  <c:v>0</c:v>
                </c:pt>
                <c:pt idx="1284">
                  <c:v>27150.886454015374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18146.776251326846</c:v>
                </c:pt>
                <c:pt idx="1289">
                  <c:v>0</c:v>
                </c:pt>
                <c:pt idx="1290">
                  <c:v>0</c:v>
                </c:pt>
                <c:pt idx="1291">
                  <c:v>15412.548267242457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20475.904095733298</c:v>
                </c:pt>
                <c:pt idx="1301">
                  <c:v>27125.706502888374</c:v>
                </c:pt>
                <c:pt idx="1302">
                  <c:v>0</c:v>
                </c:pt>
                <c:pt idx="1303">
                  <c:v>19168.827207501847</c:v>
                </c:pt>
                <c:pt idx="1304">
                  <c:v>19739.299852276949</c:v>
                </c:pt>
                <c:pt idx="1305">
                  <c:v>0</c:v>
                </c:pt>
                <c:pt idx="1306">
                  <c:v>14646.002573690408</c:v>
                </c:pt>
                <c:pt idx="1307">
                  <c:v>18961.038507219193</c:v>
                </c:pt>
                <c:pt idx="1308">
                  <c:v>15490.791509890698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16427.025026213654</c:v>
                </c:pt>
                <c:pt idx="1314">
                  <c:v>16588.640846018076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167.28904969272662</c:v>
                </c:pt>
                <c:pt idx="1319">
                  <c:v>0</c:v>
                </c:pt>
                <c:pt idx="1320">
                  <c:v>0</c:v>
                </c:pt>
                <c:pt idx="1321">
                  <c:v>24634.340130772296</c:v>
                </c:pt>
                <c:pt idx="1322">
                  <c:v>3866.8960990392352</c:v>
                </c:pt>
                <c:pt idx="1323">
                  <c:v>24182.976958459134</c:v>
                </c:pt>
                <c:pt idx="1324">
                  <c:v>0</c:v>
                </c:pt>
                <c:pt idx="1325">
                  <c:v>2849.0324590203072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2246.2902277205158</c:v>
                </c:pt>
                <c:pt idx="1330">
                  <c:v>0</c:v>
                </c:pt>
                <c:pt idx="1331">
                  <c:v>0</c:v>
                </c:pt>
                <c:pt idx="1332">
                  <c:v>4922.1851992908832</c:v>
                </c:pt>
                <c:pt idx="1333">
                  <c:v>227.1191086204326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24961.418690531165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332-4003-B4EB-3747B19E080A}"/>
            </c:ext>
          </c:extLst>
        </c:ser>
        <c:ser>
          <c:idx val="2"/>
          <c:order val="2"/>
          <c:tx>
            <c:strRef>
              <c:f>Project_Analysis!$O$2</c:f>
              <c:strCache>
                <c:ptCount val="1"/>
                <c:pt idx="0">
                  <c:v>+95% Prediction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Project_Analysis!$L$3:$L$1340</c:f>
              <c:numCache>
                <c:formatCode>_("$"* #,##0.00_);_("$"* \(#,##0.00\);_("$"* "-"??_);_(@_)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xVal>
          <c:yVal>
            <c:numRef>
              <c:f>Project_Analysis!$O$3:$O$1340</c:f>
              <c:numCache>
                <c:formatCode>_("$"* #,##0.00_);_("$"* \(#,##0.00\);_("$"* "-"??_);_(@_)</c:formatCode>
                <c:ptCount val="1338"/>
                <c:pt idx="0">
                  <c:v>37417.917605431925</c:v>
                </c:pt>
                <c:pt idx="1">
                  <c:v>15572.807411344455</c:v>
                </c:pt>
                <c:pt idx="2">
                  <c:v>18831.193067735854</c:v>
                </c:pt>
                <c:pt idx="3">
                  <c:v>15879.034740014771</c:v>
                </c:pt>
                <c:pt idx="4">
                  <c:v>17716.697963524362</c:v>
                </c:pt>
                <c:pt idx="5">
                  <c:v>15844.030376080906</c:v>
                </c:pt>
                <c:pt idx="6">
                  <c:v>22784.165802093725</c:v>
                </c:pt>
                <c:pt idx="7">
                  <c:v>20172.115183937254</c:v>
                </c:pt>
                <c:pt idx="8">
                  <c:v>20627.178496864304</c:v>
                </c:pt>
                <c:pt idx="9">
                  <c:v>24008.842094988257</c:v>
                </c:pt>
                <c:pt idx="10">
                  <c:v>15369.412808582734</c:v>
                </c:pt>
                <c:pt idx="11">
                  <c:v>47841.668246137451</c:v>
                </c:pt>
                <c:pt idx="12">
                  <c:v>16670.251562743877</c:v>
                </c:pt>
                <c:pt idx="13">
                  <c:v>27041.283016355235</c:v>
                </c:pt>
                <c:pt idx="14">
                  <c:v>44093.205853130872</c:v>
                </c:pt>
                <c:pt idx="15">
                  <c:v>12794.230852357387</c:v>
                </c:pt>
                <c:pt idx="16">
                  <c:v>24458.071380100802</c:v>
                </c:pt>
                <c:pt idx="17">
                  <c:v>14050.115651182294</c:v>
                </c:pt>
                <c:pt idx="18">
                  <c:v>27147.752572780315</c:v>
                </c:pt>
                <c:pt idx="19">
                  <c:v>42622.054680667861</c:v>
                </c:pt>
                <c:pt idx="20">
                  <c:v>27809.707450367088</c:v>
                </c:pt>
                <c:pt idx="21">
                  <c:v>18396.674027827874</c:v>
                </c:pt>
                <c:pt idx="22">
                  <c:v>15209.240705886899</c:v>
                </c:pt>
                <c:pt idx="23">
                  <c:v>44069.872113457692</c:v>
                </c:pt>
                <c:pt idx="24">
                  <c:v>19661.970413672097</c:v>
                </c:pt>
                <c:pt idx="25">
                  <c:v>25134.112920723514</c:v>
                </c:pt>
                <c:pt idx="26">
                  <c:v>24197.897087327081</c:v>
                </c:pt>
                <c:pt idx="27">
                  <c:v>26027.868023390954</c:v>
                </c:pt>
                <c:pt idx="28">
                  <c:v>0</c:v>
                </c:pt>
                <c:pt idx="29">
                  <c:v>44169.105577114315</c:v>
                </c:pt>
                <c:pt idx="30">
                  <c:v>40668.96189645234</c:v>
                </c:pt>
                <c:pt idx="31">
                  <c:v>13734.956078309435</c:v>
                </c:pt>
                <c:pt idx="32">
                  <c:v>16184.321206792383</c:v>
                </c:pt>
                <c:pt idx="33">
                  <c:v>25485.904623623966</c:v>
                </c:pt>
                <c:pt idx="34">
                  <c:v>42956.95531971423</c:v>
                </c:pt>
                <c:pt idx="35">
                  <c:v>0</c:v>
                </c:pt>
                <c:pt idx="36">
                  <c:v>28365.809792487591</c:v>
                </c:pt>
                <c:pt idx="37">
                  <c:v>12827.789651248497</c:v>
                </c:pt>
                <c:pt idx="38">
                  <c:v>45806.583011251423</c:v>
                </c:pt>
                <c:pt idx="39">
                  <c:v>51888.03514339817</c:v>
                </c:pt>
                <c:pt idx="40">
                  <c:v>15372.764327812612</c:v>
                </c:pt>
                <c:pt idx="41">
                  <c:v>20488.848176201223</c:v>
                </c:pt>
                <c:pt idx="42">
                  <c:v>17413.574010909484</c:v>
                </c:pt>
                <c:pt idx="43">
                  <c:v>20052.488456874111</c:v>
                </c:pt>
                <c:pt idx="44">
                  <c:v>22857.511039322788</c:v>
                </c:pt>
                <c:pt idx="45">
                  <c:v>25873.315859410446</c:v>
                </c:pt>
                <c:pt idx="46">
                  <c:v>18874.996320701575</c:v>
                </c:pt>
                <c:pt idx="47">
                  <c:v>18818.436354537924</c:v>
                </c:pt>
                <c:pt idx="48">
                  <c:v>22882.44052079488</c:v>
                </c:pt>
                <c:pt idx="49">
                  <c:v>44529.80293759302</c:v>
                </c:pt>
                <c:pt idx="50">
                  <c:v>16892.847131426359</c:v>
                </c:pt>
                <c:pt idx="51">
                  <c:v>17584.762439958395</c:v>
                </c:pt>
                <c:pt idx="52">
                  <c:v>45244.857360130132</c:v>
                </c:pt>
                <c:pt idx="53">
                  <c:v>43793.123433163535</c:v>
                </c:pt>
                <c:pt idx="54">
                  <c:v>21264.918022479593</c:v>
                </c:pt>
                <c:pt idx="55">
                  <c:v>51933.485899614003</c:v>
                </c:pt>
                <c:pt idx="56">
                  <c:v>26829.167199497344</c:v>
                </c:pt>
                <c:pt idx="57">
                  <c:v>39187.928180359726</c:v>
                </c:pt>
                <c:pt idx="58">
                  <c:v>44848.81194163749</c:v>
                </c:pt>
                <c:pt idx="59">
                  <c:v>22180.606768572085</c:v>
                </c:pt>
                <c:pt idx="60">
                  <c:v>21806.009326818756</c:v>
                </c:pt>
                <c:pt idx="61">
                  <c:v>18759.992234656092</c:v>
                </c:pt>
                <c:pt idx="62">
                  <c:v>24993.773153775321</c:v>
                </c:pt>
                <c:pt idx="63">
                  <c:v>16297.162737035285</c:v>
                </c:pt>
                <c:pt idx="64">
                  <c:v>36423.080924058064</c:v>
                </c:pt>
                <c:pt idx="65">
                  <c:v>13908.576517129972</c:v>
                </c:pt>
                <c:pt idx="66">
                  <c:v>29107.317640827423</c:v>
                </c:pt>
                <c:pt idx="67">
                  <c:v>19377.018120460474</c:v>
                </c:pt>
                <c:pt idx="68">
                  <c:v>21700.309139150311</c:v>
                </c:pt>
                <c:pt idx="69">
                  <c:v>39620.202658078873</c:v>
                </c:pt>
                <c:pt idx="70">
                  <c:v>38329.337988769577</c:v>
                </c:pt>
                <c:pt idx="71">
                  <c:v>20061.414723785201</c:v>
                </c:pt>
                <c:pt idx="72">
                  <c:v>23796.839375958531</c:v>
                </c:pt>
                <c:pt idx="73">
                  <c:v>25250.081034483293</c:v>
                </c:pt>
                <c:pt idx="74">
                  <c:v>20640.881881050569</c:v>
                </c:pt>
                <c:pt idx="75">
                  <c:v>25878.169193981674</c:v>
                </c:pt>
                <c:pt idx="76">
                  <c:v>17111.713012557077</c:v>
                </c:pt>
                <c:pt idx="77">
                  <c:v>16464.856402162448</c:v>
                </c:pt>
                <c:pt idx="78">
                  <c:v>19338.101177669058</c:v>
                </c:pt>
                <c:pt idx="79">
                  <c:v>21545.324753755885</c:v>
                </c:pt>
                <c:pt idx="80">
                  <c:v>17611.615115607165</c:v>
                </c:pt>
                <c:pt idx="81">
                  <c:v>24730.223236539583</c:v>
                </c:pt>
                <c:pt idx="82">
                  <c:v>41754.66215980838</c:v>
                </c:pt>
                <c:pt idx="83">
                  <c:v>28048.755296207441</c:v>
                </c:pt>
                <c:pt idx="84">
                  <c:v>45332.76787131725</c:v>
                </c:pt>
                <c:pt idx="85">
                  <c:v>43825.293358860064</c:v>
                </c:pt>
                <c:pt idx="86">
                  <c:v>48891.316752498678</c:v>
                </c:pt>
                <c:pt idx="87">
                  <c:v>22835.632689873419</c:v>
                </c:pt>
                <c:pt idx="88">
                  <c:v>21057.320721325981</c:v>
                </c:pt>
                <c:pt idx="89">
                  <c:v>23111.240869417874</c:v>
                </c:pt>
                <c:pt idx="90">
                  <c:v>17939.376837856478</c:v>
                </c:pt>
                <c:pt idx="91">
                  <c:v>22331.89101335263</c:v>
                </c:pt>
                <c:pt idx="92">
                  <c:v>50602.053339747887</c:v>
                </c:pt>
                <c:pt idx="93">
                  <c:v>21436.117553202523</c:v>
                </c:pt>
                <c:pt idx="94">
                  <c:v>51080.712302187705</c:v>
                </c:pt>
                <c:pt idx="95">
                  <c:v>19578.580092514778</c:v>
                </c:pt>
                <c:pt idx="96">
                  <c:v>24969.518053245141</c:v>
                </c:pt>
                <c:pt idx="97">
                  <c:v>26130.754385862085</c:v>
                </c:pt>
                <c:pt idx="98">
                  <c:v>45053.751325013349</c:v>
                </c:pt>
                <c:pt idx="99">
                  <c:v>39249.810243193206</c:v>
                </c:pt>
                <c:pt idx="100">
                  <c:v>20475.238597700896</c:v>
                </c:pt>
                <c:pt idx="101">
                  <c:v>16395.907546525239</c:v>
                </c:pt>
                <c:pt idx="102">
                  <c:v>15023.891202030625</c:v>
                </c:pt>
                <c:pt idx="103">
                  <c:v>50242.585765654854</c:v>
                </c:pt>
                <c:pt idx="104">
                  <c:v>17762.051515284154</c:v>
                </c:pt>
                <c:pt idx="105">
                  <c:v>38668.446417300845</c:v>
                </c:pt>
                <c:pt idx="106">
                  <c:v>14214.480335473685</c:v>
                </c:pt>
                <c:pt idx="107">
                  <c:v>17803.251878552168</c:v>
                </c:pt>
                <c:pt idx="108">
                  <c:v>15945.228909554951</c:v>
                </c:pt>
                <c:pt idx="109">
                  <c:v>50952.11263105509</c:v>
                </c:pt>
                <c:pt idx="110">
                  <c:v>25454.207169146641</c:v>
                </c:pt>
                <c:pt idx="111">
                  <c:v>24377.761061661433</c:v>
                </c:pt>
                <c:pt idx="112">
                  <c:v>19045.144065267727</c:v>
                </c:pt>
                <c:pt idx="113">
                  <c:v>17342.67566770679</c:v>
                </c:pt>
                <c:pt idx="114">
                  <c:v>25761.108782399402</c:v>
                </c:pt>
                <c:pt idx="115">
                  <c:v>25164.96959971566</c:v>
                </c:pt>
                <c:pt idx="116">
                  <c:v>30557.828873398983</c:v>
                </c:pt>
                <c:pt idx="117">
                  <c:v>40400.578356011989</c:v>
                </c:pt>
                <c:pt idx="118">
                  <c:v>20952.491360416672</c:v>
                </c:pt>
                <c:pt idx="119">
                  <c:v>18214.339246508745</c:v>
                </c:pt>
                <c:pt idx="120">
                  <c:v>23931.058381075716</c:v>
                </c:pt>
                <c:pt idx="121">
                  <c:v>12733.610510402525</c:v>
                </c:pt>
                <c:pt idx="122">
                  <c:v>14797.959470564323</c:v>
                </c:pt>
                <c:pt idx="123">
                  <c:v>46313.781010877879</c:v>
                </c:pt>
                <c:pt idx="124">
                  <c:v>24835.19828535767</c:v>
                </c:pt>
                <c:pt idx="125">
                  <c:v>16627.614729026995</c:v>
                </c:pt>
                <c:pt idx="126">
                  <c:v>37553.594986876269</c:v>
                </c:pt>
                <c:pt idx="127">
                  <c:v>25267.980506554595</c:v>
                </c:pt>
                <c:pt idx="128">
                  <c:v>38877.412718246043</c:v>
                </c:pt>
                <c:pt idx="129">
                  <c:v>21575.855977185616</c:v>
                </c:pt>
                <c:pt idx="130">
                  <c:v>24330.513288526759</c:v>
                </c:pt>
                <c:pt idx="131">
                  <c:v>23329.727223229056</c:v>
                </c:pt>
                <c:pt idx="132">
                  <c:v>25967.047768973949</c:v>
                </c:pt>
                <c:pt idx="133">
                  <c:v>13249.747147282797</c:v>
                </c:pt>
                <c:pt idx="134">
                  <c:v>15086.476613802906</c:v>
                </c:pt>
                <c:pt idx="135">
                  <c:v>14315.860081085815</c:v>
                </c:pt>
                <c:pt idx="136">
                  <c:v>15541.068116511235</c:v>
                </c:pt>
                <c:pt idx="137">
                  <c:v>13891.422692522721</c:v>
                </c:pt>
                <c:pt idx="138">
                  <c:v>25267.659794130079</c:v>
                </c:pt>
                <c:pt idx="139">
                  <c:v>17087.41909537898</c:v>
                </c:pt>
                <c:pt idx="140">
                  <c:v>17343.185947995938</c:v>
                </c:pt>
                <c:pt idx="141">
                  <c:v>18228.512660409186</c:v>
                </c:pt>
                <c:pt idx="142">
                  <c:v>41133.575586920138</c:v>
                </c:pt>
                <c:pt idx="143">
                  <c:v>18187.14039904785</c:v>
                </c:pt>
                <c:pt idx="144">
                  <c:v>42413.574679623802</c:v>
                </c:pt>
                <c:pt idx="145">
                  <c:v>21196.861614219502</c:v>
                </c:pt>
                <c:pt idx="146">
                  <c:v>47135.520503988933</c:v>
                </c:pt>
                <c:pt idx="147">
                  <c:v>25523.58748077097</c:v>
                </c:pt>
                <c:pt idx="148">
                  <c:v>26617.600299725593</c:v>
                </c:pt>
                <c:pt idx="149">
                  <c:v>14083.165976078579</c:v>
                </c:pt>
                <c:pt idx="150">
                  <c:v>17351.598661634052</c:v>
                </c:pt>
                <c:pt idx="151">
                  <c:v>21422.480086119642</c:v>
                </c:pt>
                <c:pt idx="152">
                  <c:v>22430.911751885105</c:v>
                </c:pt>
                <c:pt idx="153">
                  <c:v>42749.118360234657</c:v>
                </c:pt>
                <c:pt idx="154">
                  <c:v>19571.285976442952</c:v>
                </c:pt>
                <c:pt idx="155">
                  <c:v>24407.992540391875</c:v>
                </c:pt>
                <c:pt idx="156">
                  <c:v>43480.073192967204</c:v>
                </c:pt>
                <c:pt idx="157">
                  <c:v>37065.495723710766</c:v>
                </c:pt>
                <c:pt idx="158">
                  <c:v>42625.098116911373</c:v>
                </c:pt>
                <c:pt idx="159">
                  <c:v>22859.717027784573</c:v>
                </c:pt>
                <c:pt idx="160">
                  <c:v>43491.749315973029</c:v>
                </c:pt>
                <c:pt idx="161">
                  <c:v>40121.871604624612</c:v>
                </c:pt>
                <c:pt idx="162">
                  <c:v>26872.104995327165</c:v>
                </c:pt>
                <c:pt idx="163">
                  <c:v>18503.984298663519</c:v>
                </c:pt>
                <c:pt idx="164">
                  <c:v>19258.766750955343</c:v>
                </c:pt>
                <c:pt idx="165">
                  <c:v>23598.945684954546</c:v>
                </c:pt>
                <c:pt idx="166">
                  <c:v>19290.402569660786</c:v>
                </c:pt>
                <c:pt idx="167">
                  <c:v>20724.56597255321</c:v>
                </c:pt>
                <c:pt idx="168">
                  <c:v>15983.305005967</c:v>
                </c:pt>
                <c:pt idx="169">
                  <c:v>14828.427035941533</c:v>
                </c:pt>
                <c:pt idx="170">
                  <c:v>29267.632323179445</c:v>
                </c:pt>
                <c:pt idx="171">
                  <c:v>21957.823568910484</c:v>
                </c:pt>
                <c:pt idx="172">
                  <c:v>0</c:v>
                </c:pt>
                <c:pt idx="173">
                  <c:v>20495.020079180627</c:v>
                </c:pt>
                <c:pt idx="174">
                  <c:v>17307.660272993089</c:v>
                </c:pt>
                <c:pt idx="175">
                  <c:v>52043.692962461471</c:v>
                </c:pt>
                <c:pt idx="176">
                  <c:v>19854.380010023386</c:v>
                </c:pt>
                <c:pt idx="177">
                  <c:v>23344.49307777443</c:v>
                </c:pt>
                <c:pt idx="178">
                  <c:v>21794.699125936633</c:v>
                </c:pt>
                <c:pt idx="179">
                  <c:v>23389.237044813985</c:v>
                </c:pt>
                <c:pt idx="180">
                  <c:v>24298.292995216318</c:v>
                </c:pt>
                <c:pt idx="181">
                  <c:v>16758.383701375315</c:v>
                </c:pt>
                <c:pt idx="182">
                  <c:v>13898.602432278121</c:v>
                </c:pt>
                <c:pt idx="183">
                  <c:v>20092.480722948872</c:v>
                </c:pt>
                <c:pt idx="184">
                  <c:v>21681.857285343249</c:v>
                </c:pt>
                <c:pt idx="185">
                  <c:v>48786.726249203668</c:v>
                </c:pt>
                <c:pt idx="186">
                  <c:v>16928.578339785745</c:v>
                </c:pt>
                <c:pt idx="187">
                  <c:v>18838.884937709881</c:v>
                </c:pt>
                <c:pt idx="188">
                  <c:v>21154.255215016536</c:v>
                </c:pt>
                <c:pt idx="189">
                  <c:v>19124.0392107687</c:v>
                </c:pt>
                <c:pt idx="190">
                  <c:v>25395.90442735744</c:v>
                </c:pt>
                <c:pt idx="191">
                  <c:v>17359.312185515621</c:v>
                </c:pt>
                <c:pt idx="192">
                  <c:v>14171.577901461713</c:v>
                </c:pt>
                <c:pt idx="193">
                  <c:v>23714.704254732242</c:v>
                </c:pt>
                <c:pt idx="194">
                  <c:v>15321.174545578477</c:v>
                </c:pt>
                <c:pt idx="195">
                  <c:v>14957.586186213375</c:v>
                </c:pt>
                <c:pt idx="196">
                  <c:v>20368.558036959206</c:v>
                </c:pt>
                <c:pt idx="197">
                  <c:v>21361.113679229049</c:v>
                </c:pt>
                <c:pt idx="198">
                  <c:v>19054.81791852368</c:v>
                </c:pt>
                <c:pt idx="199">
                  <c:v>29964.951093772521</c:v>
                </c:pt>
                <c:pt idx="200">
                  <c:v>15604.474595096957</c:v>
                </c:pt>
                <c:pt idx="201">
                  <c:v>22887.454428299308</c:v>
                </c:pt>
                <c:pt idx="202">
                  <c:v>23396.597911220691</c:v>
                </c:pt>
                <c:pt idx="203">
                  <c:v>42172.399818180398</c:v>
                </c:pt>
                <c:pt idx="204">
                  <c:v>18473.706882411716</c:v>
                </c:pt>
                <c:pt idx="205">
                  <c:v>17649.051357343851</c:v>
                </c:pt>
                <c:pt idx="206">
                  <c:v>23128.561567114695</c:v>
                </c:pt>
                <c:pt idx="207">
                  <c:v>43253.086015655746</c:v>
                </c:pt>
                <c:pt idx="208">
                  <c:v>26193.917044244714</c:v>
                </c:pt>
                <c:pt idx="209">
                  <c:v>24789.052380490793</c:v>
                </c:pt>
                <c:pt idx="210">
                  <c:v>15900.312215225791</c:v>
                </c:pt>
                <c:pt idx="211">
                  <c:v>22350.241904373303</c:v>
                </c:pt>
                <c:pt idx="212">
                  <c:v>16483.954721151727</c:v>
                </c:pt>
                <c:pt idx="213">
                  <c:v>17425.901497916821</c:v>
                </c:pt>
                <c:pt idx="214">
                  <c:v>22216.229680620963</c:v>
                </c:pt>
                <c:pt idx="215">
                  <c:v>23291.803682858779</c:v>
                </c:pt>
                <c:pt idx="216">
                  <c:v>22468.634651971064</c:v>
                </c:pt>
                <c:pt idx="217">
                  <c:v>13789.819889003791</c:v>
                </c:pt>
                <c:pt idx="218">
                  <c:v>16453.077794636614</c:v>
                </c:pt>
                <c:pt idx="219">
                  <c:v>13187.876470684047</c:v>
                </c:pt>
                <c:pt idx="220">
                  <c:v>19865.050927671364</c:v>
                </c:pt>
                <c:pt idx="221">
                  <c:v>25077.235017907791</c:v>
                </c:pt>
                <c:pt idx="222">
                  <c:v>19187.363938028386</c:v>
                </c:pt>
                <c:pt idx="223">
                  <c:v>39627.038075951612</c:v>
                </c:pt>
                <c:pt idx="224">
                  <c:v>42013.557637537495</c:v>
                </c:pt>
                <c:pt idx="225">
                  <c:v>26064.804825421787</c:v>
                </c:pt>
                <c:pt idx="226">
                  <c:v>19121.010307559307</c:v>
                </c:pt>
                <c:pt idx="227">
                  <c:v>28263.910039476585</c:v>
                </c:pt>
                <c:pt idx="228">
                  <c:v>21922.661905027242</c:v>
                </c:pt>
                <c:pt idx="229">
                  <c:v>21713.466629958421</c:v>
                </c:pt>
                <c:pt idx="230">
                  <c:v>23373.276506605376</c:v>
                </c:pt>
                <c:pt idx="231">
                  <c:v>25171.424200620699</c:v>
                </c:pt>
                <c:pt idx="232">
                  <c:v>0</c:v>
                </c:pt>
                <c:pt idx="233">
                  <c:v>24052.145969322744</c:v>
                </c:pt>
                <c:pt idx="234">
                  <c:v>18983.418129304693</c:v>
                </c:pt>
                <c:pt idx="235">
                  <c:v>41761.312224417939</c:v>
                </c:pt>
                <c:pt idx="236">
                  <c:v>12840.699312170114</c:v>
                </c:pt>
                <c:pt idx="237">
                  <c:v>20954.514295161192</c:v>
                </c:pt>
                <c:pt idx="238">
                  <c:v>38290.546678637693</c:v>
                </c:pt>
                <c:pt idx="239">
                  <c:v>23706.212493306004</c:v>
                </c:pt>
                <c:pt idx="240">
                  <c:v>43331.121685347476</c:v>
                </c:pt>
                <c:pt idx="241">
                  <c:v>16645.47327542548</c:v>
                </c:pt>
                <c:pt idx="242">
                  <c:v>22918.599501040873</c:v>
                </c:pt>
                <c:pt idx="243">
                  <c:v>22768.585299575949</c:v>
                </c:pt>
                <c:pt idx="244">
                  <c:v>49625.377155798335</c:v>
                </c:pt>
                <c:pt idx="245">
                  <c:v>23754.218256462373</c:v>
                </c:pt>
                <c:pt idx="246">
                  <c:v>27471.72794814955</c:v>
                </c:pt>
                <c:pt idx="247">
                  <c:v>17347.359299466065</c:v>
                </c:pt>
                <c:pt idx="248">
                  <c:v>0</c:v>
                </c:pt>
                <c:pt idx="249">
                  <c:v>17806.816728579128</c:v>
                </c:pt>
                <c:pt idx="250">
                  <c:v>35341.956432287552</c:v>
                </c:pt>
                <c:pt idx="251">
                  <c:v>51129.130057900111</c:v>
                </c:pt>
                <c:pt idx="252">
                  <c:v>49292.916309339678</c:v>
                </c:pt>
                <c:pt idx="253">
                  <c:v>17733.485448536223</c:v>
                </c:pt>
                <c:pt idx="254">
                  <c:v>47540.535471417985</c:v>
                </c:pt>
                <c:pt idx="255">
                  <c:v>24342.908976708408</c:v>
                </c:pt>
                <c:pt idx="256">
                  <c:v>49340.953870984995</c:v>
                </c:pt>
                <c:pt idx="257">
                  <c:v>22529.802510374546</c:v>
                </c:pt>
                <c:pt idx="258">
                  <c:v>22984.472071958102</c:v>
                </c:pt>
                <c:pt idx="259">
                  <c:v>39257.24802142859</c:v>
                </c:pt>
                <c:pt idx="260">
                  <c:v>22670.958487726435</c:v>
                </c:pt>
                <c:pt idx="261">
                  <c:v>37715.758384203931</c:v>
                </c:pt>
                <c:pt idx="262">
                  <c:v>46935.102942590725</c:v>
                </c:pt>
                <c:pt idx="263">
                  <c:v>40965.087060359168</c:v>
                </c:pt>
                <c:pt idx="264">
                  <c:v>27100.235115835509</c:v>
                </c:pt>
                <c:pt idx="265">
                  <c:v>50474.600746582269</c:v>
                </c:pt>
                <c:pt idx="266">
                  <c:v>40333.649162135473</c:v>
                </c:pt>
                <c:pt idx="267">
                  <c:v>27754.864365742011</c:v>
                </c:pt>
                <c:pt idx="268">
                  <c:v>21371.979358549135</c:v>
                </c:pt>
                <c:pt idx="269">
                  <c:v>21880.5723022561</c:v>
                </c:pt>
                <c:pt idx="270">
                  <c:v>14080.356215456759</c:v>
                </c:pt>
                <c:pt idx="271">
                  <c:v>48337.070022741165</c:v>
                </c:pt>
                <c:pt idx="272">
                  <c:v>23750.616742659324</c:v>
                </c:pt>
                <c:pt idx="273">
                  <c:v>22685.226082374953</c:v>
                </c:pt>
                <c:pt idx="274">
                  <c:v>15467.576202460508</c:v>
                </c:pt>
                <c:pt idx="275">
                  <c:v>22231.46152646988</c:v>
                </c:pt>
                <c:pt idx="276">
                  <c:v>12525.13257674351</c:v>
                </c:pt>
                <c:pt idx="277">
                  <c:v>13118.855688132151</c:v>
                </c:pt>
                <c:pt idx="278">
                  <c:v>25907.815372375386</c:v>
                </c:pt>
                <c:pt idx="279">
                  <c:v>20038.829335883689</c:v>
                </c:pt>
                <c:pt idx="280">
                  <c:v>44322.07510496059</c:v>
                </c:pt>
                <c:pt idx="281">
                  <c:v>52959.013301573519</c:v>
                </c:pt>
                <c:pt idx="282">
                  <c:v>17612.545787814051</c:v>
                </c:pt>
                <c:pt idx="283">
                  <c:v>25776.437865294349</c:v>
                </c:pt>
                <c:pt idx="284">
                  <c:v>23164.981094167386</c:v>
                </c:pt>
                <c:pt idx="285">
                  <c:v>20339.552089072691</c:v>
                </c:pt>
                <c:pt idx="286">
                  <c:v>29257.088622957264</c:v>
                </c:pt>
                <c:pt idx="287">
                  <c:v>24908.30466497242</c:v>
                </c:pt>
                <c:pt idx="288">
                  <c:v>52134.673209635905</c:v>
                </c:pt>
                <c:pt idx="289">
                  <c:v>22757.068734800661</c:v>
                </c:pt>
                <c:pt idx="290">
                  <c:v>17746.654231214881</c:v>
                </c:pt>
                <c:pt idx="291">
                  <c:v>18032.380375230336</c:v>
                </c:pt>
                <c:pt idx="292">
                  <c:v>45687.143915167406</c:v>
                </c:pt>
                <c:pt idx="293">
                  <c:v>14577.039040366162</c:v>
                </c:pt>
                <c:pt idx="294">
                  <c:v>16032.59565582359</c:v>
                </c:pt>
                <c:pt idx="295">
                  <c:v>12475.823485658284</c:v>
                </c:pt>
                <c:pt idx="296">
                  <c:v>37218.764555314658</c:v>
                </c:pt>
                <c:pt idx="297">
                  <c:v>44034.51890465372</c:v>
                </c:pt>
                <c:pt idx="298">
                  <c:v>44603.833717742935</c:v>
                </c:pt>
                <c:pt idx="299">
                  <c:v>22433.214508666169</c:v>
                </c:pt>
                <c:pt idx="300">
                  <c:v>20072.461615243374</c:v>
                </c:pt>
                <c:pt idx="301">
                  <c:v>46743.252848848642</c:v>
                </c:pt>
                <c:pt idx="302">
                  <c:v>27208.747228812455</c:v>
                </c:pt>
                <c:pt idx="303">
                  <c:v>18487.006881981826</c:v>
                </c:pt>
                <c:pt idx="304">
                  <c:v>27706.779431706105</c:v>
                </c:pt>
                <c:pt idx="305">
                  <c:v>19411.62876658298</c:v>
                </c:pt>
                <c:pt idx="306">
                  <c:v>16696.413945209191</c:v>
                </c:pt>
                <c:pt idx="307">
                  <c:v>18637.152881598966</c:v>
                </c:pt>
                <c:pt idx="308">
                  <c:v>26777.999848780928</c:v>
                </c:pt>
                <c:pt idx="309">
                  <c:v>22528.54922214718</c:v>
                </c:pt>
                <c:pt idx="310">
                  <c:v>20959.664143087721</c:v>
                </c:pt>
                <c:pt idx="311">
                  <c:v>12483.964011964445</c:v>
                </c:pt>
                <c:pt idx="312">
                  <c:v>47539.977454933061</c:v>
                </c:pt>
                <c:pt idx="313">
                  <c:v>23768.768112899765</c:v>
                </c:pt>
                <c:pt idx="314">
                  <c:v>40659.94551336865</c:v>
                </c:pt>
                <c:pt idx="315">
                  <c:v>24689.064305975335</c:v>
                </c:pt>
                <c:pt idx="316">
                  <c:v>23467.930542452668</c:v>
                </c:pt>
                <c:pt idx="317">
                  <c:v>25041.660120584878</c:v>
                </c:pt>
                <c:pt idx="318">
                  <c:v>20511.384638158255</c:v>
                </c:pt>
                <c:pt idx="319">
                  <c:v>21413.043058377792</c:v>
                </c:pt>
                <c:pt idx="320">
                  <c:v>17481.422846213063</c:v>
                </c:pt>
                <c:pt idx="321">
                  <c:v>18819.627312460791</c:v>
                </c:pt>
                <c:pt idx="322">
                  <c:v>42123.109549568479</c:v>
                </c:pt>
                <c:pt idx="323">
                  <c:v>28583.439694197485</c:v>
                </c:pt>
                <c:pt idx="324">
                  <c:v>15769.196811969918</c:v>
                </c:pt>
                <c:pt idx="325">
                  <c:v>22372.299023513558</c:v>
                </c:pt>
                <c:pt idx="326">
                  <c:v>14433.946073445222</c:v>
                </c:pt>
                <c:pt idx="327">
                  <c:v>48433.236426163327</c:v>
                </c:pt>
                <c:pt idx="328">
                  <c:v>51453.195391065674</c:v>
                </c:pt>
                <c:pt idx="329">
                  <c:v>24899.230729631905</c:v>
                </c:pt>
                <c:pt idx="330">
                  <c:v>52519.492402338481</c:v>
                </c:pt>
                <c:pt idx="331">
                  <c:v>46186.785506695633</c:v>
                </c:pt>
                <c:pt idx="332">
                  <c:v>26070.20762073528</c:v>
                </c:pt>
                <c:pt idx="333">
                  <c:v>24333.305305147434</c:v>
                </c:pt>
                <c:pt idx="334">
                  <c:v>24297.480413251345</c:v>
                </c:pt>
                <c:pt idx="335">
                  <c:v>27235.281362136229</c:v>
                </c:pt>
                <c:pt idx="336">
                  <c:v>23161.550240268894</c:v>
                </c:pt>
                <c:pt idx="337">
                  <c:v>25446.761791491517</c:v>
                </c:pt>
                <c:pt idx="338">
                  <c:v>48177.152907032265</c:v>
                </c:pt>
                <c:pt idx="339">
                  <c:v>20843.979247439725</c:v>
                </c:pt>
                <c:pt idx="340">
                  <c:v>14751.906790122621</c:v>
                </c:pt>
                <c:pt idx="341">
                  <c:v>25809.06907676116</c:v>
                </c:pt>
                <c:pt idx="342">
                  <c:v>24941.826800087438</c:v>
                </c:pt>
                <c:pt idx="343">
                  <c:v>28706.749173328266</c:v>
                </c:pt>
                <c:pt idx="344">
                  <c:v>27704.959927648211</c:v>
                </c:pt>
                <c:pt idx="345">
                  <c:v>19235.062025850508</c:v>
                </c:pt>
                <c:pt idx="346">
                  <c:v>20572.756282703267</c:v>
                </c:pt>
                <c:pt idx="347">
                  <c:v>23655.650113993412</c:v>
                </c:pt>
                <c:pt idx="348">
                  <c:v>19021.641320010094</c:v>
                </c:pt>
                <c:pt idx="349">
                  <c:v>14023.108221515511</c:v>
                </c:pt>
                <c:pt idx="350">
                  <c:v>22336.018450771378</c:v>
                </c:pt>
                <c:pt idx="351">
                  <c:v>20751.785048871985</c:v>
                </c:pt>
                <c:pt idx="352">
                  <c:v>16326.96425070779</c:v>
                </c:pt>
                <c:pt idx="353">
                  <c:v>20485.484547719345</c:v>
                </c:pt>
                <c:pt idx="354">
                  <c:v>16758.383701375315</c:v>
                </c:pt>
                <c:pt idx="355">
                  <c:v>20271.432186549173</c:v>
                </c:pt>
                <c:pt idx="356">
                  <c:v>27148.424123230165</c:v>
                </c:pt>
                <c:pt idx="357">
                  <c:v>23318.27866796228</c:v>
                </c:pt>
                <c:pt idx="358">
                  <c:v>19142.623341274302</c:v>
                </c:pt>
                <c:pt idx="359">
                  <c:v>0</c:v>
                </c:pt>
                <c:pt idx="360">
                  <c:v>24421.720564589014</c:v>
                </c:pt>
                <c:pt idx="361">
                  <c:v>18905.173869258913</c:v>
                </c:pt>
                <c:pt idx="362">
                  <c:v>35314.918193044723</c:v>
                </c:pt>
                <c:pt idx="363">
                  <c:v>14049.8061333267</c:v>
                </c:pt>
                <c:pt idx="364">
                  <c:v>12920.573144603957</c:v>
                </c:pt>
                <c:pt idx="365">
                  <c:v>23687.502322488755</c:v>
                </c:pt>
                <c:pt idx="366">
                  <c:v>26952.071930036931</c:v>
                </c:pt>
                <c:pt idx="367">
                  <c:v>20046.418436776992</c:v>
                </c:pt>
                <c:pt idx="368">
                  <c:v>22813.346761340785</c:v>
                </c:pt>
                <c:pt idx="369">
                  <c:v>16415.748612362004</c:v>
                </c:pt>
                <c:pt idx="370">
                  <c:v>22654.529542874116</c:v>
                </c:pt>
                <c:pt idx="371">
                  <c:v>22366.748569265728</c:v>
                </c:pt>
                <c:pt idx="372">
                  <c:v>22695.092307053063</c:v>
                </c:pt>
                <c:pt idx="373">
                  <c:v>41731.566072150723</c:v>
                </c:pt>
                <c:pt idx="374">
                  <c:v>15461.774451681247</c:v>
                </c:pt>
                <c:pt idx="375">
                  <c:v>39191.499423437948</c:v>
                </c:pt>
                <c:pt idx="376">
                  <c:v>43920.624987558491</c:v>
                </c:pt>
                <c:pt idx="377">
                  <c:v>42651.033757369369</c:v>
                </c:pt>
                <c:pt idx="378">
                  <c:v>27912.821154771387</c:v>
                </c:pt>
                <c:pt idx="379">
                  <c:v>26090.950045146725</c:v>
                </c:pt>
                <c:pt idx="380">
                  <c:v>38010.541611170003</c:v>
                </c:pt>
                <c:pt idx="381">
                  <c:v>48438.136696988367</c:v>
                </c:pt>
                <c:pt idx="382">
                  <c:v>24339.812950796848</c:v>
                </c:pt>
                <c:pt idx="383">
                  <c:v>23792.261660079348</c:v>
                </c:pt>
                <c:pt idx="384">
                  <c:v>19815.079339090327</c:v>
                </c:pt>
                <c:pt idx="385">
                  <c:v>15642.826152594485</c:v>
                </c:pt>
                <c:pt idx="386">
                  <c:v>27293.816762149581</c:v>
                </c:pt>
                <c:pt idx="387">
                  <c:v>22098.848410052786</c:v>
                </c:pt>
                <c:pt idx="388">
                  <c:v>14180.131253555415</c:v>
                </c:pt>
                <c:pt idx="389">
                  <c:v>17670.7904313705</c:v>
                </c:pt>
                <c:pt idx="390">
                  <c:v>26369.225528748218</c:v>
                </c:pt>
                <c:pt idx="391">
                  <c:v>17408.983768306629</c:v>
                </c:pt>
                <c:pt idx="392">
                  <c:v>23524.895257207514</c:v>
                </c:pt>
                <c:pt idx="393">
                  <c:v>23749.528231651828</c:v>
                </c:pt>
                <c:pt idx="394">
                  <c:v>23908.00785951432</c:v>
                </c:pt>
                <c:pt idx="395">
                  <c:v>18251.465980209403</c:v>
                </c:pt>
                <c:pt idx="396">
                  <c:v>23365.194608333339</c:v>
                </c:pt>
                <c:pt idx="397">
                  <c:v>14935.093926377556</c:v>
                </c:pt>
                <c:pt idx="398">
                  <c:v>25167.460715298017</c:v>
                </c:pt>
                <c:pt idx="399">
                  <c:v>16721.072421478122</c:v>
                </c:pt>
                <c:pt idx="400">
                  <c:v>19312.674133355133</c:v>
                </c:pt>
                <c:pt idx="401">
                  <c:v>27685.5516220766</c:v>
                </c:pt>
                <c:pt idx="402">
                  <c:v>27453.020862114885</c:v>
                </c:pt>
                <c:pt idx="403">
                  <c:v>24669.799203455746</c:v>
                </c:pt>
                <c:pt idx="404">
                  <c:v>13976.3940324909</c:v>
                </c:pt>
                <c:pt idx="405">
                  <c:v>27511.442172692317</c:v>
                </c:pt>
                <c:pt idx="406">
                  <c:v>15872.696442492101</c:v>
                </c:pt>
                <c:pt idx="407">
                  <c:v>19778.329629187399</c:v>
                </c:pt>
                <c:pt idx="408">
                  <c:v>17370.138364212558</c:v>
                </c:pt>
                <c:pt idx="409">
                  <c:v>17900.212830362783</c:v>
                </c:pt>
                <c:pt idx="410">
                  <c:v>0</c:v>
                </c:pt>
                <c:pt idx="411">
                  <c:v>42674.9601333885</c:v>
                </c:pt>
                <c:pt idx="412">
                  <c:v>37495.898233888416</c:v>
                </c:pt>
                <c:pt idx="413">
                  <c:v>15999.935730650415</c:v>
                </c:pt>
                <c:pt idx="414">
                  <c:v>16635.622694073914</c:v>
                </c:pt>
                <c:pt idx="415">
                  <c:v>22759.822342425534</c:v>
                </c:pt>
                <c:pt idx="416">
                  <c:v>23942.356692156733</c:v>
                </c:pt>
                <c:pt idx="417">
                  <c:v>40937.751384727657</c:v>
                </c:pt>
                <c:pt idx="418">
                  <c:v>29216.452343024888</c:v>
                </c:pt>
                <c:pt idx="419">
                  <c:v>49014.626231629452</c:v>
                </c:pt>
                <c:pt idx="420">
                  <c:v>50798.544904723312</c:v>
                </c:pt>
                <c:pt idx="421">
                  <c:v>50699.578885260737</c:v>
                </c:pt>
                <c:pt idx="422">
                  <c:v>45769.706272123934</c:v>
                </c:pt>
                <c:pt idx="423">
                  <c:v>16851.688200862103</c:v>
                </c:pt>
                <c:pt idx="424">
                  <c:v>22618.048961310313</c:v>
                </c:pt>
                <c:pt idx="425">
                  <c:v>21201.161039290833</c:v>
                </c:pt>
                <c:pt idx="426">
                  <c:v>19669.817455135824</c:v>
                </c:pt>
                <c:pt idx="427">
                  <c:v>14701.657421100328</c:v>
                </c:pt>
                <c:pt idx="428">
                  <c:v>0</c:v>
                </c:pt>
                <c:pt idx="429">
                  <c:v>18505.806245168606</c:v>
                </c:pt>
                <c:pt idx="430">
                  <c:v>15201.874662900394</c:v>
                </c:pt>
                <c:pt idx="431">
                  <c:v>15096.116949139976</c:v>
                </c:pt>
                <c:pt idx="432">
                  <c:v>19006.571358872192</c:v>
                </c:pt>
                <c:pt idx="433">
                  <c:v>24982.396496938585</c:v>
                </c:pt>
                <c:pt idx="434">
                  <c:v>17838.672021857063</c:v>
                </c:pt>
                <c:pt idx="435">
                  <c:v>27087.907628828179</c:v>
                </c:pt>
                <c:pt idx="436">
                  <c:v>16467.799680366421</c:v>
                </c:pt>
                <c:pt idx="437">
                  <c:v>19313.465433779835</c:v>
                </c:pt>
                <c:pt idx="438">
                  <c:v>30741.970965474626</c:v>
                </c:pt>
                <c:pt idx="439">
                  <c:v>16721.864016283092</c:v>
                </c:pt>
                <c:pt idx="440">
                  <c:v>19355.591639252445</c:v>
                </c:pt>
                <c:pt idx="441">
                  <c:v>42913.389881175506</c:v>
                </c:pt>
                <c:pt idx="442">
                  <c:v>18231.454377559487</c:v>
                </c:pt>
                <c:pt idx="443">
                  <c:v>27168.01422220064</c:v>
                </c:pt>
                <c:pt idx="444">
                  <c:v>47464.147815342956</c:v>
                </c:pt>
                <c:pt idx="445">
                  <c:v>22011.454188266543</c:v>
                </c:pt>
                <c:pt idx="446">
                  <c:v>25519.426758738984</c:v>
                </c:pt>
                <c:pt idx="447">
                  <c:v>22916.969928652805</c:v>
                </c:pt>
                <c:pt idx="448">
                  <c:v>19539.995337941866</c:v>
                </c:pt>
                <c:pt idx="449">
                  <c:v>21652.640843506713</c:v>
                </c:pt>
                <c:pt idx="450">
                  <c:v>21053.826806605946</c:v>
                </c:pt>
                <c:pt idx="451">
                  <c:v>16067.316898947307</c:v>
                </c:pt>
                <c:pt idx="452">
                  <c:v>13195.979925561986</c:v>
                </c:pt>
                <c:pt idx="453">
                  <c:v>14924.432135913454</c:v>
                </c:pt>
                <c:pt idx="454">
                  <c:v>23972.405360090779</c:v>
                </c:pt>
                <c:pt idx="455">
                  <c:v>26934.660614920926</c:v>
                </c:pt>
                <c:pt idx="456">
                  <c:v>24452.035123163216</c:v>
                </c:pt>
                <c:pt idx="457">
                  <c:v>24817.218563934679</c:v>
                </c:pt>
                <c:pt idx="458">
                  <c:v>26910.317155252727</c:v>
                </c:pt>
                <c:pt idx="459">
                  <c:v>22044.783657579137</c:v>
                </c:pt>
                <c:pt idx="460">
                  <c:v>25587.763067022614</c:v>
                </c:pt>
                <c:pt idx="461">
                  <c:v>43906.605606978585</c:v>
                </c:pt>
                <c:pt idx="462">
                  <c:v>29983.335563786706</c:v>
                </c:pt>
                <c:pt idx="463">
                  <c:v>23235.289602961428</c:v>
                </c:pt>
                <c:pt idx="464">
                  <c:v>13120.853634910678</c:v>
                </c:pt>
                <c:pt idx="465">
                  <c:v>40806.679828138105</c:v>
                </c:pt>
                <c:pt idx="466">
                  <c:v>24847.348825588204</c:v>
                </c:pt>
                <c:pt idx="467">
                  <c:v>26639.181534951633</c:v>
                </c:pt>
                <c:pt idx="468">
                  <c:v>16102.32920887842</c:v>
                </c:pt>
                <c:pt idx="469">
                  <c:v>12420.729139786628</c:v>
                </c:pt>
                <c:pt idx="470">
                  <c:v>17035.901240059531</c:v>
                </c:pt>
                <c:pt idx="471">
                  <c:v>15023.891202030625</c:v>
                </c:pt>
                <c:pt idx="472">
                  <c:v>14213.850625379728</c:v>
                </c:pt>
                <c:pt idx="473">
                  <c:v>23568.32028077673</c:v>
                </c:pt>
                <c:pt idx="474">
                  <c:v>46753.335550181044</c:v>
                </c:pt>
                <c:pt idx="475">
                  <c:v>49296.227005611203</c:v>
                </c:pt>
                <c:pt idx="476">
                  <c:v>39734.452072190892</c:v>
                </c:pt>
                <c:pt idx="477">
                  <c:v>18206.56334036804</c:v>
                </c:pt>
                <c:pt idx="478">
                  <c:v>16912.591760928757</c:v>
                </c:pt>
                <c:pt idx="479">
                  <c:v>15971.164550012943</c:v>
                </c:pt>
                <c:pt idx="480">
                  <c:v>31327.009057816453</c:v>
                </c:pt>
                <c:pt idx="481">
                  <c:v>25279.438401655912</c:v>
                </c:pt>
                <c:pt idx="482">
                  <c:v>14407.773067852195</c:v>
                </c:pt>
                <c:pt idx="483">
                  <c:v>26198.930951749149</c:v>
                </c:pt>
                <c:pt idx="484">
                  <c:v>24484.24266626389</c:v>
                </c:pt>
                <c:pt idx="485">
                  <c:v>18685.257565946449</c:v>
                </c:pt>
                <c:pt idx="486">
                  <c:v>22411.930222932198</c:v>
                </c:pt>
                <c:pt idx="487">
                  <c:v>13709.423467012697</c:v>
                </c:pt>
                <c:pt idx="488">
                  <c:v>47210.560849464775</c:v>
                </c:pt>
                <c:pt idx="489">
                  <c:v>24359.542986190521</c:v>
                </c:pt>
                <c:pt idx="490">
                  <c:v>15265.350331573332</c:v>
                </c:pt>
                <c:pt idx="491">
                  <c:v>23325.853272818189</c:v>
                </c:pt>
                <c:pt idx="492">
                  <c:v>13316.052163100047</c:v>
                </c:pt>
                <c:pt idx="493">
                  <c:v>29483.534041660663</c:v>
                </c:pt>
                <c:pt idx="494">
                  <c:v>38956.092533764204</c:v>
                </c:pt>
                <c:pt idx="495">
                  <c:v>14665.15185157053</c:v>
                </c:pt>
                <c:pt idx="496">
                  <c:v>16144.128533738962</c:v>
                </c:pt>
                <c:pt idx="497">
                  <c:v>21338.689723282005</c:v>
                </c:pt>
                <c:pt idx="498">
                  <c:v>19537.183571009613</c:v>
                </c:pt>
                <c:pt idx="499">
                  <c:v>28447.092248427587</c:v>
                </c:pt>
                <c:pt idx="500">
                  <c:v>42059.924219880762</c:v>
                </c:pt>
                <c:pt idx="501">
                  <c:v>19928.380398068941</c:v>
                </c:pt>
                <c:pt idx="502">
                  <c:v>44315.718716859265</c:v>
                </c:pt>
                <c:pt idx="503">
                  <c:v>38008.73680393531</c:v>
                </c:pt>
                <c:pt idx="504">
                  <c:v>19199.552506010055</c:v>
                </c:pt>
                <c:pt idx="505">
                  <c:v>21104.172301612125</c:v>
                </c:pt>
                <c:pt idx="506">
                  <c:v>16461.442813718793</c:v>
                </c:pt>
                <c:pt idx="507">
                  <c:v>14102.216758888191</c:v>
                </c:pt>
                <c:pt idx="508">
                  <c:v>14921.637034510195</c:v>
                </c:pt>
                <c:pt idx="509">
                  <c:v>23601.279222827026</c:v>
                </c:pt>
                <c:pt idx="510">
                  <c:v>25805.309724157501</c:v>
                </c:pt>
                <c:pt idx="511">
                  <c:v>17371.702759134263</c:v>
                </c:pt>
                <c:pt idx="512">
                  <c:v>20758.74285083259</c:v>
                </c:pt>
                <c:pt idx="513">
                  <c:v>14286.052338151125</c:v>
                </c:pt>
                <c:pt idx="514">
                  <c:v>43034.90822337725</c:v>
                </c:pt>
                <c:pt idx="515">
                  <c:v>26101.175391245153</c:v>
                </c:pt>
                <c:pt idx="516">
                  <c:v>16608.878034979847</c:v>
                </c:pt>
                <c:pt idx="517">
                  <c:v>22554.629064389657</c:v>
                </c:pt>
                <c:pt idx="518">
                  <c:v>19206.084955459439</c:v>
                </c:pt>
                <c:pt idx="519">
                  <c:v>18489.496450365281</c:v>
                </c:pt>
                <c:pt idx="520">
                  <c:v>22308.816518527899</c:v>
                </c:pt>
                <c:pt idx="521">
                  <c:v>22369.181751346579</c:v>
                </c:pt>
                <c:pt idx="522">
                  <c:v>24789.085959484299</c:v>
                </c:pt>
                <c:pt idx="523">
                  <c:v>21708.954352636312</c:v>
                </c:pt>
                <c:pt idx="524">
                  <c:v>42974.104821350134</c:v>
                </c:pt>
                <c:pt idx="525">
                  <c:v>15265.932505487621</c:v>
                </c:pt>
                <c:pt idx="526">
                  <c:v>16039.901635906745</c:v>
                </c:pt>
                <c:pt idx="527">
                  <c:v>21551.980637280642</c:v>
                </c:pt>
                <c:pt idx="528">
                  <c:v>25717.946311947315</c:v>
                </c:pt>
                <c:pt idx="529">
                  <c:v>13313.631316077061</c:v>
                </c:pt>
                <c:pt idx="530">
                  <c:v>52274.39697440045</c:v>
                </c:pt>
                <c:pt idx="531">
                  <c:v>26873.368141255443</c:v>
                </c:pt>
                <c:pt idx="532">
                  <c:v>25198.90105432873</c:v>
                </c:pt>
                <c:pt idx="533">
                  <c:v>20798.425722143169</c:v>
                </c:pt>
                <c:pt idx="534">
                  <c:v>29188.687156642067</c:v>
                </c:pt>
                <c:pt idx="535">
                  <c:v>19796.290120484962</c:v>
                </c:pt>
                <c:pt idx="536">
                  <c:v>22323.001624208642</c:v>
                </c:pt>
                <c:pt idx="537">
                  <c:v>22235.650615630722</c:v>
                </c:pt>
                <c:pt idx="538">
                  <c:v>20955.913087131303</c:v>
                </c:pt>
                <c:pt idx="539">
                  <c:v>23266.431047264268</c:v>
                </c:pt>
                <c:pt idx="540">
                  <c:v>22274.583868496236</c:v>
                </c:pt>
                <c:pt idx="541">
                  <c:v>16021.731982813924</c:v>
                </c:pt>
                <c:pt idx="542">
                  <c:v>27645.31652740651</c:v>
                </c:pt>
                <c:pt idx="543">
                  <c:v>52950.583166099605</c:v>
                </c:pt>
                <c:pt idx="544">
                  <c:v>23818.665012648431</c:v>
                </c:pt>
                <c:pt idx="545">
                  <c:v>45851.64348989338</c:v>
                </c:pt>
                <c:pt idx="546">
                  <c:v>19265.64954121867</c:v>
                </c:pt>
                <c:pt idx="547">
                  <c:v>29887.193420508367</c:v>
                </c:pt>
                <c:pt idx="548">
                  <c:v>16306.311620303584</c:v>
                </c:pt>
                <c:pt idx="549">
                  <c:v>49714.739209319669</c:v>
                </c:pt>
                <c:pt idx="550">
                  <c:v>25723.409231238773</c:v>
                </c:pt>
                <c:pt idx="551">
                  <c:v>17182.913845636831</c:v>
                </c:pt>
                <c:pt idx="552">
                  <c:v>22278.13441475953</c:v>
                </c:pt>
                <c:pt idx="553">
                  <c:v>24902.84180675559</c:v>
                </c:pt>
                <c:pt idx="554">
                  <c:v>20624.244284769578</c:v>
                </c:pt>
                <c:pt idx="555">
                  <c:v>15310.083807453979</c:v>
                </c:pt>
                <c:pt idx="556">
                  <c:v>23687.873492086437</c:v>
                </c:pt>
                <c:pt idx="557">
                  <c:v>19356.253626381658</c:v>
                </c:pt>
                <c:pt idx="558">
                  <c:v>45665.903353008347</c:v>
                </c:pt>
                <c:pt idx="559">
                  <c:v>16633.201847050928</c:v>
                </c:pt>
                <c:pt idx="560">
                  <c:v>19366.0048079958</c:v>
                </c:pt>
                <c:pt idx="561">
                  <c:v>25140.751101886955</c:v>
                </c:pt>
                <c:pt idx="562">
                  <c:v>16374.822503810994</c:v>
                </c:pt>
                <c:pt idx="563">
                  <c:v>27523.338682258829</c:v>
                </c:pt>
                <c:pt idx="564">
                  <c:v>15619.953117430809</c:v>
                </c:pt>
                <c:pt idx="565">
                  <c:v>15056.677167515452</c:v>
                </c:pt>
                <c:pt idx="566">
                  <c:v>23828.126488735354</c:v>
                </c:pt>
                <c:pt idx="567">
                  <c:v>21559.427032333297</c:v>
                </c:pt>
                <c:pt idx="568">
                  <c:v>25009.350179828594</c:v>
                </c:pt>
                <c:pt idx="569">
                  <c:v>50589.410741775653</c:v>
                </c:pt>
                <c:pt idx="570">
                  <c:v>17058.691438300317</c:v>
                </c:pt>
                <c:pt idx="571">
                  <c:v>16898.082727449721</c:v>
                </c:pt>
                <c:pt idx="572">
                  <c:v>22433.357337598223</c:v>
                </c:pt>
                <c:pt idx="573">
                  <c:v>29088.931103428185</c:v>
                </c:pt>
                <c:pt idx="574">
                  <c:v>27410.11867737877</c:v>
                </c:pt>
                <c:pt idx="575">
                  <c:v>23946.256683215979</c:v>
                </c:pt>
                <c:pt idx="576">
                  <c:v>13774.121642821592</c:v>
                </c:pt>
                <c:pt idx="577">
                  <c:v>45393.822631892581</c:v>
                </c:pt>
                <c:pt idx="578">
                  <c:v>23169.973826310576</c:v>
                </c:pt>
                <c:pt idx="579">
                  <c:v>14566.249203279976</c:v>
                </c:pt>
                <c:pt idx="580">
                  <c:v>24320.242315257463</c:v>
                </c:pt>
                <c:pt idx="581">
                  <c:v>14957.586186213375</c:v>
                </c:pt>
                <c:pt idx="582">
                  <c:v>25397.287028880288</c:v>
                </c:pt>
                <c:pt idx="583">
                  <c:v>15867.47295572073</c:v>
                </c:pt>
                <c:pt idx="584">
                  <c:v>0</c:v>
                </c:pt>
                <c:pt idx="585">
                  <c:v>17691.403063940161</c:v>
                </c:pt>
                <c:pt idx="586">
                  <c:v>13738.416214019862</c:v>
                </c:pt>
                <c:pt idx="587">
                  <c:v>43136.887408358511</c:v>
                </c:pt>
                <c:pt idx="588">
                  <c:v>28034.340424811409</c:v>
                </c:pt>
                <c:pt idx="589">
                  <c:v>19796.532984365134</c:v>
                </c:pt>
                <c:pt idx="590">
                  <c:v>23959.893611447624</c:v>
                </c:pt>
                <c:pt idx="591">
                  <c:v>18887.152743616796</c:v>
                </c:pt>
                <c:pt idx="592">
                  <c:v>15666.549944035663</c:v>
                </c:pt>
                <c:pt idx="593">
                  <c:v>37315.061452611</c:v>
                </c:pt>
                <c:pt idx="594">
                  <c:v>23206.368488488675</c:v>
                </c:pt>
                <c:pt idx="595">
                  <c:v>23915.857985760638</c:v>
                </c:pt>
                <c:pt idx="596">
                  <c:v>20889.034860794542</c:v>
                </c:pt>
                <c:pt idx="597">
                  <c:v>20672.464864847308</c:v>
                </c:pt>
                <c:pt idx="598">
                  <c:v>22147.831487289593</c:v>
                </c:pt>
                <c:pt idx="599">
                  <c:v>26868.467870430402</c:v>
                </c:pt>
                <c:pt idx="600">
                  <c:v>17056.873940552854</c:v>
                </c:pt>
                <c:pt idx="601">
                  <c:v>23531.44662643184</c:v>
                </c:pt>
                <c:pt idx="602">
                  <c:v>22191.165128012821</c:v>
                </c:pt>
                <c:pt idx="603">
                  <c:v>30261.456512821067</c:v>
                </c:pt>
                <c:pt idx="604">
                  <c:v>38164.074013288562</c:v>
                </c:pt>
                <c:pt idx="605">
                  <c:v>23816.814699014489</c:v>
                </c:pt>
                <c:pt idx="606">
                  <c:v>15659.982714029209</c:v>
                </c:pt>
                <c:pt idx="607">
                  <c:v>46859.38258822402</c:v>
                </c:pt>
                <c:pt idx="608">
                  <c:v>17348.769981237281</c:v>
                </c:pt>
                <c:pt idx="609">
                  <c:v>44421.039404993229</c:v>
                </c:pt>
                <c:pt idx="610">
                  <c:v>21660.504798434959</c:v>
                </c:pt>
                <c:pt idx="611">
                  <c:v>21741.089681941805</c:v>
                </c:pt>
                <c:pt idx="612">
                  <c:v>16055.03930100758</c:v>
                </c:pt>
                <c:pt idx="613">
                  <c:v>16789.959241191107</c:v>
                </c:pt>
                <c:pt idx="614">
                  <c:v>15481.154971384776</c:v>
                </c:pt>
                <c:pt idx="615">
                  <c:v>47971.583813562451</c:v>
                </c:pt>
                <c:pt idx="616">
                  <c:v>24268.858548961376</c:v>
                </c:pt>
                <c:pt idx="617">
                  <c:v>45163.149969150596</c:v>
                </c:pt>
                <c:pt idx="618">
                  <c:v>39110.144440657416</c:v>
                </c:pt>
                <c:pt idx="619">
                  <c:v>25936.791528083384</c:v>
                </c:pt>
                <c:pt idx="620">
                  <c:v>17926.166214821926</c:v>
                </c:pt>
                <c:pt idx="621">
                  <c:v>45915.019184692821</c:v>
                </c:pt>
                <c:pt idx="622">
                  <c:v>19511.897390957158</c:v>
                </c:pt>
                <c:pt idx="623">
                  <c:v>39901.152995897384</c:v>
                </c:pt>
                <c:pt idx="624">
                  <c:v>24619.59610393973</c:v>
                </c:pt>
                <c:pt idx="625">
                  <c:v>16110.74192251653</c:v>
                </c:pt>
                <c:pt idx="626">
                  <c:v>20523.588908545797</c:v>
                </c:pt>
                <c:pt idx="627">
                  <c:v>22373.243811282875</c:v>
                </c:pt>
                <c:pt idx="628">
                  <c:v>26881.320334550081</c:v>
                </c:pt>
                <c:pt idx="629">
                  <c:v>48194.501173141594</c:v>
                </c:pt>
                <c:pt idx="630">
                  <c:v>25428.071555151881</c:v>
                </c:pt>
                <c:pt idx="631">
                  <c:v>15197.221301865942</c:v>
                </c:pt>
                <c:pt idx="632">
                  <c:v>18651.021581856337</c:v>
                </c:pt>
                <c:pt idx="633">
                  <c:v>18980.994197499116</c:v>
                </c:pt>
                <c:pt idx="634">
                  <c:v>26135.455283076204</c:v>
                </c:pt>
                <c:pt idx="635">
                  <c:v>29446.956197261061</c:v>
                </c:pt>
                <c:pt idx="636">
                  <c:v>13502.104892803707</c:v>
                </c:pt>
                <c:pt idx="637">
                  <c:v>23048.214045278306</c:v>
                </c:pt>
                <c:pt idx="638">
                  <c:v>42878.383042204456</c:v>
                </c:pt>
                <c:pt idx="639">
                  <c:v>26722.539163313879</c:v>
                </c:pt>
                <c:pt idx="640">
                  <c:v>24329.865442749739</c:v>
                </c:pt>
                <c:pt idx="641">
                  <c:v>45366.957397699858</c:v>
                </c:pt>
                <c:pt idx="642">
                  <c:v>27226.335125462676</c:v>
                </c:pt>
                <c:pt idx="643">
                  <c:v>19025.102983484649</c:v>
                </c:pt>
                <c:pt idx="644">
                  <c:v>22992.074688487977</c:v>
                </c:pt>
                <c:pt idx="645">
                  <c:v>24250.332700854568</c:v>
                </c:pt>
                <c:pt idx="646">
                  <c:v>19087.938389830095</c:v>
                </c:pt>
                <c:pt idx="647">
                  <c:v>19813.372748694565</c:v>
                </c:pt>
                <c:pt idx="648">
                  <c:v>14344.779415054014</c:v>
                </c:pt>
                <c:pt idx="649">
                  <c:v>26264.84664631544</c:v>
                </c:pt>
                <c:pt idx="650">
                  <c:v>27164.382916219067</c:v>
                </c:pt>
                <c:pt idx="651">
                  <c:v>26671.591944097941</c:v>
                </c:pt>
                <c:pt idx="652">
                  <c:v>22038.841084178246</c:v>
                </c:pt>
                <c:pt idx="653">
                  <c:v>23972.903272032512</c:v>
                </c:pt>
                <c:pt idx="654">
                  <c:v>26244.778318285193</c:v>
                </c:pt>
                <c:pt idx="655">
                  <c:v>45888.304291987501</c:v>
                </c:pt>
                <c:pt idx="656">
                  <c:v>20761.183153786886</c:v>
                </c:pt>
                <c:pt idx="657">
                  <c:v>18833.469305322229</c:v>
                </c:pt>
                <c:pt idx="658">
                  <c:v>25170.708386975013</c:v>
                </c:pt>
                <c:pt idx="659">
                  <c:v>26492.163838281311</c:v>
                </c:pt>
                <c:pt idx="660">
                  <c:v>25732.18766792665</c:v>
                </c:pt>
                <c:pt idx="661">
                  <c:v>22400.815608846009</c:v>
                </c:pt>
                <c:pt idx="662">
                  <c:v>19578.731354098076</c:v>
                </c:pt>
                <c:pt idx="663">
                  <c:v>15059.995586298128</c:v>
                </c:pt>
                <c:pt idx="664">
                  <c:v>47236.042554296379</c:v>
                </c:pt>
                <c:pt idx="665">
                  <c:v>47773.391227830587</c:v>
                </c:pt>
                <c:pt idx="666">
                  <c:v>21890.614588282268</c:v>
                </c:pt>
                <c:pt idx="667">
                  <c:v>46023.557277243533</c:v>
                </c:pt>
                <c:pt idx="668">
                  <c:v>50687.258458052223</c:v>
                </c:pt>
                <c:pt idx="669">
                  <c:v>20011.755450262288</c:v>
                </c:pt>
                <c:pt idx="670">
                  <c:v>18859.859134147046</c:v>
                </c:pt>
                <c:pt idx="671">
                  <c:v>18203.768238964782</c:v>
                </c:pt>
                <c:pt idx="672">
                  <c:v>18340.203855671469</c:v>
                </c:pt>
                <c:pt idx="673">
                  <c:v>20203.535336519621</c:v>
                </c:pt>
                <c:pt idx="674">
                  <c:v>50139.059774314243</c:v>
                </c:pt>
                <c:pt idx="675">
                  <c:v>18510.18367716053</c:v>
                </c:pt>
                <c:pt idx="676">
                  <c:v>28546.729818340013</c:v>
                </c:pt>
                <c:pt idx="677">
                  <c:v>51021.519842349073</c:v>
                </c:pt>
                <c:pt idx="678">
                  <c:v>27149.641703062189</c:v>
                </c:pt>
                <c:pt idx="679">
                  <c:v>21232.16872077086</c:v>
                </c:pt>
                <c:pt idx="680">
                  <c:v>0</c:v>
                </c:pt>
                <c:pt idx="681">
                  <c:v>0</c:v>
                </c:pt>
                <c:pt idx="682">
                  <c:v>45884.762943802263</c:v>
                </c:pt>
                <c:pt idx="683">
                  <c:v>21563.95921834324</c:v>
                </c:pt>
                <c:pt idx="684">
                  <c:v>14452.454080249241</c:v>
                </c:pt>
                <c:pt idx="685">
                  <c:v>23576.838526112799</c:v>
                </c:pt>
                <c:pt idx="686">
                  <c:v>20654.748513922888</c:v>
                </c:pt>
                <c:pt idx="687">
                  <c:v>23434.55877461483</c:v>
                </c:pt>
                <c:pt idx="688">
                  <c:v>19947.926355992815</c:v>
                </c:pt>
                <c:pt idx="689">
                  <c:v>40837.578408560767</c:v>
                </c:pt>
                <c:pt idx="690">
                  <c:v>14728.667935549698</c:v>
                </c:pt>
                <c:pt idx="691">
                  <c:v>23920.852785288873</c:v>
                </c:pt>
                <c:pt idx="692">
                  <c:v>16302.187267667427</c:v>
                </c:pt>
                <c:pt idx="693">
                  <c:v>13889.56134810894</c:v>
                </c:pt>
                <c:pt idx="694">
                  <c:v>18440.169258881848</c:v>
                </c:pt>
                <c:pt idx="695">
                  <c:v>20141.456200765926</c:v>
                </c:pt>
                <c:pt idx="696">
                  <c:v>25706.002327275753</c:v>
                </c:pt>
                <c:pt idx="697">
                  <c:v>46000.641099765722</c:v>
                </c:pt>
                <c:pt idx="698">
                  <c:v>25524.642707165236</c:v>
                </c:pt>
                <c:pt idx="699">
                  <c:v>19329.468073435055</c:v>
                </c:pt>
                <c:pt idx="700">
                  <c:v>16372.303082174394</c:v>
                </c:pt>
                <c:pt idx="701">
                  <c:v>28205.69470955235</c:v>
                </c:pt>
                <c:pt idx="702">
                  <c:v>26699.068797805965</c:v>
                </c:pt>
                <c:pt idx="703">
                  <c:v>17999.417742724523</c:v>
                </c:pt>
                <c:pt idx="704">
                  <c:v>22401.921802780031</c:v>
                </c:pt>
                <c:pt idx="705">
                  <c:v>19812.340357394467</c:v>
                </c:pt>
                <c:pt idx="706">
                  <c:v>49008.555317226215</c:v>
                </c:pt>
                <c:pt idx="707">
                  <c:v>23445.310835920616</c:v>
                </c:pt>
                <c:pt idx="708">
                  <c:v>19918.418932835666</c:v>
                </c:pt>
                <c:pt idx="709">
                  <c:v>18841.721095377143</c:v>
                </c:pt>
                <c:pt idx="710">
                  <c:v>16057.854050007956</c:v>
                </c:pt>
                <c:pt idx="711">
                  <c:v>20929.076566644937</c:v>
                </c:pt>
                <c:pt idx="712">
                  <c:v>22236.677474896125</c:v>
                </c:pt>
                <c:pt idx="713">
                  <c:v>18918.637759850462</c:v>
                </c:pt>
                <c:pt idx="714">
                  <c:v>13055.939522068422</c:v>
                </c:pt>
                <c:pt idx="715">
                  <c:v>24308.372611766135</c:v>
                </c:pt>
                <c:pt idx="716">
                  <c:v>20563.327907063547</c:v>
                </c:pt>
                <c:pt idx="717">
                  <c:v>23837.454231253811</c:v>
                </c:pt>
                <c:pt idx="718">
                  <c:v>26321.60111505579</c:v>
                </c:pt>
                <c:pt idx="719">
                  <c:v>26072.999637355948</c:v>
                </c:pt>
                <c:pt idx="720">
                  <c:v>27076.945804089417</c:v>
                </c:pt>
                <c:pt idx="721">
                  <c:v>26548.669372255565</c:v>
                </c:pt>
                <c:pt idx="722">
                  <c:v>27705.229672532965</c:v>
                </c:pt>
                <c:pt idx="723">
                  <c:v>15982.019606205327</c:v>
                </c:pt>
                <c:pt idx="724">
                  <c:v>22687.646929397939</c:v>
                </c:pt>
                <c:pt idx="725">
                  <c:v>45376.875068464033</c:v>
                </c:pt>
                <c:pt idx="726">
                  <c:v>20342.788791044484</c:v>
                </c:pt>
                <c:pt idx="727">
                  <c:v>39337.688894816754</c:v>
                </c:pt>
                <c:pt idx="728">
                  <c:v>18471.792657984814</c:v>
                </c:pt>
                <c:pt idx="729">
                  <c:v>22395.354756939603</c:v>
                </c:pt>
                <c:pt idx="730">
                  <c:v>41567.442245429076</c:v>
                </c:pt>
                <c:pt idx="731">
                  <c:v>20441.927787072527</c:v>
                </c:pt>
                <c:pt idx="732">
                  <c:v>17026.392059597121</c:v>
                </c:pt>
                <c:pt idx="733">
                  <c:v>22238.380980509304</c:v>
                </c:pt>
                <c:pt idx="734">
                  <c:v>26694.751305625978</c:v>
                </c:pt>
                <c:pt idx="735">
                  <c:v>24687.920302971368</c:v>
                </c:pt>
                <c:pt idx="736">
                  <c:v>45524.500221394919</c:v>
                </c:pt>
                <c:pt idx="737">
                  <c:v>14762.451757018198</c:v>
                </c:pt>
                <c:pt idx="738">
                  <c:v>41999.692210263966</c:v>
                </c:pt>
                <c:pt idx="739">
                  <c:v>43384.038109150948</c:v>
                </c:pt>
                <c:pt idx="740">
                  <c:v>20716.403253488272</c:v>
                </c:pt>
                <c:pt idx="741">
                  <c:v>39690.474825262165</c:v>
                </c:pt>
                <c:pt idx="742">
                  <c:v>49084.465603262739</c:v>
                </c:pt>
                <c:pt idx="743">
                  <c:v>16142.520615258445</c:v>
                </c:pt>
                <c:pt idx="744">
                  <c:v>21502.304478777849</c:v>
                </c:pt>
                <c:pt idx="745">
                  <c:v>23365.831128950253</c:v>
                </c:pt>
                <c:pt idx="746">
                  <c:v>17936.640974232752</c:v>
                </c:pt>
                <c:pt idx="747">
                  <c:v>0</c:v>
                </c:pt>
                <c:pt idx="748">
                  <c:v>23984.328453961818</c:v>
                </c:pt>
                <c:pt idx="749">
                  <c:v>17365.963493328592</c:v>
                </c:pt>
                <c:pt idx="750">
                  <c:v>41457.570712600944</c:v>
                </c:pt>
                <c:pt idx="751">
                  <c:v>14923.501463706567</c:v>
                </c:pt>
                <c:pt idx="752">
                  <c:v>28997.322163557328</c:v>
                </c:pt>
                <c:pt idx="753">
                  <c:v>21771.747337365108</c:v>
                </c:pt>
                <c:pt idx="754">
                  <c:v>19527.982127898242</c:v>
                </c:pt>
                <c:pt idx="755">
                  <c:v>18344.902685500536</c:v>
                </c:pt>
                <c:pt idx="756">
                  <c:v>19363.176127599036</c:v>
                </c:pt>
                <c:pt idx="757">
                  <c:v>44511.180876637925</c:v>
                </c:pt>
                <c:pt idx="758">
                  <c:v>21882.554821694386</c:v>
                </c:pt>
                <c:pt idx="759">
                  <c:v>40438.292603995811</c:v>
                </c:pt>
                <c:pt idx="760">
                  <c:v>18516.816472850682</c:v>
                </c:pt>
                <c:pt idx="761">
                  <c:v>17417.106870781681</c:v>
                </c:pt>
                <c:pt idx="762">
                  <c:v>41086.737963820153</c:v>
                </c:pt>
                <c:pt idx="763">
                  <c:v>15818.678757471369</c:v>
                </c:pt>
                <c:pt idx="764">
                  <c:v>21234.398149999739</c:v>
                </c:pt>
                <c:pt idx="765">
                  <c:v>25268.345857237095</c:v>
                </c:pt>
                <c:pt idx="766">
                  <c:v>22597.998316206598</c:v>
                </c:pt>
                <c:pt idx="767">
                  <c:v>20325.692515999195</c:v>
                </c:pt>
                <c:pt idx="768">
                  <c:v>29130.401680307703</c:v>
                </c:pt>
                <c:pt idx="769">
                  <c:v>17150.037097231871</c:v>
                </c:pt>
                <c:pt idx="770">
                  <c:v>28433.923465748929</c:v>
                </c:pt>
                <c:pt idx="771">
                  <c:v>22846.467995754218</c:v>
                </c:pt>
                <c:pt idx="772">
                  <c:v>23861.122700234671</c:v>
                </c:pt>
                <c:pt idx="773">
                  <c:v>38357.414281846737</c:v>
                </c:pt>
                <c:pt idx="774">
                  <c:v>22783.915399868427</c:v>
                </c:pt>
                <c:pt idx="775">
                  <c:v>24850.823015786438</c:v>
                </c:pt>
                <c:pt idx="776">
                  <c:v>21882.591485470482</c:v>
                </c:pt>
                <c:pt idx="777">
                  <c:v>25114.482926632954</c:v>
                </c:pt>
                <c:pt idx="778">
                  <c:v>21076.922894263596</c:v>
                </c:pt>
                <c:pt idx="779">
                  <c:v>23110.681366808669</c:v>
                </c:pt>
                <c:pt idx="780">
                  <c:v>40351.34767175711</c:v>
                </c:pt>
                <c:pt idx="781">
                  <c:v>17597.162619307215</c:v>
                </c:pt>
                <c:pt idx="782">
                  <c:v>24795.292643020788</c:v>
                </c:pt>
                <c:pt idx="783">
                  <c:v>45754.207043155599</c:v>
                </c:pt>
                <c:pt idx="784">
                  <c:v>17513.4918779402</c:v>
                </c:pt>
                <c:pt idx="785">
                  <c:v>19037.747648841927</c:v>
                </c:pt>
                <c:pt idx="786">
                  <c:v>28000.626871902277</c:v>
                </c:pt>
                <c:pt idx="787">
                  <c:v>17598.041845428037</c:v>
                </c:pt>
                <c:pt idx="788">
                  <c:v>16566.628108551362</c:v>
                </c:pt>
                <c:pt idx="789">
                  <c:v>25224.405940832003</c:v>
                </c:pt>
                <c:pt idx="790">
                  <c:v>23346.328061369779</c:v>
                </c:pt>
                <c:pt idx="791">
                  <c:v>13336.310668040775</c:v>
                </c:pt>
                <c:pt idx="792">
                  <c:v>13699.010011388842</c:v>
                </c:pt>
                <c:pt idx="793">
                  <c:v>43570.393998943786</c:v>
                </c:pt>
                <c:pt idx="794">
                  <c:v>21628.155979956122</c:v>
                </c:pt>
                <c:pt idx="795">
                  <c:v>40152.057230378297</c:v>
                </c:pt>
                <c:pt idx="796">
                  <c:v>22675.155777175038</c:v>
                </c:pt>
                <c:pt idx="797">
                  <c:v>16132.691242557668</c:v>
                </c:pt>
                <c:pt idx="798">
                  <c:v>25350.58677125207</c:v>
                </c:pt>
                <c:pt idx="799">
                  <c:v>40789.44749939887</c:v>
                </c:pt>
                <c:pt idx="800">
                  <c:v>19294.195918729638</c:v>
                </c:pt>
                <c:pt idx="801">
                  <c:v>27790.23904025228</c:v>
                </c:pt>
                <c:pt idx="802">
                  <c:v>12527.79861412715</c:v>
                </c:pt>
                <c:pt idx="803">
                  <c:v>41950.124319587041</c:v>
                </c:pt>
                <c:pt idx="804">
                  <c:v>13919.044155667363</c:v>
                </c:pt>
                <c:pt idx="805">
                  <c:v>23539.451506696169</c:v>
                </c:pt>
                <c:pt idx="806">
                  <c:v>24631.84959664732</c:v>
                </c:pt>
                <c:pt idx="807">
                  <c:v>17118.973365469363</c:v>
                </c:pt>
                <c:pt idx="808">
                  <c:v>13866.034629587972</c:v>
                </c:pt>
                <c:pt idx="809">
                  <c:v>15716.019841359745</c:v>
                </c:pt>
                <c:pt idx="810">
                  <c:v>22914.667232946362</c:v>
                </c:pt>
                <c:pt idx="811">
                  <c:v>24300.43026867263</c:v>
                </c:pt>
                <c:pt idx="812">
                  <c:v>20967.028179763794</c:v>
                </c:pt>
                <c:pt idx="813">
                  <c:v>15834.271210864879</c:v>
                </c:pt>
                <c:pt idx="814">
                  <c:v>20895.589981549005</c:v>
                </c:pt>
                <c:pt idx="815">
                  <c:v>14958.797052824082</c:v>
                </c:pt>
                <c:pt idx="816">
                  <c:v>14214.215976062225</c:v>
                </c:pt>
                <c:pt idx="817">
                  <c:v>19012.575522940548</c:v>
                </c:pt>
                <c:pt idx="818">
                  <c:v>45443.378632768392</c:v>
                </c:pt>
                <c:pt idx="819">
                  <c:v>44209.039683881696</c:v>
                </c:pt>
                <c:pt idx="820">
                  <c:v>22559.15644618708</c:v>
                </c:pt>
                <c:pt idx="821">
                  <c:v>12373.201233322759</c:v>
                </c:pt>
                <c:pt idx="822">
                  <c:v>14333.15050805781</c:v>
                </c:pt>
                <c:pt idx="823">
                  <c:v>21514.681405560812</c:v>
                </c:pt>
                <c:pt idx="824">
                  <c:v>23361.953686104673</c:v>
                </c:pt>
                <c:pt idx="825">
                  <c:v>28370.30531472143</c:v>
                </c:pt>
                <c:pt idx="826">
                  <c:v>48985.780856676145</c:v>
                </c:pt>
                <c:pt idx="827">
                  <c:v>43131.111957323054</c:v>
                </c:pt>
                <c:pt idx="828">
                  <c:v>46300.872775005919</c:v>
                </c:pt>
                <c:pt idx="829">
                  <c:v>17605.662997550724</c:v>
                </c:pt>
                <c:pt idx="830">
                  <c:v>26503.554174543708</c:v>
                </c:pt>
                <c:pt idx="831">
                  <c:v>17844.289634091911</c:v>
                </c:pt>
                <c:pt idx="832">
                  <c:v>16063.748964137763</c:v>
                </c:pt>
                <c:pt idx="833">
                  <c:v>26263.919058891137</c:v>
                </c:pt>
                <c:pt idx="834">
                  <c:v>20895.23957966044</c:v>
                </c:pt>
                <c:pt idx="835">
                  <c:v>22959.086015333785</c:v>
                </c:pt>
                <c:pt idx="836">
                  <c:v>19025.723130257968</c:v>
                </c:pt>
                <c:pt idx="837">
                  <c:v>24172.188414682285</c:v>
                </c:pt>
                <c:pt idx="838">
                  <c:v>18085.813818951719</c:v>
                </c:pt>
                <c:pt idx="839">
                  <c:v>25620.941671846638</c:v>
                </c:pt>
                <c:pt idx="840">
                  <c:v>15037.200460753409</c:v>
                </c:pt>
                <c:pt idx="841">
                  <c:v>23586.954745364084</c:v>
                </c:pt>
                <c:pt idx="842">
                  <c:v>40976.637101413493</c:v>
                </c:pt>
                <c:pt idx="843">
                  <c:v>47751.347440160869</c:v>
                </c:pt>
                <c:pt idx="844">
                  <c:v>24011.442693814817</c:v>
                </c:pt>
                <c:pt idx="845">
                  <c:v>49417.387215305534</c:v>
                </c:pt>
                <c:pt idx="846">
                  <c:v>24401.205647611692</c:v>
                </c:pt>
                <c:pt idx="847">
                  <c:v>22491.09243850725</c:v>
                </c:pt>
                <c:pt idx="848">
                  <c:v>14335.298760096723</c:v>
                </c:pt>
                <c:pt idx="849">
                  <c:v>24945.552573697583</c:v>
                </c:pt>
                <c:pt idx="850">
                  <c:v>43978.260088804236</c:v>
                </c:pt>
                <c:pt idx="851">
                  <c:v>27276.574888754789</c:v>
                </c:pt>
                <c:pt idx="852">
                  <c:v>47901.136166291864</c:v>
                </c:pt>
                <c:pt idx="853">
                  <c:v>22805.89829890307</c:v>
                </c:pt>
                <c:pt idx="854">
                  <c:v>46134.731353908639</c:v>
                </c:pt>
                <c:pt idx="855">
                  <c:v>14402.868287194908</c:v>
                </c:pt>
                <c:pt idx="856">
                  <c:v>46558.978664240509</c:v>
                </c:pt>
                <c:pt idx="857">
                  <c:v>38156.069133024233</c:v>
                </c:pt>
                <c:pt idx="858">
                  <c:v>16979.758319940302</c:v>
                </c:pt>
                <c:pt idx="859">
                  <c:v>23266.448791265415</c:v>
                </c:pt>
                <c:pt idx="860">
                  <c:v>49674.444077536013</c:v>
                </c:pt>
                <c:pt idx="861">
                  <c:v>19910.074742537225</c:v>
                </c:pt>
                <c:pt idx="862">
                  <c:v>26285.655048135195</c:v>
                </c:pt>
                <c:pt idx="863">
                  <c:v>16167.180713655669</c:v>
                </c:pt>
                <c:pt idx="864">
                  <c:v>20809.488351292064</c:v>
                </c:pt>
                <c:pt idx="865">
                  <c:v>20461.440104928275</c:v>
                </c:pt>
                <c:pt idx="866">
                  <c:v>16291.267822905478</c:v>
                </c:pt>
                <c:pt idx="867">
                  <c:v>29033.367212743658</c:v>
                </c:pt>
                <c:pt idx="868">
                  <c:v>23746.210291415453</c:v>
                </c:pt>
                <c:pt idx="869">
                  <c:v>15315.926381191593</c:v>
                </c:pt>
                <c:pt idx="870">
                  <c:v>24215.921297751789</c:v>
                </c:pt>
                <c:pt idx="871">
                  <c:v>16303.832675047843</c:v>
                </c:pt>
                <c:pt idx="872">
                  <c:v>18239.645655419088</c:v>
                </c:pt>
                <c:pt idx="873">
                  <c:v>20824.347308113356</c:v>
                </c:pt>
                <c:pt idx="874">
                  <c:v>20193.909749960374</c:v>
                </c:pt>
                <c:pt idx="875">
                  <c:v>15278.5181253391</c:v>
                </c:pt>
                <c:pt idx="876">
                  <c:v>21479.21942190003</c:v>
                </c:pt>
                <c:pt idx="877">
                  <c:v>21215.721040309625</c:v>
                </c:pt>
                <c:pt idx="878">
                  <c:v>19869.683113344574</c:v>
                </c:pt>
                <c:pt idx="879">
                  <c:v>19686.508025267009</c:v>
                </c:pt>
                <c:pt idx="880">
                  <c:v>17975.574227098266</c:v>
                </c:pt>
                <c:pt idx="881">
                  <c:v>15364.917286348886</c:v>
                </c:pt>
                <c:pt idx="882">
                  <c:v>13087.696499828167</c:v>
                </c:pt>
                <c:pt idx="883">
                  <c:v>51127.493613914477</c:v>
                </c:pt>
                <c:pt idx="884">
                  <c:v>17079.56798021977</c:v>
                </c:pt>
                <c:pt idx="885">
                  <c:v>41375.634573303658</c:v>
                </c:pt>
                <c:pt idx="886">
                  <c:v>48371.828596388528</c:v>
                </c:pt>
                <c:pt idx="887">
                  <c:v>19262.118270185216</c:v>
                </c:pt>
                <c:pt idx="888">
                  <c:v>18143.281823621815</c:v>
                </c:pt>
                <c:pt idx="889">
                  <c:v>26224.776226758688</c:v>
                </c:pt>
                <c:pt idx="890">
                  <c:v>49239.259206073773</c:v>
                </c:pt>
                <c:pt idx="891">
                  <c:v>20149.652716279947</c:v>
                </c:pt>
                <c:pt idx="892">
                  <c:v>22077.109336026137</c:v>
                </c:pt>
                <c:pt idx="893">
                  <c:v>49099.30687715752</c:v>
                </c:pt>
                <c:pt idx="894">
                  <c:v>26870.947294232457</c:v>
                </c:pt>
                <c:pt idx="895">
                  <c:v>29818.364473222267</c:v>
                </c:pt>
                <c:pt idx="896">
                  <c:v>42829.157569814226</c:v>
                </c:pt>
                <c:pt idx="897">
                  <c:v>13725.247692431929</c:v>
                </c:pt>
                <c:pt idx="898">
                  <c:v>17429.986739524778</c:v>
                </c:pt>
                <c:pt idx="899">
                  <c:v>12349.913407700949</c:v>
                </c:pt>
                <c:pt idx="900">
                  <c:v>20277.253523850923</c:v>
                </c:pt>
                <c:pt idx="901">
                  <c:v>52159.041407994242</c:v>
                </c:pt>
                <c:pt idx="902">
                  <c:v>17407.22795559081</c:v>
                </c:pt>
                <c:pt idx="903">
                  <c:v>24104.569631974497</c:v>
                </c:pt>
                <c:pt idx="904">
                  <c:v>26542.686383548447</c:v>
                </c:pt>
                <c:pt idx="905">
                  <c:v>17771.956087883438</c:v>
                </c:pt>
                <c:pt idx="906">
                  <c:v>19468.593481337826</c:v>
                </c:pt>
                <c:pt idx="907">
                  <c:v>21897.340298047107</c:v>
                </c:pt>
                <c:pt idx="908">
                  <c:v>30202.651949183732</c:v>
                </c:pt>
                <c:pt idx="909">
                  <c:v>39637.711791501679</c:v>
                </c:pt>
                <c:pt idx="910">
                  <c:v>15430.294714741836</c:v>
                </c:pt>
                <c:pt idx="911">
                  <c:v>39288.908812129819</c:v>
                </c:pt>
                <c:pt idx="912">
                  <c:v>25468.497780735575</c:v>
                </c:pt>
                <c:pt idx="913">
                  <c:v>20330.615040657627</c:v>
                </c:pt>
                <c:pt idx="914">
                  <c:v>17474.503392173632</c:v>
                </c:pt>
                <c:pt idx="915">
                  <c:v>16844.381900608903</c:v>
                </c:pt>
                <c:pt idx="916">
                  <c:v>43845.275802789467</c:v>
                </c:pt>
                <c:pt idx="917">
                  <c:v>43227.256167986445</c:v>
                </c:pt>
                <c:pt idx="918">
                  <c:v>24459.107906170997</c:v>
                </c:pt>
                <c:pt idx="919">
                  <c:v>20219.924883463245</c:v>
                </c:pt>
                <c:pt idx="920">
                  <c:v>23630.545207153657</c:v>
                </c:pt>
                <c:pt idx="921">
                  <c:v>26411.931526762542</c:v>
                </c:pt>
                <c:pt idx="922">
                  <c:v>19845.339653676376</c:v>
                </c:pt>
                <c:pt idx="923">
                  <c:v>20582.717269390232</c:v>
                </c:pt>
                <c:pt idx="924">
                  <c:v>18008.411933049429</c:v>
                </c:pt>
                <c:pt idx="925">
                  <c:v>24739.672154082546</c:v>
                </c:pt>
                <c:pt idx="926">
                  <c:v>12994.013612568617</c:v>
                </c:pt>
                <c:pt idx="927">
                  <c:v>21159.716066922942</c:v>
                </c:pt>
                <c:pt idx="928">
                  <c:v>28358.55345219616</c:v>
                </c:pt>
                <c:pt idx="929">
                  <c:v>21629.748639292229</c:v>
                </c:pt>
                <c:pt idx="930">
                  <c:v>21955.766699717562</c:v>
                </c:pt>
                <c:pt idx="931">
                  <c:v>20742.300546025086</c:v>
                </c:pt>
                <c:pt idx="932">
                  <c:v>22038.386695795321</c:v>
                </c:pt>
                <c:pt idx="933">
                  <c:v>22757.679786210392</c:v>
                </c:pt>
                <c:pt idx="934">
                  <c:v>20800.946568829422</c:v>
                </c:pt>
                <c:pt idx="935">
                  <c:v>23707.959783568716</c:v>
                </c:pt>
                <c:pt idx="936">
                  <c:v>22392.949586532712</c:v>
                </c:pt>
                <c:pt idx="937">
                  <c:v>20444.563989868104</c:v>
                </c:pt>
                <c:pt idx="938">
                  <c:v>13473.829643587311</c:v>
                </c:pt>
                <c:pt idx="939">
                  <c:v>22632.139289011997</c:v>
                </c:pt>
                <c:pt idx="940">
                  <c:v>0</c:v>
                </c:pt>
                <c:pt idx="941">
                  <c:v>28102.388400420248</c:v>
                </c:pt>
                <c:pt idx="942">
                  <c:v>18439.569279891788</c:v>
                </c:pt>
                <c:pt idx="943">
                  <c:v>12250.822426398872</c:v>
                </c:pt>
                <c:pt idx="944">
                  <c:v>28488.418052081404</c:v>
                </c:pt>
                <c:pt idx="945">
                  <c:v>26228.196936075779</c:v>
                </c:pt>
                <c:pt idx="946">
                  <c:v>22976.394186306927</c:v>
                </c:pt>
                <c:pt idx="947">
                  <c:v>45482.487885907343</c:v>
                </c:pt>
                <c:pt idx="948">
                  <c:v>21090.84594122359</c:v>
                </c:pt>
                <c:pt idx="949">
                  <c:v>40864.79121320782</c:v>
                </c:pt>
                <c:pt idx="950">
                  <c:v>20914.275708056397</c:v>
                </c:pt>
                <c:pt idx="951">
                  <c:v>51469.938363605834</c:v>
                </c:pt>
                <c:pt idx="952">
                  <c:v>17648.68327252876</c:v>
                </c:pt>
                <c:pt idx="953">
                  <c:v>45439.158093073718</c:v>
                </c:pt>
                <c:pt idx="954">
                  <c:v>42199.988596637661</c:v>
                </c:pt>
                <c:pt idx="955">
                  <c:v>20852.126548983986</c:v>
                </c:pt>
                <c:pt idx="956">
                  <c:v>47660.766087377582</c:v>
                </c:pt>
                <c:pt idx="957">
                  <c:v>15428.433370328055</c:v>
                </c:pt>
                <c:pt idx="958">
                  <c:v>47281.41302587567</c:v>
                </c:pt>
                <c:pt idx="959">
                  <c:v>24944.21715289951</c:v>
                </c:pt>
                <c:pt idx="960">
                  <c:v>18625.622009595449</c:v>
                </c:pt>
                <c:pt idx="961">
                  <c:v>15459.559681670931</c:v>
                </c:pt>
                <c:pt idx="962">
                  <c:v>27747.704273583724</c:v>
                </c:pt>
                <c:pt idx="963">
                  <c:v>21706.54717591899</c:v>
                </c:pt>
                <c:pt idx="964">
                  <c:v>26479.366486291059</c:v>
                </c:pt>
                <c:pt idx="965">
                  <c:v>17751.916126982054</c:v>
                </c:pt>
                <c:pt idx="966">
                  <c:v>46010.899035944749</c:v>
                </c:pt>
                <c:pt idx="967">
                  <c:v>20082.209749679569</c:v>
                </c:pt>
                <c:pt idx="968">
                  <c:v>15131.87159826646</c:v>
                </c:pt>
                <c:pt idx="969">
                  <c:v>23186.663754106361</c:v>
                </c:pt>
                <c:pt idx="970">
                  <c:v>22971.65086747615</c:v>
                </c:pt>
                <c:pt idx="971">
                  <c:v>16910.179754209137</c:v>
                </c:pt>
                <c:pt idx="972">
                  <c:v>12347.121391080276</c:v>
                </c:pt>
                <c:pt idx="973">
                  <c:v>17843.220579015717</c:v>
                </c:pt>
                <c:pt idx="974">
                  <c:v>17711.826884951995</c:v>
                </c:pt>
                <c:pt idx="975">
                  <c:v>39117.554527388871</c:v>
                </c:pt>
                <c:pt idx="976">
                  <c:v>24967.051676352923</c:v>
                </c:pt>
                <c:pt idx="977">
                  <c:v>16060.584475961159</c:v>
                </c:pt>
                <c:pt idx="978">
                  <c:v>26736.745677661522</c:v>
                </c:pt>
                <c:pt idx="979">
                  <c:v>18546.140774860956</c:v>
                </c:pt>
                <c:pt idx="980">
                  <c:v>23035.960552570723</c:v>
                </c:pt>
                <c:pt idx="981">
                  <c:v>16037.727698674347</c:v>
                </c:pt>
                <c:pt idx="982">
                  <c:v>41116.994204710718</c:v>
                </c:pt>
                <c:pt idx="983">
                  <c:v>17972.215810481037</c:v>
                </c:pt>
                <c:pt idx="984">
                  <c:v>17783.792273455882</c:v>
                </c:pt>
                <c:pt idx="985">
                  <c:v>19753.986169519201</c:v>
                </c:pt>
                <c:pt idx="986">
                  <c:v>22387.523392091978</c:v>
                </c:pt>
                <c:pt idx="987">
                  <c:v>21243.74153584474</c:v>
                </c:pt>
                <c:pt idx="988">
                  <c:v>20549.000631698516</c:v>
                </c:pt>
                <c:pt idx="989">
                  <c:v>37159.002671771494</c:v>
                </c:pt>
                <c:pt idx="990">
                  <c:v>13095.411102181897</c:v>
                </c:pt>
                <c:pt idx="991">
                  <c:v>20338.658268843137</c:v>
                </c:pt>
                <c:pt idx="992">
                  <c:v>23737.946860835291</c:v>
                </c:pt>
                <c:pt idx="993">
                  <c:v>18844.370467231798</c:v>
                </c:pt>
                <c:pt idx="994">
                  <c:v>38841.992574941149</c:v>
                </c:pt>
                <c:pt idx="995">
                  <c:v>19524.293018064185</c:v>
                </c:pt>
                <c:pt idx="996">
                  <c:v>22236.011162100694</c:v>
                </c:pt>
                <c:pt idx="997">
                  <c:v>27831.872926892473</c:v>
                </c:pt>
                <c:pt idx="998">
                  <c:v>22397.757701585186</c:v>
                </c:pt>
                <c:pt idx="999">
                  <c:v>18198.746793115235</c:v>
                </c:pt>
                <c:pt idx="1000">
                  <c:v>40004.671448892877</c:v>
                </c:pt>
                <c:pt idx="1001">
                  <c:v>40199.013586055597</c:v>
                </c:pt>
                <c:pt idx="1002">
                  <c:v>14010.044214228003</c:v>
                </c:pt>
                <c:pt idx="1003">
                  <c:v>21463.53179884555</c:v>
                </c:pt>
                <c:pt idx="1004">
                  <c:v>19111.223130669321</c:v>
                </c:pt>
                <c:pt idx="1005">
                  <c:v>18863.831339001481</c:v>
                </c:pt>
                <c:pt idx="1006">
                  <c:v>18122.131055469996</c:v>
                </c:pt>
                <c:pt idx="1007">
                  <c:v>46619.015782293565</c:v>
                </c:pt>
                <c:pt idx="1008">
                  <c:v>15901.509983671613</c:v>
                </c:pt>
                <c:pt idx="1009">
                  <c:v>23038.752569191391</c:v>
                </c:pt>
                <c:pt idx="1010">
                  <c:v>19288.330673686942</c:v>
                </c:pt>
                <c:pt idx="1011">
                  <c:v>41691.65260458822</c:v>
                </c:pt>
                <c:pt idx="1012">
                  <c:v>28026.201445704151</c:v>
                </c:pt>
                <c:pt idx="1013">
                  <c:v>23461.941760620139</c:v>
                </c:pt>
                <c:pt idx="1014">
                  <c:v>18347.895725645489</c:v>
                </c:pt>
                <c:pt idx="1015">
                  <c:v>23491.777870683683</c:v>
                </c:pt>
                <c:pt idx="1016">
                  <c:v>13534.328270896736</c:v>
                </c:pt>
                <c:pt idx="1017">
                  <c:v>18455.297379327123</c:v>
                </c:pt>
                <c:pt idx="1018">
                  <c:v>27277.660314979701</c:v>
                </c:pt>
                <c:pt idx="1019">
                  <c:v>17262.528659028096</c:v>
                </c:pt>
                <c:pt idx="1020">
                  <c:v>24744.132413177809</c:v>
                </c:pt>
                <c:pt idx="1021">
                  <c:v>40598.300815670205</c:v>
                </c:pt>
                <c:pt idx="1022">
                  <c:v>47653.713054681386</c:v>
                </c:pt>
                <c:pt idx="1023">
                  <c:v>0</c:v>
                </c:pt>
                <c:pt idx="1024">
                  <c:v>27070.640383527854</c:v>
                </c:pt>
                <c:pt idx="1025">
                  <c:v>16355.691907786457</c:v>
                </c:pt>
                <c:pt idx="1026">
                  <c:v>37734.899124809868</c:v>
                </c:pt>
                <c:pt idx="1027">
                  <c:v>0</c:v>
                </c:pt>
                <c:pt idx="1028">
                  <c:v>23683.056821291313</c:v>
                </c:pt>
                <c:pt idx="1029">
                  <c:v>16505.006947979477</c:v>
                </c:pt>
                <c:pt idx="1030">
                  <c:v>43995.750550387624</c:v>
                </c:pt>
                <c:pt idx="1031">
                  <c:v>49065.887450048598</c:v>
                </c:pt>
                <c:pt idx="1032">
                  <c:v>17365.029736339115</c:v>
                </c:pt>
                <c:pt idx="1033">
                  <c:v>35841.007356175629</c:v>
                </c:pt>
                <c:pt idx="1034">
                  <c:v>28387.869996410431</c:v>
                </c:pt>
                <c:pt idx="1035">
                  <c:v>22323.809115080592</c:v>
                </c:pt>
                <c:pt idx="1036">
                  <c:v>42043.606305471549</c:v>
                </c:pt>
                <c:pt idx="1037">
                  <c:v>46058.977420548421</c:v>
                </c:pt>
                <c:pt idx="1038">
                  <c:v>15501.098337575522</c:v>
                </c:pt>
                <c:pt idx="1039">
                  <c:v>14780.769043255597</c:v>
                </c:pt>
                <c:pt idx="1040">
                  <c:v>42177.105519607037</c:v>
                </c:pt>
                <c:pt idx="1041">
                  <c:v>12508.046863751315</c:v>
                </c:pt>
                <c:pt idx="1042">
                  <c:v>39448.164358181188</c:v>
                </c:pt>
                <c:pt idx="1043">
                  <c:v>15168.783983772501</c:v>
                </c:pt>
                <c:pt idx="1044">
                  <c:v>26611.824848690136</c:v>
                </c:pt>
                <c:pt idx="1045">
                  <c:v>44055.139196948039</c:v>
                </c:pt>
                <c:pt idx="1046">
                  <c:v>19737.460976533745</c:v>
                </c:pt>
                <c:pt idx="1047">
                  <c:v>46828.996225826544</c:v>
                </c:pt>
                <c:pt idx="1048">
                  <c:v>14366.552068074168</c:v>
                </c:pt>
                <c:pt idx="1049">
                  <c:v>46009.874182989777</c:v>
                </c:pt>
                <c:pt idx="1050">
                  <c:v>24144.77623642431</c:v>
                </c:pt>
                <c:pt idx="1051">
                  <c:v>25451.257313725364</c:v>
                </c:pt>
                <c:pt idx="1052">
                  <c:v>23233.954182163354</c:v>
                </c:pt>
                <c:pt idx="1053">
                  <c:v>46549.550314390566</c:v>
                </c:pt>
                <c:pt idx="1054">
                  <c:v>14050.307068976404</c:v>
                </c:pt>
                <c:pt idx="1055">
                  <c:v>23205.490156673979</c:v>
                </c:pt>
                <c:pt idx="1056">
                  <c:v>21357.410740713065</c:v>
                </c:pt>
                <c:pt idx="1057">
                  <c:v>21492.139705949361</c:v>
                </c:pt>
                <c:pt idx="1058">
                  <c:v>18709.945895468518</c:v>
                </c:pt>
                <c:pt idx="1059">
                  <c:v>19867.814169511046</c:v>
                </c:pt>
                <c:pt idx="1060">
                  <c:v>16041.464503064331</c:v>
                </c:pt>
                <c:pt idx="1061">
                  <c:v>23612.707325749827</c:v>
                </c:pt>
                <c:pt idx="1062">
                  <c:v>52452.308160400411</c:v>
                </c:pt>
                <c:pt idx="1063">
                  <c:v>20073.954874842064</c:v>
                </c:pt>
                <c:pt idx="1064">
                  <c:v>17259.803826184208</c:v>
                </c:pt>
                <c:pt idx="1065">
                  <c:v>19070.676737639085</c:v>
                </c:pt>
                <c:pt idx="1066">
                  <c:v>24947.959489324181</c:v>
                </c:pt>
                <c:pt idx="1067">
                  <c:v>24540.046154199757</c:v>
                </c:pt>
                <c:pt idx="1068">
                  <c:v>23705.768702261019</c:v>
                </c:pt>
                <c:pt idx="1069">
                  <c:v>24316.658703831818</c:v>
                </c:pt>
                <c:pt idx="1070">
                  <c:v>45420.951048382638</c:v>
                </c:pt>
                <c:pt idx="1071">
                  <c:v>26902.240000118596</c:v>
                </c:pt>
                <c:pt idx="1072">
                  <c:v>15696.862537939282</c:v>
                </c:pt>
                <c:pt idx="1073">
                  <c:v>24802.817068464028</c:v>
                </c:pt>
                <c:pt idx="1074">
                  <c:v>21816.159125063547</c:v>
                </c:pt>
                <c:pt idx="1075">
                  <c:v>17882.282070169123</c:v>
                </c:pt>
                <c:pt idx="1076">
                  <c:v>22627.554639518457</c:v>
                </c:pt>
                <c:pt idx="1077">
                  <c:v>14277.540642247282</c:v>
                </c:pt>
                <c:pt idx="1078">
                  <c:v>40805.490615434945</c:v>
                </c:pt>
                <c:pt idx="1079">
                  <c:v>28045.033085926189</c:v>
                </c:pt>
                <c:pt idx="1080">
                  <c:v>0</c:v>
                </c:pt>
                <c:pt idx="1081">
                  <c:v>17837.741349650169</c:v>
                </c:pt>
                <c:pt idx="1082">
                  <c:v>16704.339083152787</c:v>
                </c:pt>
                <c:pt idx="1083">
                  <c:v>18473.798265257705</c:v>
                </c:pt>
                <c:pt idx="1084">
                  <c:v>27052.50141691968</c:v>
                </c:pt>
                <c:pt idx="1085">
                  <c:v>41676.290227260484</c:v>
                </c:pt>
                <c:pt idx="1086">
                  <c:v>24009.581349401036</c:v>
                </c:pt>
                <c:pt idx="1087">
                  <c:v>25040.361363562894</c:v>
                </c:pt>
                <c:pt idx="1088">
                  <c:v>29044.455944557725</c:v>
                </c:pt>
                <c:pt idx="1089">
                  <c:v>20974.431717063031</c:v>
                </c:pt>
                <c:pt idx="1090">
                  <c:v>47215.523789429441</c:v>
                </c:pt>
                <c:pt idx="1091">
                  <c:v>24430.906111633412</c:v>
                </c:pt>
                <c:pt idx="1092">
                  <c:v>17520.12432705285</c:v>
                </c:pt>
                <c:pt idx="1093">
                  <c:v>39643.557388947258</c:v>
                </c:pt>
                <c:pt idx="1094">
                  <c:v>25401.254203716322</c:v>
                </c:pt>
                <c:pt idx="1095">
                  <c:v>17344.797297836543</c:v>
                </c:pt>
                <c:pt idx="1096">
                  <c:v>49943.078750718691</c:v>
                </c:pt>
                <c:pt idx="1097">
                  <c:v>16124.732276344714</c:v>
                </c:pt>
                <c:pt idx="1098">
                  <c:v>24014.794213044697</c:v>
                </c:pt>
                <c:pt idx="1099">
                  <c:v>17576.738798295381</c:v>
                </c:pt>
                <c:pt idx="1100">
                  <c:v>39938.360263510447</c:v>
                </c:pt>
                <c:pt idx="1101">
                  <c:v>23835.121743368843</c:v>
                </c:pt>
                <c:pt idx="1102">
                  <c:v>20151.857444423324</c:v>
                </c:pt>
                <c:pt idx="1103">
                  <c:v>26155.097845530283</c:v>
                </c:pt>
                <c:pt idx="1104">
                  <c:v>18705.950611656888</c:v>
                </c:pt>
                <c:pt idx="1105">
                  <c:v>23617.290479299525</c:v>
                </c:pt>
                <c:pt idx="1106">
                  <c:v>22569.02747507771</c:v>
                </c:pt>
                <c:pt idx="1107">
                  <c:v>22520.173172285162</c:v>
                </c:pt>
                <c:pt idx="1108">
                  <c:v>16423.869969617357</c:v>
                </c:pt>
                <c:pt idx="1109">
                  <c:v>18906.953872693644</c:v>
                </c:pt>
                <c:pt idx="1110">
                  <c:v>25487.358134663969</c:v>
                </c:pt>
                <c:pt idx="1111">
                  <c:v>47076.543849984562</c:v>
                </c:pt>
                <c:pt idx="1112">
                  <c:v>45522.935826473215</c:v>
                </c:pt>
                <c:pt idx="1113">
                  <c:v>17377.057339705672</c:v>
                </c:pt>
                <c:pt idx="1114">
                  <c:v>14275.679297833502</c:v>
                </c:pt>
                <c:pt idx="1115">
                  <c:v>24703.379656254408</c:v>
                </c:pt>
                <c:pt idx="1116">
                  <c:v>23016.658786275038</c:v>
                </c:pt>
                <c:pt idx="1117">
                  <c:v>41545.591846579046</c:v>
                </c:pt>
                <c:pt idx="1118">
                  <c:v>43945.790279466935</c:v>
                </c:pt>
                <c:pt idx="1119">
                  <c:v>15731.803712547369</c:v>
                </c:pt>
                <c:pt idx="1120">
                  <c:v>39632.520103219256</c:v>
                </c:pt>
                <c:pt idx="1121">
                  <c:v>24732.737023427027</c:v>
                </c:pt>
                <c:pt idx="1122">
                  <c:v>51223.795663378471</c:v>
                </c:pt>
                <c:pt idx="1123">
                  <c:v>18584.459994248609</c:v>
                </c:pt>
                <c:pt idx="1124">
                  <c:v>44917.917338152256</c:v>
                </c:pt>
                <c:pt idx="1125">
                  <c:v>24521.624127856063</c:v>
                </c:pt>
                <c:pt idx="1126">
                  <c:v>23363.284302690234</c:v>
                </c:pt>
                <c:pt idx="1127">
                  <c:v>21255.094627070263</c:v>
                </c:pt>
                <c:pt idx="1128">
                  <c:v>19428.462460026494</c:v>
                </c:pt>
                <c:pt idx="1129">
                  <c:v>0</c:v>
                </c:pt>
                <c:pt idx="1130">
                  <c:v>19642.09216387308</c:v>
                </c:pt>
                <c:pt idx="1131">
                  <c:v>22549.402779716191</c:v>
                </c:pt>
                <c:pt idx="1132">
                  <c:v>28357.876047546277</c:v>
                </c:pt>
                <c:pt idx="1133">
                  <c:v>19408.344405340118</c:v>
                </c:pt>
                <c:pt idx="1134">
                  <c:v>18364.888214212522</c:v>
                </c:pt>
                <c:pt idx="1135">
                  <c:v>23640.141279294898</c:v>
                </c:pt>
                <c:pt idx="1136">
                  <c:v>19482.631406630528</c:v>
                </c:pt>
                <c:pt idx="1137">
                  <c:v>14051.237741183295</c:v>
                </c:pt>
                <c:pt idx="1138">
                  <c:v>17756.191197545384</c:v>
                </c:pt>
                <c:pt idx="1139">
                  <c:v>39581.902649381875</c:v>
                </c:pt>
                <c:pt idx="1140">
                  <c:v>24911.549089455359</c:v>
                </c:pt>
                <c:pt idx="1141">
                  <c:v>22240.933686759134</c:v>
                </c:pt>
                <c:pt idx="1142">
                  <c:v>20939.523540187671</c:v>
                </c:pt>
                <c:pt idx="1143">
                  <c:v>20957.244721114395</c:v>
                </c:pt>
                <c:pt idx="1144">
                  <c:v>23844.067918967768</c:v>
                </c:pt>
                <c:pt idx="1145">
                  <c:v>25601.485151532943</c:v>
                </c:pt>
                <c:pt idx="1146">
                  <c:v>49479.761622761202</c:v>
                </c:pt>
                <c:pt idx="1147">
                  <c:v>15796.884191448249</c:v>
                </c:pt>
                <c:pt idx="1148">
                  <c:v>20989.559837508306</c:v>
                </c:pt>
                <c:pt idx="1149">
                  <c:v>21448.76422487024</c:v>
                </c:pt>
                <c:pt idx="1150">
                  <c:v>15088.337958216685</c:v>
                </c:pt>
                <c:pt idx="1151">
                  <c:v>27104.147736332896</c:v>
                </c:pt>
                <c:pt idx="1152">
                  <c:v>46514.642137515206</c:v>
                </c:pt>
                <c:pt idx="1153">
                  <c:v>21446.388526471819</c:v>
                </c:pt>
                <c:pt idx="1154">
                  <c:v>23537.48236318327</c:v>
                </c:pt>
                <c:pt idx="1155">
                  <c:v>18367.043423335788</c:v>
                </c:pt>
                <c:pt idx="1156">
                  <c:v>42971.137030261903</c:v>
                </c:pt>
                <c:pt idx="1157">
                  <c:v>14553.903554799814</c:v>
                </c:pt>
                <c:pt idx="1158">
                  <c:v>15698.720797570471</c:v>
                </c:pt>
                <c:pt idx="1159">
                  <c:v>21385.869234167745</c:v>
                </c:pt>
                <c:pt idx="1160">
                  <c:v>23082.335431561216</c:v>
                </c:pt>
                <c:pt idx="1161">
                  <c:v>22993.666869277775</c:v>
                </c:pt>
                <c:pt idx="1162">
                  <c:v>20371.402517063485</c:v>
                </c:pt>
                <c:pt idx="1163">
                  <c:v>14379.423640170031</c:v>
                </c:pt>
                <c:pt idx="1164">
                  <c:v>20441.879772346554</c:v>
                </c:pt>
                <c:pt idx="1165">
                  <c:v>18037.067315258289</c:v>
                </c:pt>
                <c:pt idx="1166">
                  <c:v>27353.381408983434</c:v>
                </c:pt>
                <c:pt idx="1167">
                  <c:v>15969.609282275103</c:v>
                </c:pt>
                <c:pt idx="1168">
                  <c:v>20204.314588766945</c:v>
                </c:pt>
                <c:pt idx="1169">
                  <c:v>21380.08042587198</c:v>
                </c:pt>
                <c:pt idx="1170">
                  <c:v>38282.133964999579</c:v>
                </c:pt>
                <c:pt idx="1171">
                  <c:v>44126.439012293537</c:v>
                </c:pt>
                <c:pt idx="1172">
                  <c:v>27750.197334401884</c:v>
                </c:pt>
                <c:pt idx="1173">
                  <c:v>20337.730681418834</c:v>
                </c:pt>
                <c:pt idx="1174">
                  <c:v>18992.724851373598</c:v>
                </c:pt>
                <c:pt idx="1175">
                  <c:v>14068.597358242503</c:v>
                </c:pt>
                <c:pt idx="1176">
                  <c:v>45698.005556076867</c:v>
                </c:pt>
                <c:pt idx="1177">
                  <c:v>19269.270285147155</c:v>
                </c:pt>
                <c:pt idx="1178">
                  <c:v>17919.341869368858</c:v>
                </c:pt>
                <c:pt idx="1179">
                  <c:v>40941.76791479472</c:v>
                </c:pt>
                <c:pt idx="1180">
                  <c:v>25466.302823053629</c:v>
                </c:pt>
                <c:pt idx="1181">
                  <c:v>16147.618661644012</c:v>
                </c:pt>
                <c:pt idx="1182">
                  <c:v>15924.585467409235</c:v>
                </c:pt>
                <c:pt idx="1183">
                  <c:v>22270.604358602337</c:v>
                </c:pt>
                <c:pt idx="1184">
                  <c:v>39045.996640273865</c:v>
                </c:pt>
                <c:pt idx="1185">
                  <c:v>20555.286363023122</c:v>
                </c:pt>
                <c:pt idx="1186">
                  <c:v>42197.317755041491</c:v>
                </c:pt>
                <c:pt idx="1187">
                  <c:v>26842.638022761101</c:v>
                </c:pt>
                <c:pt idx="1188">
                  <c:v>44125.942819781732</c:v>
                </c:pt>
                <c:pt idx="1189">
                  <c:v>14630.727819029607</c:v>
                </c:pt>
                <c:pt idx="1190">
                  <c:v>19863.315562494608</c:v>
                </c:pt>
                <c:pt idx="1191">
                  <c:v>18571.430583352143</c:v>
                </c:pt>
                <c:pt idx="1192">
                  <c:v>26547.006922906396</c:v>
                </c:pt>
                <c:pt idx="1193">
                  <c:v>24567.807589052456</c:v>
                </c:pt>
                <c:pt idx="1194">
                  <c:v>15174.402613404885</c:v>
                </c:pt>
                <c:pt idx="1195">
                  <c:v>15613.147594451048</c:v>
                </c:pt>
                <c:pt idx="1196">
                  <c:v>38744.094818963094</c:v>
                </c:pt>
                <c:pt idx="1197">
                  <c:v>20930.380414759937</c:v>
                </c:pt>
                <c:pt idx="1198">
                  <c:v>20408.166219437429</c:v>
                </c:pt>
                <c:pt idx="1199">
                  <c:v>16890.354131682812</c:v>
                </c:pt>
                <c:pt idx="1200">
                  <c:v>18405.258668043934</c:v>
                </c:pt>
                <c:pt idx="1201">
                  <c:v>26162.716738602103</c:v>
                </c:pt>
                <c:pt idx="1202">
                  <c:v>16243.729293313898</c:v>
                </c:pt>
                <c:pt idx="1203">
                  <c:v>24585.47471765682</c:v>
                </c:pt>
                <c:pt idx="1204">
                  <c:v>38302.291889016269</c:v>
                </c:pt>
                <c:pt idx="1205">
                  <c:v>15224.85570749408</c:v>
                </c:pt>
                <c:pt idx="1206">
                  <c:v>27135.073085226111</c:v>
                </c:pt>
                <c:pt idx="1207">
                  <c:v>44469.726324329618</c:v>
                </c:pt>
                <c:pt idx="1208">
                  <c:v>42681.47483883673</c:v>
                </c:pt>
                <c:pt idx="1209">
                  <c:v>27308.403123986805</c:v>
                </c:pt>
                <c:pt idx="1210">
                  <c:v>19896.314858776517</c:v>
                </c:pt>
                <c:pt idx="1211">
                  <c:v>21554.225199469467</c:v>
                </c:pt>
                <c:pt idx="1212">
                  <c:v>0</c:v>
                </c:pt>
                <c:pt idx="1213">
                  <c:v>24828.288437048417</c:v>
                </c:pt>
                <c:pt idx="1214">
                  <c:v>17844.81555770761</c:v>
                </c:pt>
                <c:pt idx="1215">
                  <c:v>17953.797761473354</c:v>
                </c:pt>
                <c:pt idx="1216">
                  <c:v>17800.55551013878</c:v>
                </c:pt>
                <c:pt idx="1217">
                  <c:v>20067.688791114568</c:v>
                </c:pt>
                <c:pt idx="1218">
                  <c:v>47101.135808282088</c:v>
                </c:pt>
                <c:pt idx="1219">
                  <c:v>21266.779366893374</c:v>
                </c:pt>
                <c:pt idx="1220">
                  <c:v>15810.457461627369</c:v>
                </c:pt>
                <c:pt idx="1221">
                  <c:v>18714.245320539849</c:v>
                </c:pt>
                <c:pt idx="1222">
                  <c:v>20443.741595306645</c:v>
                </c:pt>
                <c:pt idx="1223">
                  <c:v>36419.409681316567</c:v>
                </c:pt>
                <c:pt idx="1224">
                  <c:v>19181.253920096722</c:v>
                </c:pt>
                <c:pt idx="1225">
                  <c:v>21609.087453145366</c:v>
                </c:pt>
                <c:pt idx="1226">
                  <c:v>16469.432050656571</c:v>
                </c:pt>
                <c:pt idx="1227">
                  <c:v>23369.510094202902</c:v>
                </c:pt>
                <c:pt idx="1228">
                  <c:v>25081.715941997703</c:v>
                </c:pt>
                <c:pt idx="1229">
                  <c:v>25231.277700315499</c:v>
                </c:pt>
                <c:pt idx="1230">
                  <c:v>50030.040499120274</c:v>
                </c:pt>
                <c:pt idx="1231">
                  <c:v>35605.693890943148</c:v>
                </c:pt>
                <c:pt idx="1232">
                  <c:v>23475.301700002179</c:v>
                </c:pt>
                <c:pt idx="1233">
                  <c:v>21895.176566470735</c:v>
                </c:pt>
                <c:pt idx="1234">
                  <c:v>21099.934719948695</c:v>
                </c:pt>
                <c:pt idx="1235">
                  <c:v>16916.697544439958</c:v>
                </c:pt>
                <c:pt idx="1236">
                  <c:v>23714.546415931633</c:v>
                </c:pt>
                <c:pt idx="1237">
                  <c:v>24300.713842239311</c:v>
                </c:pt>
                <c:pt idx="1238">
                  <c:v>18685.925685036207</c:v>
                </c:pt>
                <c:pt idx="1239">
                  <c:v>20337.773510687621</c:v>
                </c:pt>
                <c:pt idx="1240">
                  <c:v>51353.681917171256</c:v>
                </c:pt>
                <c:pt idx="1241">
                  <c:v>52794.261832142969</c:v>
                </c:pt>
                <c:pt idx="1242">
                  <c:v>14128.080185551005</c:v>
                </c:pt>
                <c:pt idx="1243">
                  <c:v>17573.31707158075</c:v>
                </c:pt>
                <c:pt idx="1244">
                  <c:v>14948.061746606552</c:v>
                </c:pt>
                <c:pt idx="1245">
                  <c:v>16906.182169706794</c:v>
                </c:pt>
                <c:pt idx="1246">
                  <c:v>20927.92426699373</c:v>
                </c:pt>
                <c:pt idx="1247">
                  <c:v>19444.850000659688</c:v>
                </c:pt>
                <c:pt idx="1248">
                  <c:v>17280.741619936009</c:v>
                </c:pt>
                <c:pt idx="1249">
                  <c:v>44004.865854662421</c:v>
                </c:pt>
                <c:pt idx="1250">
                  <c:v>40185.579365493308</c:v>
                </c:pt>
                <c:pt idx="1251">
                  <c:v>0</c:v>
                </c:pt>
                <c:pt idx="1252">
                  <c:v>37339.943526407667</c:v>
                </c:pt>
                <c:pt idx="1253">
                  <c:v>21340.239482455145</c:v>
                </c:pt>
                <c:pt idx="1254">
                  <c:v>17286.202471842415</c:v>
                </c:pt>
                <c:pt idx="1255">
                  <c:v>22869.013707986531</c:v>
                </c:pt>
                <c:pt idx="1256">
                  <c:v>26700.431525925836</c:v>
                </c:pt>
                <c:pt idx="1257">
                  <c:v>23555.448708680866</c:v>
                </c:pt>
                <c:pt idx="1258">
                  <c:v>28047.669869982536</c:v>
                </c:pt>
                <c:pt idx="1259">
                  <c:v>21404.70058750928</c:v>
                </c:pt>
                <c:pt idx="1260">
                  <c:v>15365.318950157487</c:v>
                </c:pt>
                <c:pt idx="1261">
                  <c:v>19345.856195329019</c:v>
                </c:pt>
                <c:pt idx="1262">
                  <c:v>19671.631324444563</c:v>
                </c:pt>
                <c:pt idx="1263">
                  <c:v>20887.822976786301</c:v>
                </c:pt>
                <c:pt idx="1264">
                  <c:v>25033.034076149692</c:v>
                </c:pt>
                <c:pt idx="1265">
                  <c:v>47365.907154181616</c:v>
                </c:pt>
                <c:pt idx="1266">
                  <c:v>23698.114734251845</c:v>
                </c:pt>
                <c:pt idx="1267">
                  <c:v>40604.483280702698</c:v>
                </c:pt>
                <c:pt idx="1268">
                  <c:v>15657.884065555014</c:v>
                </c:pt>
                <c:pt idx="1269">
                  <c:v>21407.15812409814</c:v>
                </c:pt>
                <c:pt idx="1270">
                  <c:v>18358.899432379985</c:v>
                </c:pt>
                <c:pt idx="1271">
                  <c:v>17951.197162646793</c:v>
                </c:pt>
                <c:pt idx="1272">
                  <c:v>21097.872413085257</c:v>
                </c:pt>
                <c:pt idx="1273">
                  <c:v>17849.933730236597</c:v>
                </c:pt>
                <c:pt idx="1274">
                  <c:v>38724.704154678169</c:v>
                </c:pt>
                <c:pt idx="1275">
                  <c:v>21773.997595377718</c:v>
                </c:pt>
                <c:pt idx="1276">
                  <c:v>16147.986746459106</c:v>
                </c:pt>
                <c:pt idx="1277">
                  <c:v>18138.022725756739</c:v>
                </c:pt>
                <c:pt idx="1278">
                  <c:v>44546.148576795691</c:v>
                </c:pt>
                <c:pt idx="1279">
                  <c:v>16292.104627409642</c:v>
                </c:pt>
                <c:pt idx="1280">
                  <c:v>22785.066682122095</c:v>
                </c:pt>
                <c:pt idx="1281">
                  <c:v>46081.489327981362</c:v>
                </c:pt>
                <c:pt idx="1282">
                  <c:v>36004.545093663764</c:v>
                </c:pt>
                <c:pt idx="1283">
                  <c:v>14304.223894839914</c:v>
                </c:pt>
                <c:pt idx="1284">
                  <c:v>51399.295608085624</c:v>
                </c:pt>
                <c:pt idx="1285">
                  <c:v>20507.099361938897</c:v>
                </c:pt>
                <c:pt idx="1286">
                  <c:v>13242.298684845084</c:v>
                </c:pt>
                <c:pt idx="1287">
                  <c:v>17733.0546945815</c:v>
                </c:pt>
                <c:pt idx="1288">
                  <c:v>42395.185405397096</c:v>
                </c:pt>
                <c:pt idx="1289">
                  <c:v>22437.628976801461</c:v>
                </c:pt>
                <c:pt idx="1290">
                  <c:v>17664.117887121662</c:v>
                </c:pt>
                <c:pt idx="1291">
                  <c:v>39660.957421312705</c:v>
                </c:pt>
                <c:pt idx="1292">
                  <c:v>12285.993053676895</c:v>
                </c:pt>
                <c:pt idx="1293">
                  <c:v>21675.817057424647</c:v>
                </c:pt>
                <c:pt idx="1294">
                  <c:v>23491.215283291887</c:v>
                </c:pt>
                <c:pt idx="1295">
                  <c:v>12169.184225506549</c:v>
                </c:pt>
                <c:pt idx="1296">
                  <c:v>13539.194962728268</c:v>
                </c:pt>
                <c:pt idx="1297">
                  <c:v>16285.641368047474</c:v>
                </c:pt>
                <c:pt idx="1298">
                  <c:v>18441.204734964529</c:v>
                </c:pt>
                <c:pt idx="1299">
                  <c:v>13921.008808013095</c:v>
                </c:pt>
                <c:pt idx="1300">
                  <c:v>44724.313249803548</c:v>
                </c:pt>
                <c:pt idx="1301">
                  <c:v>51374.115656958624</c:v>
                </c:pt>
                <c:pt idx="1302">
                  <c:v>13177.748203255389</c:v>
                </c:pt>
                <c:pt idx="1303">
                  <c:v>43417.236361572097</c:v>
                </c:pt>
                <c:pt idx="1304">
                  <c:v>43987.709006347199</c:v>
                </c:pt>
                <c:pt idx="1305">
                  <c:v>14717.638946468935</c:v>
                </c:pt>
                <c:pt idx="1306">
                  <c:v>38894.411727760657</c:v>
                </c:pt>
                <c:pt idx="1307">
                  <c:v>43209.447661289443</c:v>
                </c:pt>
                <c:pt idx="1308">
                  <c:v>39739.200663960946</c:v>
                </c:pt>
                <c:pt idx="1309">
                  <c:v>21498.441400770556</c:v>
                </c:pt>
                <c:pt idx="1310">
                  <c:v>19890.730825535175</c:v>
                </c:pt>
                <c:pt idx="1311">
                  <c:v>17363.73097931713</c:v>
                </c:pt>
                <c:pt idx="1312">
                  <c:v>22854.316341495978</c:v>
                </c:pt>
                <c:pt idx="1313">
                  <c:v>40675.434180283904</c:v>
                </c:pt>
                <c:pt idx="1314">
                  <c:v>40837.050000088326</c:v>
                </c:pt>
                <c:pt idx="1315">
                  <c:v>14755.833204017086</c:v>
                </c:pt>
                <c:pt idx="1316">
                  <c:v>0</c:v>
                </c:pt>
                <c:pt idx="1317">
                  <c:v>21664.092128101183</c:v>
                </c:pt>
                <c:pt idx="1318">
                  <c:v>24415.698203762971</c:v>
                </c:pt>
                <c:pt idx="1319">
                  <c:v>19726.976672467361</c:v>
                </c:pt>
                <c:pt idx="1320">
                  <c:v>19627.480942574097</c:v>
                </c:pt>
                <c:pt idx="1321">
                  <c:v>48882.749284842546</c:v>
                </c:pt>
                <c:pt idx="1322">
                  <c:v>28115.30525310948</c:v>
                </c:pt>
                <c:pt idx="1323">
                  <c:v>48431.386112529384</c:v>
                </c:pt>
                <c:pt idx="1324">
                  <c:v>16936.417435252224</c:v>
                </c:pt>
                <c:pt idx="1325">
                  <c:v>27097.441613090552</c:v>
                </c:pt>
                <c:pt idx="1326">
                  <c:v>22122.921627624841</c:v>
                </c:pt>
                <c:pt idx="1327">
                  <c:v>22780.483528572397</c:v>
                </c:pt>
                <c:pt idx="1328">
                  <c:v>15261.324613247783</c:v>
                </c:pt>
                <c:pt idx="1329">
                  <c:v>26494.699381790764</c:v>
                </c:pt>
                <c:pt idx="1330">
                  <c:v>23473.296632350219</c:v>
                </c:pt>
                <c:pt idx="1331">
                  <c:v>16462.372468528141</c:v>
                </c:pt>
                <c:pt idx="1332">
                  <c:v>29170.594353361128</c:v>
                </c:pt>
                <c:pt idx="1333">
                  <c:v>24475.528262690677</c:v>
                </c:pt>
                <c:pt idx="1334">
                  <c:v>15636.135385798194</c:v>
                </c:pt>
                <c:pt idx="1335">
                  <c:v>16273.337062711815</c:v>
                </c:pt>
                <c:pt idx="1336">
                  <c:v>13370.789516011066</c:v>
                </c:pt>
                <c:pt idx="1337">
                  <c:v>49209.827844601416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332-4003-B4EB-3747B19E080A}"/>
            </c:ext>
          </c:extLst>
        </c:ser>
        <c:ser>
          <c:idx val="3"/>
          <c:order val="3"/>
          <c:tx>
            <c:strRef>
              <c:f>Project_Analysis!$L$2</c:f>
              <c:strCache>
                <c:ptCount val="1"/>
                <c:pt idx="0">
                  <c:v>Charges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Project_Analysis!$L$3:$L$1340</c:f>
              <c:numCache>
                <c:formatCode>_("$"* #,##0.00_);_("$"* \(#,##0.00\);_("$"* "-"??_);_(@_)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xVal>
          <c:yVal>
            <c:numRef>
              <c:f>Project_Analysis!$L$3:$L$1340</c:f>
              <c:numCache>
                <c:formatCode>_("$"* #,##0.00_);_("$"* \(#,##0.00\);_("$"* "-"??_);_(@_)</c:formatCode>
                <c:ptCount val="1338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  <c:pt idx="12">
                  <c:v>1826.8430000000001</c:v>
                </c:pt>
                <c:pt idx="13">
                  <c:v>11090.7178</c:v>
                </c:pt>
                <c:pt idx="14">
                  <c:v>39611.757700000002</c:v>
                </c:pt>
                <c:pt idx="15">
                  <c:v>1837.2370000000001</c:v>
                </c:pt>
                <c:pt idx="16">
                  <c:v>10797.3362</c:v>
                </c:pt>
                <c:pt idx="17">
                  <c:v>2395.17155</c:v>
                </c:pt>
                <c:pt idx="18">
                  <c:v>10602.385</c:v>
                </c:pt>
                <c:pt idx="19">
                  <c:v>36837.466999999997</c:v>
                </c:pt>
                <c:pt idx="20">
                  <c:v>13228.846949999999</c:v>
                </c:pt>
                <c:pt idx="21">
                  <c:v>4149.7359999999999</c:v>
                </c:pt>
                <c:pt idx="22">
                  <c:v>1137.011</c:v>
                </c:pt>
                <c:pt idx="23">
                  <c:v>37701.876799999998</c:v>
                </c:pt>
                <c:pt idx="24">
                  <c:v>6203.90175</c:v>
                </c:pt>
                <c:pt idx="25">
                  <c:v>14001.1338</c:v>
                </c:pt>
                <c:pt idx="26">
                  <c:v>14451.835150000001</c:v>
                </c:pt>
                <c:pt idx="27">
                  <c:v>12268.632250000001</c:v>
                </c:pt>
                <c:pt idx="28">
                  <c:v>2775.1921499999999</c:v>
                </c:pt>
                <c:pt idx="29">
                  <c:v>38711</c:v>
                </c:pt>
                <c:pt idx="30">
                  <c:v>35585.576000000001</c:v>
                </c:pt>
                <c:pt idx="31">
                  <c:v>2198.1898500000002</c:v>
                </c:pt>
                <c:pt idx="32">
                  <c:v>4687.7969999999996</c:v>
                </c:pt>
                <c:pt idx="33">
                  <c:v>13770.097900000001</c:v>
                </c:pt>
                <c:pt idx="34">
                  <c:v>51194.559139999998</c:v>
                </c:pt>
                <c:pt idx="35">
                  <c:v>1625.4337499999999</c:v>
                </c:pt>
                <c:pt idx="36">
                  <c:v>15612.19335</c:v>
                </c:pt>
                <c:pt idx="37">
                  <c:v>2302.3000000000002</c:v>
                </c:pt>
                <c:pt idx="38">
                  <c:v>39774.276299999998</c:v>
                </c:pt>
                <c:pt idx="39">
                  <c:v>48173.360999999997</c:v>
                </c:pt>
                <c:pt idx="40">
                  <c:v>3046.0619999999999</c:v>
                </c:pt>
                <c:pt idx="41">
                  <c:v>4949.7587000000003</c:v>
                </c:pt>
                <c:pt idx="42">
                  <c:v>6272.4772000000003</c:v>
                </c:pt>
                <c:pt idx="43">
                  <c:v>6313.759</c:v>
                </c:pt>
                <c:pt idx="44">
                  <c:v>6079.6715000000004</c:v>
                </c:pt>
                <c:pt idx="45">
                  <c:v>20630.283510000001</c:v>
                </c:pt>
                <c:pt idx="46">
                  <c:v>3393.35635</c:v>
                </c:pt>
                <c:pt idx="47">
                  <c:v>3556.9223000000002</c:v>
                </c:pt>
                <c:pt idx="48">
                  <c:v>12629.896699999999</c:v>
                </c:pt>
                <c:pt idx="49">
                  <c:v>38709.175999999999</c:v>
                </c:pt>
                <c:pt idx="50">
                  <c:v>2211.1307499999998</c:v>
                </c:pt>
                <c:pt idx="51">
                  <c:v>3579.8287</c:v>
                </c:pt>
                <c:pt idx="52">
                  <c:v>23568.272000000001</c:v>
                </c:pt>
                <c:pt idx="53">
                  <c:v>37742.575700000001</c:v>
                </c:pt>
                <c:pt idx="54">
                  <c:v>8059.6791000000003</c:v>
                </c:pt>
                <c:pt idx="55">
                  <c:v>47496.494449999998</c:v>
                </c:pt>
                <c:pt idx="56">
                  <c:v>13607.36875</c:v>
                </c:pt>
                <c:pt idx="57">
                  <c:v>34303.167200000004</c:v>
                </c:pt>
                <c:pt idx="58">
                  <c:v>23244.790199999999</c:v>
                </c:pt>
                <c:pt idx="59">
                  <c:v>5989.5236500000001</c:v>
                </c:pt>
                <c:pt idx="60">
                  <c:v>8606.2173999999995</c:v>
                </c:pt>
                <c:pt idx="61">
                  <c:v>4504.6624000000002</c:v>
                </c:pt>
                <c:pt idx="62">
                  <c:v>30166.618170000002</c:v>
                </c:pt>
                <c:pt idx="63">
                  <c:v>4133.6416499999996</c:v>
                </c:pt>
                <c:pt idx="64">
                  <c:v>14711.7438</c:v>
                </c:pt>
                <c:pt idx="65">
                  <c:v>1743.2139999999999</c:v>
                </c:pt>
                <c:pt idx="66">
                  <c:v>14235.072</c:v>
                </c:pt>
                <c:pt idx="67">
                  <c:v>6389.3778499999999</c:v>
                </c:pt>
                <c:pt idx="68">
                  <c:v>5920.1040999999996</c:v>
                </c:pt>
                <c:pt idx="69">
                  <c:v>17663.144199999999</c:v>
                </c:pt>
                <c:pt idx="70">
                  <c:v>16577.779500000001</c:v>
                </c:pt>
                <c:pt idx="71">
                  <c:v>6799.4579999999996</c:v>
                </c:pt>
                <c:pt idx="72">
                  <c:v>11741.726000000001</c:v>
                </c:pt>
                <c:pt idx="73">
                  <c:v>11946.625899999999</c:v>
                </c:pt>
                <c:pt idx="74">
                  <c:v>7726.8540000000003</c:v>
                </c:pt>
                <c:pt idx="75">
                  <c:v>11356.660900000001</c:v>
                </c:pt>
                <c:pt idx="76">
                  <c:v>3947.4131000000002</c:v>
                </c:pt>
                <c:pt idx="77">
                  <c:v>1532.4697000000001</c:v>
                </c:pt>
                <c:pt idx="78">
                  <c:v>2755.0209500000001</c:v>
                </c:pt>
                <c:pt idx="79">
                  <c:v>6571.0243499999997</c:v>
                </c:pt>
                <c:pt idx="80">
                  <c:v>4441.2131499999996</c:v>
                </c:pt>
                <c:pt idx="81">
                  <c:v>7935.29115</c:v>
                </c:pt>
                <c:pt idx="82">
                  <c:v>37165.163800000002</c:v>
                </c:pt>
                <c:pt idx="83">
                  <c:v>11033.661700000001</c:v>
                </c:pt>
                <c:pt idx="84">
                  <c:v>39836.519</c:v>
                </c:pt>
                <c:pt idx="85">
                  <c:v>21098.554049999999</c:v>
                </c:pt>
                <c:pt idx="86">
                  <c:v>43578.939400000003</c:v>
                </c:pt>
                <c:pt idx="87">
                  <c:v>11073.175999999999</c:v>
                </c:pt>
                <c:pt idx="88">
                  <c:v>8026.6665999999996</c:v>
                </c:pt>
                <c:pt idx="89">
                  <c:v>11082.5772</c:v>
                </c:pt>
                <c:pt idx="90">
                  <c:v>2026.9740999999999</c:v>
                </c:pt>
                <c:pt idx="91">
                  <c:v>10942.13205</c:v>
                </c:pt>
                <c:pt idx="92">
                  <c:v>30184.936699999998</c:v>
                </c:pt>
                <c:pt idx="93">
                  <c:v>5729.0052999999998</c:v>
                </c:pt>
                <c:pt idx="94">
                  <c:v>47291.055</c:v>
                </c:pt>
                <c:pt idx="95">
                  <c:v>3766.8838000000001</c:v>
                </c:pt>
                <c:pt idx="96">
                  <c:v>12105.32</c:v>
                </c:pt>
                <c:pt idx="97">
                  <c:v>10226.2842</c:v>
                </c:pt>
                <c:pt idx="98">
                  <c:v>22412.648499999999</c:v>
                </c:pt>
                <c:pt idx="99">
                  <c:v>15820.699000000001</c:v>
                </c:pt>
                <c:pt idx="100">
                  <c:v>6186.1270000000004</c:v>
                </c:pt>
                <c:pt idx="101">
                  <c:v>3645.0893999999998</c:v>
                </c:pt>
                <c:pt idx="102">
                  <c:v>21344.846699999998</c:v>
                </c:pt>
                <c:pt idx="103">
                  <c:v>30942.191800000001</c:v>
                </c:pt>
                <c:pt idx="104">
                  <c:v>5003.8530000000001</c:v>
                </c:pt>
                <c:pt idx="105">
                  <c:v>17560.37975</c:v>
                </c:pt>
                <c:pt idx="106">
                  <c:v>2331.5189999999998</c:v>
                </c:pt>
                <c:pt idx="107">
                  <c:v>3877.3042500000001</c:v>
                </c:pt>
                <c:pt idx="108">
                  <c:v>2867.1196</c:v>
                </c:pt>
                <c:pt idx="109">
                  <c:v>47055.532099999997</c:v>
                </c:pt>
                <c:pt idx="110">
                  <c:v>10825.253699999999</c:v>
                </c:pt>
                <c:pt idx="111">
                  <c:v>11881.358</c:v>
                </c:pt>
                <c:pt idx="112">
                  <c:v>4646.759</c:v>
                </c:pt>
                <c:pt idx="113">
                  <c:v>2404.7338</c:v>
                </c:pt>
                <c:pt idx="114">
                  <c:v>11488.31695</c:v>
                </c:pt>
                <c:pt idx="115">
                  <c:v>30259.995559999999</c:v>
                </c:pt>
                <c:pt idx="116">
                  <c:v>11381.3254</c:v>
                </c:pt>
                <c:pt idx="117">
                  <c:v>19107.779600000002</c:v>
                </c:pt>
                <c:pt idx="118">
                  <c:v>8601.3292999999994</c:v>
                </c:pt>
                <c:pt idx="119">
                  <c:v>6686.4313000000002</c:v>
                </c:pt>
                <c:pt idx="120">
                  <c:v>7740.3370000000004</c:v>
                </c:pt>
                <c:pt idx="121">
                  <c:v>1705.6244999999999</c:v>
                </c:pt>
                <c:pt idx="122">
                  <c:v>2257.47525</c:v>
                </c:pt>
                <c:pt idx="123">
                  <c:v>39556.494500000001</c:v>
                </c:pt>
                <c:pt idx="124">
                  <c:v>10115.00885</c:v>
                </c:pt>
                <c:pt idx="125">
                  <c:v>3385.3991500000002</c:v>
                </c:pt>
                <c:pt idx="126">
                  <c:v>17081.080000000002</c:v>
                </c:pt>
                <c:pt idx="127">
                  <c:v>9634.5380000000005</c:v>
                </c:pt>
                <c:pt idx="128">
                  <c:v>32734.186300000001</c:v>
                </c:pt>
                <c:pt idx="129">
                  <c:v>6082.4049999999997</c:v>
                </c:pt>
                <c:pt idx="130">
                  <c:v>12815.444949999999</c:v>
                </c:pt>
                <c:pt idx="131">
                  <c:v>13616.3586</c:v>
                </c:pt>
                <c:pt idx="132">
                  <c:v>11163.567999999999</c:v>
                </c:pt>
                <c:pt idx="133">
                  <c:v>1632.5644500000001</c:v>
                </c:pt>
                <c:pt idx="134">
                  <c:v>2457.2111500000001</c:v>
                </c:pt>
                <c:pt idx="135">
                  <c:v>2155.6815000000001</c:v>
                </c:pt>
                <c:pt idx="136">
                  <c:v>1261.442</c:v>
                </c:pt>
                <c:pt idx="137">
                  <c:v>2045.68525</c:v>
                </c:pt>
                <c:pt idx="138">
                  <c:v>27322.73386</c:v>
                </c:pt>
                <c:pt idx="139">
                  <c:v>2166.732</c:v>
                </c:pt>
                <c:pt idx="140">
                  <c:v>27375.904780000001</c:v>
                </c:pt>
                <c:pt idx="141">
                  <c:v>3490.5491000000002</c:v>
                </c:pt>
                <c:pt idx="142">
                  <c:v>18972.494999999999</c:v>
                </c:pt>
                <c:pt idx="143">
                  <c:v>18157.876</c:v>
                </c:pt>
                <c:pt idx="144">
                  <c:v>20745.989099999999</c:v>
                </c:pt>
                <c:pt idx="145">
                  <c:v>5138.2566999999999</c:v>
                </c:pt>
                <c:pt idx="146">
                  <c:v>40720.551050000002</c:v>
                </c:pt>
                <c:pt idx="147">
                  <c:v>9877.6077000000005</c:v>
                </c:pt>
                <c:pt idx="148">
                  <c:v>10959.6947</c:v>
                </c:pt>
                <c:pt idx="149">
                  <c:v>1842.519</c:v>
                </c:pt>
                <c:pt idx="150">
                  <c:v>5125.2156999999997</c:v>
                </c:pt>
                <c:pt idx="151">
                  <c:v>7789.6350000000002</c:v>
                </c:pt>
                <c:pt idx="152">
                  <c:v>6334.3435499999996</c:v>
                </c:pt>
                <c:pt idx="153">
                  <c:v>19964.746299999999</c:v>
                </c:pt>
                <c:pt idx="154">
                  <c:v>7077.1894000000002</c:v>
                </c:pt>
                <c:pt idx="155">
                  <c:v>6948.7007999999996</c:v>
                </c:pt>
                <c:pt idx="156">
                  <c:v>21223.675800000001</c:v>
                </c:pt>
                <c:pt idx="157">
                  <c:v>15518.180249999999</c:v>
                </c:pt>
                <c:pt idx="158">
                  <c:v>36950.256699999998</c:v>
                </c:pt>
                <c:pt idx="159">
                  <c:v>19749.383379999999</c:v>
                </c:pt>
                <c:pt idx="160">
                  <c:v>21348.705999999998</c:v>
                </c:pt>
                <c:pt idx="161">
                  <c:v>36149.483500000002</c:v>
                </c:pt>
                <c:pt idx="162">
                  <c:v>10450.552</c:v>
                </c:pt>
                <c:pt idx="163">
                  <c:v>5152.134</c:v>
                </c:pt>
                <c:pt idx="164">
                  <c:v>5028.1466</c:v>
                </c:pt>
                <c:pt idx="165">
                  <c:v>10407.085849999999</c:v>
                </c:pt>
                <c:pt idx="166">
                  <c:v>4830.63</c:v>
                </c:pt>
                <c:pt idx="167">
                  <c:v>6128.79745</c:v>
                </c:pt>
                <c:pt idx="168">
                  <c:v>2719.2797500000001</c:v>
                </c:pt>
                <c:pt idx="169">
                  <c:v>4827.9049500000001</c:v>
                </c:pt>
                <c:pt idx="170">
                  <c:v>13405.390299999999</c:v>
                </c:pt>
                <c:pt idx="171">
                  <c:v>8116.68</c:v>
                </c:pt>
                <c:pt idx="172">
                  <c:v>1694.7963999999999</c:v>
                </c:pt>
                <c:pt idx="173">
                  <c:v>5246.0469999999996</c:v>
                </c:pt>
                <c:pt idx="174">
                  <c:v>2855.4375500000001</c:v>
                </c:pt>
                <c:pt idx="175">
                  <c:v>48824.45</c:v>
                </c:pt>
                <c:pt idx="176">
                  <c:v>6455.86265</c:v>
                </c:pt>
                <c:pt idx="177">
                  <c:v>10436.096</c:v>
                </c:pt>
                <c:pt idx="178">
                  <c:v>8823.2790000000005</c:v>
                </c:pt>
                <c:pt idx="179">
                  <c:v>8538.28845</c:v>
                </c:pt>
                <c:pt idx="180">
                  <c:v>11735.87905</c:v>
                </c:pt>
                <c:pt idx="181">
                  <c:v>1631.8212000000001</c:v>
                </c:pt>
                <c:pt idx="182">
                  <c:v>4005.4225000000001</c:v>
                </c:pt>
                <c:pt idx="183">
                  <c:v>7419.4778999999999</c:v>
                </c:pt>
                <c:pt idx="184">
                  <c:v>7731.4270999999999</c:v>
                </c:pt>
                <c:pt idx="185">
                  <c:v>43753.337050000002</c:v>
                </c:pt>
                <c:pt idx="186">
                  <c:v>3981.9767999999999</c:v>
                </c:pt>
                <c:pt idx="187">
                  <c:v>5325.6509999999998</c:v>
                </c:pt>
                <c:pt idx="188">
                  <c:v>6775.9610000000002</c:v>
                </c:pt>
                <c:pt idx="189">
                  <c:v>4922.9159</c:v>
                </c:pt>
                <c:pt idx="190">
                  <c:v>12557.605299999999</c:v>
                </c:pt>
                <c:pt idx="191">
                  <c:v>4883.866</c:v>
                </c:pt>
                <c:pt idx="192">
                  <c:v>2137.6536000000001</c:v>
                </c:pt>
                <c:pt idx="193">
                  <c:v>12044.342000000001</c:v>
                </c:pt>
                <c:pt idx="194">
                  <c:v>1137.4697000000001</c:v>
                </c:pt>
                <c:pt idx="195">
                  <c:v>1639.5631000000001</c:v>
                </c:pt>
                <c:pt idx="196">
                  <c:v>5649.7150000000001</c:v>
                </c:pt>
                <c:pt idx="197">
                  <c:v>8516.8289999999997</c:v>
                </c:pt>
                <c:pt idx="198">
                  <c:v>9644.2525000000005</c:v>
                </c:pt>
                <c:pt idx="199">
                  <c:v>14901.5167</c:v>
                </c:pt>
                <c:pt idx="200">
                  <c:v>2130.6759000000002</c:v>
                </c:pt>
                <c:pt idx="201">
                  <c:v>8871.1517000000003</c:v>
                </c:pt>
                <c:pt idx="202">
                  <c:v>13012.20865</c:v>
                </c:pt>
                <c:pt idx="203">
                  <c:v>37133.898200000003</c:v>
                </c:pt>
                <c:pt idx="204">
                  <c:v>7147.1049999999996</c:v>
                </c:pt>
                <c:pt idx="205">
                  <c:v>4337.7352000000001</c:v>
                </c:pt>
                <c:pt idx="206">
                  <c:v>11743.299000000001</c:v>
                </c:pt>
                <c:pt idx="207">
                  <c:v>20984.0936</c:v>
                </c:pt>
                <c:pt idx="208">
                  <c:v>13880.949000000001</c:v>
                </c:pt>
                <c:pt idx="209">
                  <c:v>6610.1097</c:v>
                </c:pt>
                <c:pt idx="210">
                  <c:v>1980.07</c:v>
                </c:pt>
                <c:pt idx="211">
                  <c:v>8162.7162500000004</c:v>
                </c:pt>
                <c:pt idx="212">
                  <c:v>3537.703</c:v>
                </c:pt>
                <c:pt idx="213">
                  <c:v>5002.7826999999997</c:v>
                </c:pt>
                <c:pt idx="214">
                  <c:v>8520.0259999999998</c:v>
                </c:pt>
                <c:pt idx="215">
                  <c:v>7371.7719999999999</c:v>
                </c:pt>
                <c:pt idx="216">
                  <c:v>10355.641</c:v>
                </c:pt>
                <c:pt idx="217">
                  <c:v>2483.7359999999999</c:v>
                </c:pt>
                <c:pt idx="218">
                  <c:v>3392.9767999999999</c:v>
                </c:pt>
                <c:pt idx="219">
                  <c:v>25081.76784</c:v>
                </c:pt>
                <c:pt idx="220">
                  <c:v>5012.4709999999995</c:v>
                </c:pt>
                <c:pt idx="221">
                  <c:v>10564.8845</c:v>
                </c:pt>
                <c:pt idx="222">
                  <c:v>5253.5240000000003</c:v>
                </c:pt>
                <c:pt idx="223">
                  <c:v>34779.614999999998</c:v>
                </c:pt>
                <c:pt idx="224">
                  <c:v>19515.5416</c:v>
                </c:pt>
                <c:pt idx="225">
                  <c:v>11987.1682</c:v>
                </c:pt>
                <c:pt idx="226">
                  <c:v>2689.4953999999998</c:v>
                </c:pt>
                <c:pt idx="227">
                  <c:v>24227.337240000001</c:v>
                </c:pt>
                <c:pt idx="228">
                  <c:v>7358.1756500000001</c:v>
                </c:pt>
                <c:pt idx="229">
                  <c:v>9225.2564000000002</c:v>
                </c:pt>
                <c:pt idx="230">
                  <c:v>7443.6430499999997</c:v>
                </c:pt>
                <c:pt idx="231">
                  <c:v>14001.286700000001</c:v>
                </c:pt>
                <c:pt idx="232">
                  <c:v>1727.7850000000001</c:v>
                </c:pt>
                <c:pt idx="233">
                  <c:v>12333.828</c:v>
                </c:pt>
                <c:pt idx="234">
                  <c:v>6710.1918999999998</c:v>
                </c:pt>
                <c:pt idx="235">
                  <c:v>19444.265800000001</c:v>
                </c:pt>
                <c:pt idx="236">
                  <c:v>1615.7666999999999</c:v>
                </c:pt>
                <c:pt idx="237">
                  <c:v>4463.2051000000001</c:v>
                </c:pt>
                <c:pt idx="238">
                  <c:v>17352.6803</c:v>
                </c:pt>
                <c:pt idx="239">
                  <c:v>7152.6714000000002</c:v>
                </c:pt>
                <c:pt idx="240">
                  <c:v>38511.628299999997</c:v>
                </c:pt>
                <c:pt idx="241">
                  <c:v>5354.0746499999996</c:v>
                </c:pt>
                <c:pt idx="242">
                  <c:v>35160.134570000002</c:v>
                </c:pt>
                <c:pt idx="243">
                  <c:v>7196.8670000000002</c:v>
                </c:pt>
                <c:pt idx="244">
                  <c:v>29523.1656</c:v>
                </c:pt>
                <c:pt idx="245">
                  <c:v>24476.478510000001</c:v>
                </c:pt>
                <c:pt idx="246">
                  <c:v>12648.7034</c:v>
                </c:pt>
                <c:pt idx="247">
                  <c:v>1986.9333999999999</c:v>
                </c:pt>
                <c:pt idx="248">
                  <c:v>1832.0940000000001</c:v>
                </c:pt>
                <c:pt idx="249">
                  <c:v>4040.55825</c:v>
                </c:pt>
                <c:pt idx="250">
                  <c:v>12829.455099999999</c:v>
                </c:pt>
                <c:pt idx="251">
                  <c:v>47305.305</c:v>
                </c:pt>
                <c:pt idx="252">
                  <c:v>44260.749900000003</c:v>
                </c:pt>
                <c:pt idx="253">
                  <c:v>4260.7439999999997</c:v>
                </c:pt>
                <c:pt idx="254">
                  <c:v>41097.161749999999</c:v>
                </c:pt>
                <c:pt idx="255">
                  <c:v>13047.332350000001</c:v>
                </c:pt>
                <c:pt idx="256">
                  <c:v>43921.183700000001</c:v>
                </c:pt>
                <c:pt idx="257">
                  <c:v>5400.9804999999997</c:v>
                </c:pt>
                <c:pt idx="258">
                  <c:v>11520.099850000001</c:v>
                </c:pt>
                <c:pt idx="259">
                  <c:v>33750.291799999999</c:v>
                </c:pt>
                <c:pt idx="260">
                  <c:v>11837.16</c:v>
                </c:pt>
                <c:pt idx="261">
                  <c:v>17085.267599999999</c:v>
                </c:pt>
                <c:pt idx="262">
                  <c:v>24869.836800000001</c:v>
                </c:pt>
                <c:pt idx="263">
                  <c:v>36219.405449999998</c:v>
                </c:pt>
                <c:pt idx="264">
                  <c:v>20462.997660000001</c:v>
                </c:pt>
                <c:pt idx="265">
                  <c:v>46151.124499999998</c:v>
                </c:pt>
                <c:pt idx="266">
                  <c:v>17179.522000000001</c:v>
                </c:pt>
                <c:pt idx="267">
                  <c:v>14590.63205</c:v>
                </c:pt>
                <c:pt idx="268">
                  <c:v>7441.0529999999999</c:v>
                </c:pt>
                <c:pt idx="269">
                  <c:v>9282.4806000000008</c:v>
                </c:pt>
                <c:pt idx="270">
                  <c:v>1719.4363000000001</c:v>
                </c:pt>
                <c:pt idx="271">
                  <c:v>42856.838000000003</c:v>
                </c:pt>
                <c:pt idx="272">
                  <c:v>7265.7025000000003</c:v>
                </c:pt>
                <c:pt idx="273">
                  <c:v>9617.6624499999998</c:v>
                </c:pt>
                <c:pt idx="274">
                  <c:v>2523.1695</c:v>
                </c:pt>
                <c:pt idx="275">
                  <c:v>9715.8410000000003</c:v>
                </c:pt>
                <c:pt idx="276">
                  <c:v>2803.69785</c:v>
                </c:pt>
                <c:pt idx="277">
                  <c:v>2150.4690000000001</c:v>
                </c:pt>
                <c:pt idx="278">
                  <c:v>12928.7911</c:v>
                </c:pt>
                <c:pt idx="279">
                  <c:v>9855.1314000000002</c:v>
                </c:pt>
                <c:pt idx="280">
                  <c:v>22331.566800000001</c:v>
                </c:pt>
                <c:pt idx="281">
                  <c:v>48549.178350000002</c:v>
                </c:pt>
                <c:pt idx="282">
                  <c:v>4237.12655</c:v>
                </c:pt>
                <c:pt idx="283">
                  <c:v>11879.10405</c:v>
                </c:pt>
                <c:pt idx="284">
                  <c:v>9625.92</c:v>
                </c:pt>
                <c:pt idx="285">
                  <c:v>7742.1098000000002</c:v>
                </c:pt>
                <c:pt idx="286">
                  <c:v>9432.9253000000008</c:v>
                </c:pt>
                <c:pt idx="287">
                  <c:v>14256.192800000001</c:v>
                </c:pt>
                <c:pt idx="288">
                  <c:v>47896.79135</c:v>
                </c:pt>
                <c:pt idx="289">
                  <c:v>25992.821039999999</c:v>
                </c:pt>
                <c:pt idx="290">
                  <c:v>3172.018</c:v>
                </c:pt>
                <c:pt idx="291">
                  <c:v>20277.807509999999</c:v>
                </c:pt>
                <c:pt idx="292">
                  <c:v>42112.2356</c:v>
                </c:pt>
                <c:pt idx="293">
                  <c:v>2156.7518</c:v>
                </c:pt>
                <c:pt idx="294">
                  <c:v>3906.127</c:v>
                </c:pt>
                <c:pt idx="295">
                  <c:v>1704.5681</c:v>
                </c:pt>
                <c:pt idx="296">
                  <c:v>16297.846</c:v>
                </c:pt>
                <c:pt idx="297">
                  <c:v>21978.676899999999</c:v>
                </c:pt>
                <c:pt idx="298">
                  <c:v>38746.355100000001</c:v>
                </c:pt>
                <c:pt idx="299">
                  <c:v>9249.4951999999994</c:v>
                </c:pt>
                <c:pt idx="300">
                  <c:v>6746.7425000000003</c:v>
                </c:pt>
                <c:pt idx="301">
                  <c:v>24873.384900000001</c:v>
                </c:pt>
                <c:pt idx="302">
                  <c:v>12265.5069</c:v>
                </c:pt>
                <c:pt idx="303">
                  <c:v>4349.4620000000004</c:v>
                </c:pt>
                <c:pt idx="304">
                  <c:v>12646.207</c:v>
                </c:pt>
                <c:pt idx="305">
                  <c:v>19442.353500000001</c:v>
                </c:pt>
                <c:pt idx="306">
                  <c:v>20177.671129999999</c:v>
                </c:pt>
                <c:pt idx="307">
                  <c:v>4151.0286999999998</c:v>
                </c:pt>
                <c:pt idx="308">
                  <c:v>11944.594349999999</c:v>
                </c:pt>
                <c:pt idx="309">
                  <c:v>7749.1563999999998</c:v>
                </c:pt>
                <c:pt idx="310">
                  <c:v>8444.4740000000002</c:v>
                </c:pt>
                <c:pt idx="311">
                  <c:v>1737.376</c:v>
                </c:pt>
                <c:pt idx="312">
                  <c:v>42124.515299999999</c:v>
                </c:pt>
                <c:pt idx="313">
                  <c:v>8124.4084000000003</c:v>
                </c:pt>
                <c:pt idx="314">
                  <c:v>34838.873</c:v>
                </c:pt>
                <c:pt idx="315">
                  <c:v>9722.7695000000003</c:v>
                </c:pt>
                <c:pt idx="316">
                  <c:v>8835.2649500000007</c:v>
                </c:pt>
                <c:pt idx="317">
                  <c:v>10435.06525</c:v>
                </c:pt>
                <c:pt idx="318">
                  <c:v>7421.1945500000002</c:v>
                </c:pt>
                <c:pt idx="319">
                  <c:v>4667.6076499999999</c:v>
                </c:pt>
                <c:pt idx="320">
                  <c:v>4894.7533000000003</c:v>
                </c:pt>
                <c:pt idx="321">
                  <c:v>24671.663339999999</c:v>
                </c:pt>
                <c:pt idx="322">
                  <c:v>35491.64</c:v>
                </c:pt>
                <c:pt idx="323">
                  <c:v>11566.30055</c:v>
                </c:pt>
                <c:pt idx="324">
                  <c:v>2866.0909999999999</c:v>
                </c:pt>
                <c:pt idx="325">
                  <c:v>6600.2059499999996</c:v>
                </c:pt>
                <c:pt idx="326">
                  <c:v>3561.8888999999999</c:v>
                </c:pt>
                <c:pt idx="327">
                  <c:v>42760.502200000003</c:v>
                </c:pt>
                <c:pt idx="328">
                  <c:v>47928.03</c:v>
                </c:pt>
                <c:pt idx="329">
                  <c:v>9144.5650000000005</c:v>
                </c:pt>
                <c:pt idx="330">
                  <c:v>48517.563150000002</c:v>
                </c:pt>
                <c:pt idx="331">
                  <c:v>24393.6224</c:v>
                </c:pt>
                <c:pt idx="332">
                  <c:v>13429.035400000001</c:v>
                </c:pt>
                <c:pt idx="333">
                  <c:v>11658.379150000001</c:v>
                </c:pt>
                <c:pt idx="334">
                  <c:v>19144.576519999999</c:v>
                </c:pt>
                <c:pt idx="335">
                  <c:v>13822.803</c:v>
                </c:pt>
                <c:pt idx="336">
                  <c:v>12142.578600000001</c:v>
                </c:pt>
                <c:pt idx="337">
                  <c:v>13937.666499999999</c:v>
                </c:pt>
                <c:pt idx="338">
                  <c:v>41919.097000000002</c:v>
                </c:pt>
                <c:pt idx="339">
                  <c:v>8232.6388000000006</c:v>
                </c:pt>
                <c:pt idx="340">
                  <c:v>18955.220170000001</c:v>
                </c:pt>
                <c:pt idx="341">
                  <c:v>13352.0998</c:v>
                </c:pt>
                <c:pt idx="342">
                  <c:v>13217.094499999999</c:v>
                </c:pt>
                <c:pt idx="343">
                  <c:v>13981.850350000001</c:v>
                </c:pt>
                <c:pt idx="344">
                  <c:v>10977.2063</c:v>
                </c:pt>
                <c:pt idx="345">
                  <c:v>6184.2993999999999</c:v>
                </c:pt>
                <c:pt idx="346">
                  <c:v>4889.9994999999999</c:v>
                </c:pt>
                <c:pt idx="347">
                  <c:v>8334.4575499999992</c:v>
                </c:pt>
                <c:pt idx="348">
                  <c:v>5478.0367999999999</c:v>
                </c:pt>
                <c:pt idx="349">
                  <c:v>1635.7336499999999</c:v>
                </c:pt>
                <c:pt idx="350">
                  <c:v>11830.6072</c:v>
                </c:pt>
                <c:pt idx="351">
                  <c:v>8932.0840000000007</c:v>
                </c:pt>
                <c:pt idx="352">
                  <c:v>3554.203</c:v>
                </c:pt>
                <c:pt idx="353">
                  <c:v>12404.8791</c:v>
                </c:pt>
                <c:pt idx="354">
                  <c:v>14133.03775</c:v>
                </c:pt>
                <c:pt idx="355">
                  <c:v>24603.04837</c:v>
                </c:pt>
                <c:pt idx="356">
                  <c:v>8944.1151000000009</c:v>
                </c:pt>
                <c:pt idx="357">
                  <c:v>9620.3307000000004</c:v>
                </c:pt>
                <c:pt idx="358">
                  <c:v>1837.2819</c:v>
                </c:pt>
                <c:pt idx="359">
                  <c:v>1607.5101</c:v>
                </c:pt>
                <c:pt idx="360">
                  <c:v>10043.249</c:v>
                </c:pt>
                <c:pt idx="361">
                  <c:v>4751.07</c:v>
                </c:pt>
                <c:pt idx="362">
                  <c:v>13844.505999999999</c:v>
                </c:pt>
                <c:pt idx="363">
                  <c:v>2597.779</c:v>
                </c:pt>
                <c:pt idx="364">
                  <c:v>3180.5101</c:v>
                </c:pt>
                <c:pt idx="365">
                  <c:v>9778.3472000000002</c:v>
                </c:pt>
                <c:pt idx="366">
                  <c:v>13430.264999999999</c:v>
                </c:pt>
                <c:pt idx="367">
                  <c:v>8017.0611500000005</c:v>
                </c:pt>
                <c:pt idx="368">
                  <c:v>8116.2688500000004</c:v>
                </c:pt>
                <c:pt idx="369">
                  <c:v>3481.8679999999999</c:v>
                </c:pt>
                <c:pt idx="370">
                  <c:v>13415.0381</c:v>
                </c:pt>
                <c:pt idx="371">
                  <c:v>12029.286700000001</c:v>
                </c:pt>
                <c:pt idx="372">
                  <c:v>7639.4174499999999</c:v>
                </c:pt>
                <c:pt idx="373">
                  <c:v>36085.218999999997</c:v>
                </c:pt>
                <c:pt idx="374">
                  <c:v>1391.5287000000001</c:v>
                </c:pt>
                <c:pt idx="375">
                  <c:v>18033.9679</c:v>
                </c:pt>
                <c:pt idx="376">
                  <c:v>21659.930100000001</c:v>
                </c:pt>
                <c:pt idx="377">
                  <c:v>38126.246500000001</c:v>
                </c:pt>
                <c:pt idx="378">
                  <c:v>16455.707849999999</c:v>
                </c:pt>
                <c:pt idx="379">
                  <c:v>27000.98473</c:v>
                </c:pt>
                <c:pt idx="380">
                  <c:v>15006.579449999999</c:v>
                </c:pt>
                <c:pt idx="381">
                  <c:v>42303.692150000003</c:v>
                </c:pt>
                <c:pt idx="382">
                  <c:v>20781.48892</c:v>
                </c:pt>
                <c:pt idx="383">
                  <c:v>5846.9175999999998</c:v>
                </c:pt>
                <c:pt idx="384">
                  <c:v>8302.5356499999998</c:v>
                </c:pt>
                <c:pt idx="385">
                  <c:v>1261.8589999999999</c:v>
                </c:pt>
                <c:pt idx="386">
                  <c:v>11856.4115</c:v>
                </c:pt>
                <c:pt idx="387">
                  <c:v>30284.642940000002</c:v>
                </c:pt>
                <c:pt idx="388">
                  <c:v>3176.8159000000001</c:v>
                </c:pt>
                <c:pt idx="389">
                  <c:v>4618.0798999999997</c:v>
                </c:pt>
                <c:pt idx="390">
                  <c:v>10736.87075</c:v>
                </c:pt>
                <c:pt idx="391">
                  <c:v>2138.0707000000002</c:v>
                </c:pt>
                <c:pt idx="392">
                  <c:v>8964.0605500000001</c:v>
                </c:pt>
                <c:pt idx="393">
                  <c:v>9290.1394999999993</c:v>
                </c:pt>
                <c:pt idx="394">
                  <c:v>9411.0049999999992</c:v>
                </c:pt>
                <c:pt idx="395">
                  <c:v>7526.7064499999997</c:v>
                </c:pt>
                <c:pt idx="396">
                  <c:v>8522.0030000000006</c:v>
                </c:pt>
                <c:pt idx="397">
                  <c:v>16586.49771</c:v>
                </c:pt>
                <c:pt idx="398">
                  <c:v>14988.432000000001</c:v>
                </c:pt>
                <c:pt idx="399">
                  <c:v>1631.6683</c:v>
                </c:pt>
                <c:pt idx="400">
                  <c:v>9264.7970000000005</c:v>
                </c:pt>
                <c:pt idx="401">
                  <c:v>8083.9197999999997</c:v>
                </c:pt>
                <c:pt idx="402">
                  <c:v>14692.66935</c:v>
                </c:pt>
                <c:pt idx="403">
                  <c:v>10269.459999999999</c:v>
                </c:pt>
                <c:pt idx="404">
                  <c:v>3260.1990000000001</c:v>
                </c:pt>
                <c:pt idx="405">
                  <c:v>11396.9002</c:v>
                </c:pt>
                <c:pt idx="406">
                  <c:v>4185.0978999999998</c:v>
                </c:pt>
                <c:pt idx="407">
                  <c:v>8539.6710000000003</c:v>
                </c:pt>
                <c:pt idx="408">
                  <c:v>6652.5288</c:v>
                </c:pt>
                <c:pt idx="409">
                  <c:v>4074.4537</c:v>
                </c:pt>
                <c:pt idx="410">
                  <c:v>1621.3402000000001</c:v>
                </c:pt>
                <c:pt idx="411">
                  <c:v>19594.809649999999</c:v>
                </c:pt>
                <c:pt idx="412">
                  <c:v>14455.644050000001</c:v>
                </c:pt>
                <c:pt idx="413">
                  <c:v>5080.0959999999995</c:v>
                </c:pt>
                <c:pt idx="414">
                  <c:v>2134.9014999999999</c:v>
                </c:pt>
                <c:pt idx="415">
                  <c:v>7345.7266</c:v>
                </c:pt>
                <c:pt idx="416">
                  <c:v>9140.9509999999991</c:v>
                </c:pt>
                <c:pt idx="417">
                  <c:v>18608.261999999999</c:v>
                </c:pt>
                <c:pt idx="418">
                  <c:v>14418.2804</c:v>
                </c:pt>
                <c:pt idx="419">
                  <c:v>28950.4692</c:v>
                </c:pt>
                <c:pt idx="420">
                  <c:v>46889.261200000001</c:v>
                </c:pt>
                <c:pt idx="421">
                  <c:v>46599.108399999997</c:v>
                </c:pt>
                <c:pt idx="422">
                  <c:v>39125.332249999999</c:v>
                </c:pt>
                <c:pt idx="423">
                  <c:v>2727.3951000000002</c:v>
                </c:pt>
                <c:pt idx="424">
                  <c:v>8968.33</c:v>
                </c:pt>
                <c:pt idx="425">
                  <c:v>9788.8659000000007</c:v>
                </c:pt>
                <c:pt idx="426">
                  <c:v>6555.07035</c:v>
                </c:pt>
                <c:pt idx="427">
                  <c:v>7323.7348190000002</c:v>
                </c:pt>
                <c:pt idx="428">
                  <c:v>3167.4558499999998</c:v>
                </c:pt>
                <c:pt idx="429">
                  <c:v>18804.752400000001</c:v>
                </c:pt>
                <c:pt idx="430">
                  <c:v>23082.955330000001</c:v>
                </c:pt>
                <c:pt idx="431">
                  <c:v>4906.4096499999996</c:v>
                </c:pt>
                <c:pt idx="432">
                  <c:v>5969.723</c:v>
                </c:pt>
                <c:pt idx="433">
                  <c:v>12638.195</c:v>
                </c:pt>
                <c:pt idx="434">
                  <c:v>4243.5900499999998</c:v>
                </c:pt>
                <c:pt idx="435">
                  <c:v>13919.822899999999</c:v>
                </c:pt>
                <c:pt idx="436">
                  <c:v>2254.7966999999999</c:v>
                </c:pt>
                <c:pt idx="437">
                  <c:v>5926.8459999999995</c:v>
                </c:pt>
                <c:pt idx="438">
                  <c:v>12592.5345</c:v>
                </c:pt>
                <c:pt idx="439">
                  <c:v>2897.3235</c:v>
                </c:pt>
                <c:pt idx="440">
                  <c:v>4738.2682000000004</c:v>
                </c:pt>
                <c:pt idx="441">
                  <c:v>37079.372000000003</c:v>
                </c:pt>
                <c:pt idx="442">
                  <c:v>1149.3959</c:v>
                </c:pt>
                <c:pt idx="443">
                  <c:v>28287.897659999999</c:v>
                </c:pt>
                <c:pt idx="444">
                  <c:v>26109.32905</c:v>
                </c:pt>
                <c:pt idx="445">
                  <c:v>7345.0839999999998</c:v>
                </c:pt>
                <c:pt idx="446">
                  <c:v>12730.999599999999</c:v>
                </c:pt>
                <c:pt idx="447">
                  <c:v>11454.021500000001</c:v>
                </c:pt>
                <c:pt idx="448">
                  <c:v>5910.9440000000004</c:v>
                </c:pt>
                <c:pt idx="449">
                  <c:v>4762.3289999999997</c:v>
                </c:pt>
                <c:pt idx="450">
                  <c:v>7512.2669999999998</c:v>
                </c:pt>
                <c:pt idx="451">
                  <c:v>4032.2406999999998</c:v>
                </c:pt>
                <c:pt idx="452">
                  <c:v>1969.614</c:v>
                </c:pt>
                <c:pt idx="453">
                  <c:v>1769.5316499999999</c:v>
                </c:pt>
                <c:pt idx="454">
                  <c:v>4686.3887000000004</c:v>
                </c:pt>
                <c:pt idx="455">
                  <c:v>21797.000400000001</c:v>
                </c:pt>
                <c:pt idx="456">
                  <c:v>11881.9696</c:v>
                </c:pt>
                <c:pt idx="457">
                  <c:v>11840.77505</c:v>
                </c:pt>
                <c:pt idx="458">
                  <c:v>10601.412</c:v>
                </c:pt>
                <c:pt idx="459">
                  <c:v>7682.67</c:v>
                </c:pt>
                <c:pt idx="460">
                  <c:v>10381.4787</c:v>
                </c:pt>
                <c:pt idx="461">
                  <c:v>22144.031999999999</c:v>
                </c:pt>
                <c:pt idx="462">
                  <c:v>15230.324049999999</c:v>
                </c:pt>
                <c:pt idx="463">
                  <c:v>11165.417649999999</c:v>
                </c:pt>
                <c:pt idx="464">
                  <c:v>1632.0362500000001</c:v>
                </c:pt>
                <c:pt idx="465">
                  <c:v>19521.968199999999</c:v>
                </c:pt>
                <c:pt idx="466">
                  <c:v>13224.692999999999</c:v>
                </c:pt>
                <c:pt idx="467">
                  <c:v>12643.3778</c:v>
                </c:pt>
                <c:pt idx="468">
                  <c:v>23288.928400000001</c:v>
                </c:pt>
                <c:pt idx="469">
                  <c:v>2201.0971</c:v>
                </c:pt>
                <c:pt idx="470">
                  <c:v>2497.0383000000002</c:v>
                </c:pt>
                <c:pt idx="471">
                  <c:v>2203.4718499999999</c:v>
                </c:pt>
                <c:pt idx="472">
                  <c:v>1744.4649999999999</c:v>
                </c:pt>
                <c:pt idx="473">
                  <c:v>20878.78443</c:v>
                </c:pt>
                <c:pt idx="474">
                  <c:v>25382.296999999999</c:v>
                </c:pt>
                <c:pt idx="475">
                  <c:v>28868.6639</c:v>
                </c:pt>
                <c:pt idx="476">
                  <c:v>35147.528480000001</c:v>
                </c:pt>
                <c:pt idx="477">
                  <c:v>2534.3937500000002</c:v>
                </c:pt>
                <c:pt idx="478">
                  <c:v>1534.3045</c:v>
                </c:pt>
                <c:pt idx="479">
                  <c:v>1824.2854</c:v>
                </c:pt>
                <c:pt idx="480">
                  <c:v>15555.188749999999</c:v>
                </c:pt>
                <c:pt idx="481">
                  <c:v>9304.7019</c:v>
                </c:pt>
                <c:pt idx="482">
                  <c:v>1622.1885</c:v>
                </c:pt>
                <c:pt idx="483">
                  <c:v>9880.0679999999993</c:v>
                </c:pt>
                <c:pt idx="484">
                  <c:v>9563.0290000000005</c:v>
                </c:pt>
                <c:pt idx="485">
                  <c:v>4347.0233500000004</c:v>
                </c:pt>
                <c:pt idx="486">
                  <c:v>12475.3513</c:v>
                </c:pt>
                <c:pt idx="487">
                  <c:v>1253.9359999999999</c:v>
                </c:pt>
                <c:pt idx="488">
                  <c:v>48885.135609999998</c:v>
                </c:pt>
                <c:pt idx="489">
                  <c:v>10461.9794</c:v>
                </c:pt>
                <c:pt idx="490">
                  <c:v>1748.7739999999999</c:v>
                </c:pt>
                <c:pt idx="491">
                  <c:v>24513.091260000001</c:v>
                </c:pt>
                <c:pt idx="492">
                  <c:v>2196.4731999999999</c:v>
                </c:pt>
                <c:pt idx="493">
                  <c:v>12574.049000000001</c:v>
                </c:pt>
                <c:pt idx="494">
                  <c:v>17942.106</c:v>
                </c:pt>
                <c:pt idx="495">
                  <c:v>1967.0227</c:v>
                </c:pt>
                <c:pt idx="496">
                  <c:v>4931.6469999999999</c:v>
                </c:pt>
                <c:pt idx="497">
                  <c:v>8027.9679999999998</c:v>
                </c:pt>
                <c:pt idx="498">
                  <c:v>8211.1002000000008</c:v>
                </c:pt>
                <c:pt idx="499">
                  <c:v>13470.86</c:v>
                </c:pt>
                <c:pt idx="500">
                  <c:v>36197.699000000001</c:v>
                </c:pt>
                <c:pt idx="501">
                  <c:v>6837.3687</c:v>
                </c:pt>
                <c:pt idx="502">
                  <c:v>22218.1149</c:v>
                </c:pt>
                <c:pt idx="503">
                  <c:v>32548.340499999998</c:v>
                </c:pt>
                <c:pt idx="504">
                  <c:v>5974.3846999999996</c:v>
                </c:pt>
                <c:pt idx="505">
                  <c:v>6796.8632500000003</c:v>
                </c:pt>
                <c:pt idx="506">
                  <c:v>2643.2685000000001</c:v>
                </c:pt>
                <c:pt idx="507">
                  <c:v>3077.0954999999999</c:v>
                </c:pt>
                <c:pt idx="508">
                  <c:v>3044.2132999999999</c:v>
                </c:pt>
                <c:pt idx="509">
                  <c:v>11455.28</c:v>
                </c:pt>
                <c:pt idx="510">
                  <c:v>11763.000899999999</c:v>
                </c:pt>
                <c:pt idx="511">
                  <c:v>2498.4144000000001</c:v>
                </c:pt>
                <c:pt idx="512">
                  <c:v>9361.3268000000007</c:v>
                </c:pt>
                <c:pt idx="513">
                  <c:v>1256.299</c:v>
                </c:pt>
                <c:pt idx="514">
                  <c:v>21082.16</c:v>
                </c:pt>
                <c:pt idx="515">
                  <c:v>11362.754999999999</c:v>
                </c:pt>
                <c:pt idx="516">
                  <c:v>27724.28875</c:v>
                </c:pt>
                <c:pt idx="517">
                  <c:v>8413.4630500000003</c:v>
                </c:pt>
                <c:pt idx="518">
                  <c:v>5240.7650000000003</c:v>
                </c:pt>
                <c:pt idx="519">
                  <c:v>3857.7592500000001</c:v>
                </c:pt>
                <c:pt idx="520">
                  <c:v>25656.575260000001</c:v>
                </c:pt>
                <c:pt idx="521">
                  <c:v>3994.1777999999999</c:v>
                </c:pt>
                <c:pt idx="522">
                  <c:v>9866.3048500000004</c:v>
                </c:pt>
                <c:pt idx="523">
                  <c:v>5397.6166999999996</c:v>
                </c:pt>
                <c:pt idx="524">
                  <c:v>38245.593269999998</c:v>
                </c:pt>
                <c:pt idx="525">
                  <c:v>11482.63485</c:v>
                </c:pt>
                <c:pt idx="526">
                  <c:v>24059.680189999999</c:v>
                </c:pt>
                <c:pt idx="527">
                  <c:v>9861.0249999999996</c:v>
                </c:pt>
                <c:pt idx="528">
                  <c:v>8342.9087500000005</c:v>
                </c:pt>
                <c:pt idx="529">
                  <c:v>1708.0014000000001</c:v>
                </c:pt>
                <c:pt idx="530">
                  <c:v>48675.517699999997</c:v>
                </c:pt>
                <c:pt idx="531">
                  <c:v>14043.476699999999</c:v>
                </c:pt>
                <c:pt idx="532">
                  <c:v>12925.886</c:v>
                </c:pt>
                <c:pt idx="533">
                  <c:v>19214.705529999999</c:v>
                </c:pt>
                <c:pt idx="534">
                  <c:v>13831.1152</c:v>
                </c:pt>
                <c:pt idx="535">
                  <c:v>6067.1267500000004</c:v>
                </c:pt>
                <c:pt idx="536">
                  <c:v>5972.3779999999997</c:v>
                </c:pt>
                <c:pt idx="537">
                  <c:v>8825.0859999999993</c:v>
                </c:pt>
                <c:pt idx="538">
                  <c:v>8233.0974999999999</c:v>
                </c:pt>
                <c:pt idx="539">
                  <c:v>27346.04207</c:v>
                </c:pt>
                <c:pt idx="540">
                  <c:v>6196.4480000000003</c:v>
                </c:pt>
                <c:pt idx="541">
                  <c:v>3056.3881000000001</c:v>
                </c:pt>
                <c:pt idx="542">
                  <c:v>13887.204</c:v>
                </c:pt>
                <c:pt idx="543">
                  <c:v>63770.428010000003</c:v>
                </c:pt>
                <c:pt idx="544">
                  <c:v>10231.499900000001</c:v>
                </c:pt>
                <c:pt idx="545">
                  <c:v>23807.240600000001</c:v>
                </c:pt>
                <c:pt idx="546">
                  <c:v>3268.84665</c:v>
                </c:pt>
                <c:pt idx="547">
                  <c:v>11538.421</c:v>
                </c:pt>
                <c:pt idx="548">
                  <c:v>3213.6220499999999</c:v>
                </c:pt>
                <c:pt idx="549">
                  <c:v>45863.205000000002</c:v>
                </c:pt>
                <c:pt idx="550">
                  <c:v>13390.558999999999</c:v>
                </c:pt>
                <c:pt idx="551">
                  <c:v>3972.9247</c:v>
                </c:pt>
                <c:pt idx="552">
                  <c:v>12957.118</c:v>
                </c:pt>
                <c:pt idx="553">
                  <c:v>11187.6567</c:v>
                </c:pt>
                <c:pt idx="554">
                  <c:v>17878.900679999999</c:v>
                </c:pt>
                <c:pt idx="555">
                  <c:v>3847.674</c:v>
                </c:pt>
                <c:pt idx="556">
                  <c:v>8334.5895999999993</c:v>
                </c:pt>
                <c:pt idx="557">
                  <c:v>3935.1799000000001</c:v>
                </c:pt>
                <c:pt idx="558">
                  <c:v>39983.425949999997</c:v>
                </c:pt>
                <c:pt idx="559">
                  <c:v>1646.4296999999999</c:v>
                </c:pt>
                <c:pt idx="560">
                  <c:v>9193.8384999999998</c:v>
                </c:pt>
                <c:pt idx="561">
                  <c:v>10923.933199999999</c:v>
                </c:pt>
                <c:pt idx="562">
                  <c:v>2494.0219999999999</c:v>
                </c:pt>
                <c:pt idx="563">
                  <c:v>9058.7302999999993</c:v>
                </c:pt>
                <c:pt idx="564">
                  <c:v>2801.2588000000001</c:v>
                </c:pt>
                <c:pt idx="565">
                  <c:v>2128.4310500000001</c:v>
                </c:pt>
                <c:pt idx="566">
                  <c:v>6373.55735</c:v>
                </c:pt>
                <c:pt idx="567">
                  <c:v>7256.7231000000002</c:v>
                </c:pt>
                <c:pt idx="568">
                  <c:v>11552.904</c:v>
                </c:pt>
                <c:pt idx="569">
                  <c:v>45702.022349999999</c:v>
                </c:pt>
                <c:pt idx="570">
                  <c:v>3761.2919999999999</c:v>
                </c:pt>
                <c:pt idx="571">
                  <c:v>2219.4450999999999</c:v>
                </c:pt>
                <c:pt idx="572">
                  <c:v>4753.6368000000002</c:v>
                </c:pt>
                <c:pt idx="573">
                  <c:v>31620.001059999999</c:v>
                </c:pt>
                <c:pt idx="574">
                  <c:v>13224.057049999999</c:v>
                </c:pt>
                <c:pt idx="575">
                  <c:v>12222.898300000001</c:v>
                </c:pt>
                <c:pt idx="576">
                  <c:v>1664.9996000000001</c:v>
                </c:pt>
                <c:pt idx="577">
                  <c:v>58571.074480000003</c:v>
                </c:pt>
                <c:pt idx="578">
                  <c:v>9724.5300000000007</c:v>
                </c:pt>
                <c:pt idx="579">
                  <c:v>3206.4913499999998</c:v>
                </c:pt>
                <c:pt idx="580">
                  <c:v>12913.992399999999</c:v>
                </c:pt>
                <c:pt idx="581">
                  <c:v>1639.5631000000001</c:v>
                </c:pt>
                <c:pt idx="582">
                  <c:v>6356.2707</c:v>
                </c:pt>
                <c:pt idx="583">
                  <c:v>17626.239509999999</c:v>
                </c:pt>
                <c:pt idx="584">
                  <c:v>1242.816</c:v>
                </c:pt>
                <c:pt idx="585">
                  <c:v>4779.6022999999996</c:v>
                </c:pt>
                <c:pt idx="586">
                  <c:v>3861.2096499999998</c:v>
                </c:pt>
                <c:pt idx="587">
                  <c:v>43943.876100000001</c:v>
                </c:pt>
                <c:pt idx="588">
                  <c:v>13635.6379</c:v>
                </c:pt>
                <c:pt idx="589">
                  <c:v>5976.8311000000003</c:v>
                </c:pt>
                <c:pt idx="590">
                  <c:v>11842.441999999999</c:v>
                </c:pt>
                <c:pt idx="591">
                  <c:v>8428.0692999999992</c:v>
                </c:pt>
                <c:pt idx="592">
                  <c:v>2566.4706999999999</c:v>
                </c:pt>
                <c:pt idx="593">
                  <c:v>15359.104499999999</c:v>
                </c:pt>
                <c:pt idx="594">
                  <c:v>5709.1643999999997</c:v>
                </c:pt>
                <c:pt idx="595">
                  <c:v>8823.9857499999998</c:v>
                </c:pt>
                <c:pt idx="596">
                  <c:v>7640.3091999999997</c:v>
                </c:pt>
                <c:pt idx="597">
                  <c:v>5594.8455000000004</c:v>
                </c:pt>
                <c:pt idx="598">
                  <c:v>7441.5010000000002</c:v>
                </c:pt>
                <c:pt idx="599">
                  <c:v>33471.971890000001</c:v>
                </c:pt>
                <c:pt idx="600">
                  <c:v>1633.0444</c:v>
                </c:pt>
                <c:pt idx="601">
                  <c:v>9174.1356500000002</c:v>
                </c:pt>
                <c:pt idx="602">
                  <c:v>11070.535</c:v>
                </c:pt>
                <c:pt idx="603">
                  <c:v>16085.127500000001</c:v>
                </c:pt>
                <c:pt idx="604">
                  <c:v>17468.983899999999</c:v>
                </c:pt>
                <c:pt idx="605">
                  <c:v>9283.5619999999999</c:v>
                </c:pt>
                <c:pt idx="606">
                  <c:v>3558.6202499999999</c:v>
                </c:pt>
                <c:pt idx="607">
                  <c:v>25678.778450000002</c:v>
                </c:pt>
                <c:pt idx="608">
                  <c:v>4435.0941999999995</c:v>
                </c:pt>
                <c:pt idx="609">
                  <c:v>39241.442000000003</c:v>
                </c:pt>
                <c:pt idx="610">
                  <c:v>8547.6913000000004</c:v>
                </c:pt>
                <c:pt idx="611">
                  <c:v>6571.5439999999999</c:v>
                </c:pt>
                <c:pt idx="612">
                  <c:v>2207.6974500000001</c:v>
                </c:pt>
                <c:pt idx="613">
                  <c:v>6753.0379999999996</c:v>
                </c:pt>
                <c:pt idx="614">
                  <c:v>1880.07</c:v>
                </c:pt>
                <c:pt idx="615">
                  <c:v>42969.852700000003</c:v>
                </c:pt>
                <c:pt idx="616">
                  <c:v>11658.11505</c:v>
                </c:pt>
                <c:pt idx="617">
                  <c:v>23306.546999999999</c:v>
                </c:pt>
                <c:pt idx="618">
                  <c:v>34439.855900000002</c:v>
                </c:pt>
                <c:pt idx="619">
                  <c:v>10713.644</c:v>
                </c:pt>
                <c:pt idx="620">
                  <c:v>3659.346</c:v>
                </c:pt>
                <c:pt idx="621">
                  <c:v>40182.245999999999</c:v>
                </c:pt>
                <c:pt idx="622">
                  <c:v>9182.17</c:v>
                </c:pt>
                <c:pt idx="623">
                  <c:v>34617.840649999998</c:v>
                </c:pt>
                <c:pt idx="624">
                  <c:v>12129.614149999999</c:v>
                </c:pt>
                <c:pt idx="625">
                  <c:v>3736.4647</c:v>
                </c:pt>
                <c:pt idx="626">
                  <c:v>6748.5911999999998</c:v>
                </c:pt>
                <c:pt idx="627">
                  <c:v>11326.71487</c:v>
                </c:pt>
                <c:pt idx="628">
                  <c:v>11365.951999999999</c:v>
                </c:pt>
                <c:pt idx="629">
                  <c:v>42983.458500000001</c:v>
                </c:pt>
                <c:pt idx="630">
                  <c:v>10085.846</c:v>
                </c:pt>
                <c:pt idx="631">
                  <c:v>1977.8150000000001</c:v>
                </c:pt>
                <c:pt idx="632">
                  <c:v>3366.6696999999999</c:v>
                </c:pt>
                <c:pt idx="633">
                  <c:v>7173.35995</c:v>
                </c:pt>
                <c:pt idx="634">
                  <c:v>9391.3459999999995</c:v>
                </c:pt>
                <c:pt idx="635">
                  <c:v>14410.9321</c:v>
                </c:pt>
                <c:pt idx="636">
                  <c:v>2709.1118999999999</c:v>
                </c:pt>
                <c:pt idx="637">
                  <c:v>24915.046259999999</c:v>
                </c:pt>
                <c:pt idx="638">
                  <c:v>20149.322899999999</c:v>
                </c:pt>
                <c:pt idx="639">
                  <c:v>12949.1554</c:v>
                </c:pt>
                <c:pt idx="640">
                  <c:v>6666.2430000000004</c:v>
                </c:pt>
                <c:pt idx="641">
                  <c:v>32787.458590000002</c:v>
                </c:pt>
                <c:pt idx="642">
                  <c:v>13143.86485</c:v>
                </c:pt>
                <c:pt idx="643">
                  <c:v>4466.6214</c:v>
                </c:pt>
                <c:pt idx="644">
                  <c:v>18806.145469999999</c:v>
                </c:pt>
                <c:pt idx="645">
                  <c:v>10141.136200000001</c:v>
                </c:pt>
                <c:pt idx="646">
                  <c:v>6123.5688</c:v>
                </c:pt>
                <c:pt idx="647">
                  <c:v>8252.2842999999993</c:v>
                </c:pt>
                <c:pt idx="648">
                  <c:v>1712.2270000000001</c:v>
                </c:pt>
                <c:pt idx="649">
                  <c:v>12430.95335</c:v>
                </c:pt>
                <c:pt idx="650">
                  <c:v>9800.8881999999994</c:v>
                </c:pt>
                <c:pt idx="651">
                  <c:v>10579.710999999999</c:v>
                </c:pt>
                <c:pt idx="652">
                  <c:v>8280.6226999999999</c:v>
                </c:pt>
                <c:pt idx="653">
                  <c:v>8527.5319999999992</c:v>
                </c:pt>
                <c:pt idx="654">
                  <c:v>12244.531000000001</c:v>
                </c:pt>
                <c:pt idx="655">
                  <c:v>24667.419000000002</c:v>
                </c:pt>
                <c:pt idx="656">
                  <c:v>3410.3240000000001</c:v>
                </c:pt>
                <c:pt idx="657">
                  <c:v>4058.71245</c:v>
                </c:pt>
                <c:pt idx="658">
                  <c:v>26392.260289999998</c:v>
                </c:pt>
                <c:pt idx="659">
                  <c:v>14394.398150000001</c:v>
                </c:pt>
                <c:pt idx="660">
                  <c:v>6435.6237000000001</c:v>
                </c:pt>
                <c:pt idx="661">
                  <c:v>22192.437109999999</c:v>
                </c:pt>
                <c:pt idx="662">
                  <c:v>5148.5526</c:v>
                </c:pt>
                <c:pt idx="663">
                  <c:v>1136.3994</c:v>
                </c:pt>
                <c:pt idx="664">
                  <c:v>27037.914100000002</c:v>
                </c:pt>
                <c:pt idx="665">
                  <c:v>42560.430399999997</c:v>
                </c:pt>
                <c:pt idx="666">
                  <c:v>8703.4560000000001</c:v>
                </c:pt>
                <c:pt idx="667">
                  <c:v>40003.332249999999</c:v>
                </c:pt>
                <c:pt idx="668">
                  <c:v>45710.207849999999</c:v>
                </c:pt>
                <c:pt idx="669">
                  <c:v>6500.2358999999997</c:v>
                </c:pt>
                <c:pt idx="670">
                  <c:v>4837.5823</c:v>
                </c:pt>
                <c:pt idx="671">
                  <c:v>3943.5954000000002</c:v>
                </c:pt>
                <c:pt idx="672">
                  <c:v>4399.7309999999998</c:v>
                </c:pt>
                <c:pt idx="673">
                  <c:v>6185.3208000000004</c:v>
                </c:pt>
                <c:pt idx="674">
                  <c:v>46200.985099999998</c:v>
                </c:pt>
                <c:pt idx="675">
                  <c:v>7222.7862500000001</c:v>
                </c:pt>
                <c:pt idx="676">
                  <c:v>12485.8009</c:v>
                </c:pt>
                <c:pt idx="677">
                  <c:v>46130.5265</c:v>
                </c:pt>
                <c:pt idx="678">
                  <c:v>12363.547</c:v>
                </c:pt>
                <c:pt idx="679">
                  <c:v>10156.7832</c:v>
                </c:pt>
                <c:pt idx="680">
                  <c:v>2585.2689999999998</c:v>
                </c:pt>
                <c:pt idx="681">
                  <c:v>1242.26</c:v>
                </c:pt>
                <c:pt idx="682">
                  <c:v>40103.89</c:v>
                </c:pt>
                <c:pt idx="683">
                  <c:v>9863.4717999999993</c:v>
                </c:pt>
                <c:pt idx="684">
                  <c:v>4766.0219999999999</c:v>
                </c:pt>
                <c:pt idx="685">
                  <c:v>11244.376899999999</c:v>
                </c:pt>
                <c:pt idx="686">
                  <c:v>7729.6457499999997</c:v>
                </c:pt>
                <c:pt idx="687">
                  <c:v>5438.7491</c:v>
                </c:pt>
                <c:pt idx="688">
                  <c:v>26236.579969999999</c:v>
                </c:pt>
                <c:pt idx="689">
                  <c:v>34806.467700000001</c:v>
                </c:pt>
                <c:pt idx="690">
                  <c:v>2104.1134000000002</c:v>
                </c:pt>
                <c:pt idx="691">
                  <c:v>8068.1850000000004</c:v>
                </c:pt>
                <c:pt idx="692">
                  <c:v>2362.2290499999999</c:v>
                </c:pt>
                <c:pt idx="693">
                  <c:v>2352.9684499999998</c:v>
                </c:pt>
                <c:pt idx="694">
                  <c:v>3577.9989999999998</c:v>
                </c:pt>
                <c:pt idx="695">
                  <c:v>3201.2451500000002</c:v>
                </c:pt>
                <c:pt idx="696">
                  <c:v>29186.482360000002</c:v>
                </c:pt>
                <c:pt idx="697">
                  <c:v>40273.645499999999</c:v>
                </c:pt>
                <c:pt idx="698">
                  <c:v>10976.24575</c:v>
                </c:pt>
                <c:pt idx="699">
                  <c:v>3500.6122999999998</c:v>
                </c:pt>
                <c:pt idx="700">
                  <c:v>2020.5523000000001</c:v>
                </c:pt>
                <c:pt idx="701">
                  <c:v>9541.6955500000004</c:v>
                </c:pt>
                <c:pt idx="702">
                  <c:v>9504.3102999999992</c:v>
                </c:pt>
                <c:pt idx="703">
                  <c:v>5385.3379000000004</c:v>
                </c:pt>
                <c:pt idx="704">
                  <c:v>8930.9345499999999</c:v>
                </c:pt>
                <c:pt idx="705">
                  <c:v>5375.0379999999996</c:v>
                </c:pt>
                <c:pt idx="706">
                  <c:v>44400.4064</c:v>
                </c:pt>
                <c:pt idx="707">
                  <c:v>10264.4421</c:v>
                </c:pt>
                <c:pt idx="708">
                  <c:v>6113.2310500000003</c:v>
                </c:pt>
                <c:pt idx="709">
                  <c:v>5469.0065999999997</c:v>
                </c:pt>
                <c:pt idx="710">
                  <c:v>1727.54</c:v>
                </c:pt>
                <c:pt idx="711">
                  <c:v>10107.220600000001</c:v>
                </c:pt>
                <c:pt idx="712">
                  <c:v>8310.8391499999998</c:v>
                </c:pt>
                <c:pt idx="713">
                  <c:v>1984.4532999999999</c:v>
                </c:pt>
                <c:pt idx="714">
                  <c:v>2457.502</c:v>
                </c:pt>
                <c:pt idx="715">
                  <c:v>12146.971</c:v>
                </c:pt>
                <c:pt idx="716">
                  <c:v>9566.9909000000007</c:v>
                </c:pt>
                <c:pt idx="717">
                  <c:v>13112.604799999999</c:v>
                </c:pt>
                <c:pt idx="718">
                  <c:v>10848.1343</c:v>
                </c:pt>
                <c:pt idx="719">
                  <c:v>12231.613600000001</c:v>
                </c:pt>
                <c:pt idx="720">
                  <c:v>9875.6803999999993</c:v>
                </c:pt>
                <c:pt idx="721">
                  <c:v>11264.540999999999</c:v>
                </c:pt>
                <c:pt idx="722">
                  <c:v>12979.358</c:v>
                </c:pt>
                <c:pt idx="723">
                  <c:v>1263.249</c:v>
                </c:pt>
                <c:pt idx="724">
                  <c:v>10106.134249999999</c:v>
                </c:pt>
                <c:pt idx="725">
                  <c:v>40932.429499999998</c:v>
                </c:pt>
                <c:pt idx="726">
                  <c:v>6664.68595</c:v>
                </c:pt>
                <c:pt idx="727">
                  <c:v>16657.71745</c:v>
                </c:pt>
                <c:pt idx="728">
                  <c:v>2217.6012000000001</c:v>
                </c:pt>
                <c:pt idx="729">
                  <c:v>6781.3541999999998</c:v>
                </c:pt>
                <c:pt idx="730">
                  <c:v>19361.998800000001</c:v>
                </c:pt>
                <c:pt idx="731">
                  <c:v>10065.413</c:v>
                </c:pt>
                <c:pt idx="732">
                  <c:v>4234.9269999999997</c:v>
                </c:pt>
                <c:pt idx="733">
                  <c:v>9447.2503500000003</c:v>
                </c:pt>
                <c:pt idx="734">
                  <c:v>14007.222</c:v>
                </c:pt>
                <c:pt idx="735">
                  <c:v>9583.8932999999997</c:v>
                </c:pt>
                <c:pt idx="736">
                  <c:v>40419.019099999998</c:v>
                </c:pt>
                <c:pt idx="737">
                  <c:v>3484.3310000000001</c:v>
                </c:pt>
                <c:pt idx="738">
                  <c:v>36189.101699999999</c:v>
                </c:pt>
                <c:pt idx="739">
                  <c:v>44585.455869999998</c:v>
                </c:pt>
                <c:pt idx="740">
                  <c:v>8604.4836500000001</c:v>
                </c:pt>
                <c:pt idx="741">
                  <c:v>18246.495500000001</c:v>
                </c:pt>
                <c:pt idx="742">
                  <c:v>43254.417950000003</c:v>
                </c:pt>
                <c:pt idx="743">
                  <c:v>3757.8447999999999</c:v>
                </c:pt>
                <c:pt idx="744">
                  <c:v>8827.2098999999998</c:v>
                </c:pt>
                <c:pt idx="745">
                  <c:v>9910.3598500000007</c:v>
                </c:pt>
                <c:pt idx="746">
                  <c:v>11737.848840000001</c:v>
                </c:pt>
                <c:pt idx="747">
                  <c:v>1627.2824499999999</c:v>
                </c:pt>
                <c:pt idx="748">
                  <c:v>8556.9069999999992</c:v>
                </c:pt>
                <c:pt idx="749">
                  <c:v>3062.5082499999999</c:v>
                </c:pt>
                <c:pt idx="750">
                  <c:v>19539.242999999999</c:v>
                </c:pt>
                <c:pt idx="751">
                  <c:v>1906.35825</c:v>
                </c:pt>
                <c:pt idx="752">
                  <c:v>14210.53595</c:v>
                </c:pt>
                <c:pt idx="753">
                  <c:v>11833.782300000001</c:v>
                </c:pt>
                <c:pt idx="754">
                  <c:v>17128.426080000001</c:v>
                </c:pt>
                <c:pt idx="755">
                  <c:v>5031.26955</c:v>
                </c:pt>
                <c:pt idx="756">
                  <c:v>7985.8149999999996</c:v>
                </c:pt>
                <c:pt idx="757">
                  <c:v>23065.420699999999</c:v>
                </c:pt>
                <c:pt idx="758">
                  <c:v>5428.7277000000004</c:v>
                </c:pt>
                <c:pt idx="759">
                  <c:v>36307.798300000002</c:v>
                </c:pt>
                <c:pt idx="760">
                  <c:v>3925.7582000000002</c:v>
                </c:pt>
                <c:pt idx="761">
                  <c:v>2416.9549999999999</c:v>
                </c:pt>
                <c:pt idx="762">
                  <c:v>19040.876</c:v>
                </c:pt>
                <c:pt idx="763">
                  <c:v>3070.8087</c:v>
                </c:pt>
                <c:pt idx="764">
                  <c:v>9095.0682500000003</c:v>
                </c:pt>
                <c:pt idx="765">
                  <c:v>11842.623750000001</c:v>
                </c:pt>
                <c:pt idx="766">
                  <c:v>8062.7640000000001</c:v>
                </c:pt>
                <c:pt idx="767">
                  <c:v>7050.6419999999998</c:v>
                </c:pt>
                <c:pt idx="768">
                  <c:v>14319.031000000001</c:v>
                </c:pt>
                <c:pt idx="769">
                  <c:v>6933.2422500000002</c:v>
                </c:pt>
                <c:pt idx="770">
                  <c:v>27941.28758</c:v>
                </c:pt>
                <c:pt idx="771">
                  <c:v>11150.78</c:v>
                </c:pt>
                <c:pt idx="772">
                  <c:v>12797.20962</c:v>
                </c:pt>
                <c:pt idx="773">
                  <c:v>17748.5062</c:v>
                </c:pt>
                <c:pt idx="774">
                  <c:v>7261.741</c:v>
                </c:pt>
                <c:pt idx="775">
                  <c:v>10560.4917</c:v>
                </c:pt>
                <c:pt idx="776">
                  <c:v>6986.6970000000001</c:v>
                </c:pt>
                <c:pt idx="777">
                  <c:v>7448.4039499999999</c:v>
                </c:pt>
                <c:pt idx="778">
                  <c:v>5934.3797999999997</c:v>
                </c:pt>
                <c:pt idx="779">
                  <c:v>9869.8101999999999</c:v>
                </c:pt>
                <c:pt idx="780">
                  <c:v>18259.216</c:v>
                </c:pt>
                <c:pt idx="781">
                  <c:v>1146.7965999999999</c:v>
                </c:pt>
                <c:pt idx="782">
                  <c:v>9386.1612999999998</c:v>
                </c:pt>
                <c:pt idx="783">
                  <c:v>24520.263999999999</c:v>
                </c:pt>
                <c:pt idx="784">
                  <c:v>4350.5144</c:v>
                </c:pt>
                <c:pt idx="785">
                  <c:v>6414.1779999999999</c:v>
                </c:pt>
                <c:pt idx="786">
                  <c:v>12741.167450000001</c:v>
                </c:pt>
                <c:pt idx="787">
                  <c:v>1917.3184000000001</c:v>
                </c:pt>
                <c:pt idx="788">
                  <c:v>5209.5788499999999</c:v>
                </c:pt>
                <c:pt idx="789">
                  <c:v>13457.960800000001</c:v>
                </c:pt>
                <c:pt idx="790">
                  <c:v>5662.2250000000004</c:v>
                </c:pt>
                <c:pt idx="791">
                  <c:v>1252.4069999999999</c:v>
                </c:pt>
                <c:pt idx="792">
                  <c:v>2731.9122000000002</c:v>
                </c:pt>
                <c:pt idx="793">
                  <c:v>21195.817999999999</c:v>
                </c:pt>
                <c:pt idx="794">
                  <c:v>7209.4917999999998</c:v>
                </c:pt>
                <c:pt idx="795">
                  <c:v>18310.741999999998</c:v>
                </c:pt>
                <c:pt idx="796">
                  <c:v>4266.1657999999998</c:v>
                </c:pt>
                <c:pt idx="797">
                  <c:v>4719.52405</c:v>
                </c:pt>
                <c:pt idx="798">
                  <c:v>11848.141</c:v>
                </c:pt>
                <c:pt idx="799">
                  <c:v>17904.527050000001</c:v>
                </c:pt>
                <c:pt idx="800">
                  <c:v>7046.7222000000002</c:v>
                </c:pt>
                <c:pt idx="801">
                  <c:v>14313.846299999999</c:v>
                </c:pt>
                <c:pt idx="802">
                  <c:v>2103.08</c:v>
                </c:pt>
                <c:pt idx="803">
                  <c:v>38792.685599999997</c:v>
                </c:pt>
                <c:pt idx="804">
                  <c:v>1815.8759</c:v>
                </c:pt>
                <c:pt idx="805">
                  <c:v>7731.8578500000003</c:v>
                </c:pt>
                <c:pt idx="806">
                  <c:v>28476.734990000001</c:v>
                </c:pt>
                <c:pt idx="807">
                  <c:v>2136.8822500000001</c:v>
                </c:pt>
                <c:pt idx="808">
                  <c:v>1131.5065999999999</c:v>
                </c:pt>
                <c:pt idx="809">
                  <c:v>3309.7926000000002</c:v>
                </c:pt>
                <c:pt idx="810">
                  <c:v>9414.92</c:v>
                </c:pt>
                <c:pt idx="811">
                  <c:v>6360.9935999999998</c:v>
                </c:pt>
                <c:pt idx="812">
                  <c:v>11013.7119</c:v>
                </c:pt>
                <c:pt idx="813">
                  <c:v>4428.8878500000001</c:v>
                </c:pt>
                <c:pt idx="814">
                  <c:v>5584.3056999999999</c:v>
                </c:pt>
                <c:pt idx="815">
                  <c:v>1877.9294</c:v>
                </c:pt>
                <c:pt idx="816">
                  <c:v>2842.7607499999999</c:v>
                </c:pt>
                <c:pt idx="817">
                  <c:v>3597.596</c:v>
                </c:pt>
                <c:pt idx="818">
                  <c:v>23401.30575</c:v>
                </c:pt>
                <c:pt idx="819">
                  <c:v>55135.402090000003</c:v>
                </c:pt>
                <c:pt idx="820">
                  <c:v>7445.9179999999997</c:v>
                </c:pt>
                <c:pt idx="821">
                  <c:v>2680.9493000000002</c:v>
                </c:pt>
                <c:pt idx="822">
                  <c:v>1621.8827000000001</c:v>
                </c:pt>
                <c:pt idx="823">
                  <c:v>8219.2039000000004</c:v>
                </c:pt>
                <c:pt idx="824">
                  <c:v>12523.604799999999</c:v>
                </c:pt>
                <c:pt idx="825">
                  <c:v>16069.08475</c:v>
                </c:pt>
                <c:pt idx="826">
                  <c:v>43813.866099999999</c:v>
                </c:pt>
                <c:pt idx="827">
                  <c:v>20773.62775</c:v>
                </c:pt>
                <c:pt idx="828">
                  <c:v>39597.407200000001</c:v>
                </c:pt>
                <c:pt idx="829">
                  <c:v>6117.4944999999998</c:v>
                </c:pt>
                <c:pt idx="830">
                  <c:v>13393.755999999999</c:v>
                </c:pt>
                <c:pt idx="831">
                  <c:v>5266.3656000000001</c:v>
                </c:pt>
                <c:pt idx="832">
                  <c:v>4719.7365499999996</c:v>
                </c:pt>
                <c:pt idx="833">
                  <c:v>11743.9341</c:v>
                </c:pt>
                <c:pt idx="834">
                  <c:v>5377.4578000000001</c:v>
                </c:pt>
                <c:pt idx="835">
                  <c:v>7160.3302999999996</c:v>
                </c:pt>
                <c:pt idx="836">
                  <c:v>4402.2330000000002</c:v>
                </c:pt>
                <c:pt idx="837">
                  <c:v>11657.7189</c:v>
                </c:pt>
                <c:pt idx="838">
                  <c:v>6402.2913500000004</c:v>
                </c:pt>
                <c:pt idx="839">
                  <c:v>12622.1795</c:v>
                </c:pt>
                <c:pt idx="840">
                  <c:v>1526.3119999999999</c:v>
                </c:pt>
                <c:pt idx="841">
                  <c:v>12323.936</c:v>
                </c:pt>
                <c:pt idx="842">
                  <c:v>36021.011200000001</c:v>
                </c:pt>
                <c:pt idx="843">
                  <c:v>27533.912899999999</c:v>
                </c:pt>
                <c:pt idx="844">
                  <c:v>10072.055050000001</c:v>
                </c:pt>
                <c:pt idx="845">
                  <c:v>45008.955499999996</c:v>
                </c:pt>
                <c:pt idx="846">
                  <c:v>9872.7009999999991</c:v>
                </c:pt>
                <c:pt idx="847">
                  <c:v>2438.0551999999998</c:v>
                </c:pt>
                <c:pt idx="848">
                  <c:v>2974.1260000000002</c:v>
                </c:pt>
                <c:pt idx="849">
                  <c:v>10601.632250000001</c:v>
                </c:pt>
                <c:pt idx="850">
                  <c:v>37270.1512</c:v>
                </c:pt>
                <c:pt idx="851">
                  <c:v>14119.62</c:v>
                </c:pt>
                <c:pt idx="852">
                  <c:v>42111.664700000001</c:v>
                </c:pt>
                <c:pt idx="853">
                  <c:v>11729.6795</c:v>
                </c:pt>
                <c:pt idx="854">
                  <c:v>24106.912550000001</c:v>
                </c:pt>
                <c:pt idx="855">
                  <c:v>1875.3440000000001</c:v>
                </c:pt>
                <c:pt idx="856">
                  <c:v>40974.164900000003</c:v>
                </c:pt>
                <c:pt idx="857">
                  <c:v>15817.985699999999</c:v>
                </c:pt>
                <c:pt idx="858">
                  <c:v>18218.161390000001</c:v>
                </c:pt>
                <c:pt idx="859">
                  <c:v>10965.446</c:v>
                </c:pt>
                <c:pt idx="860">
                  <c:v>46113.510999999999</c:v>
                </c:pt>
                <c:pt idx="861">
                  <c:v>7151.0919999999996</c:v>
                </c:pt>
                <c:pt idx="862">
                  <c:v>12269.68865</c:v>
                </c:pt>
                <c:pt idx="863">
                  <c:v>5458.0464499999998</c:v>
                </c:pt>
                <c:pt idx="864">
                  <c:v>8782.4689999999991</c:v>
                </c:pt>
                <c:pt idx="865">
                  <c:v>6600.3609999999999</c:v>
                </c:pt>
                <c:pt idx="866">
                  <c:v>1141.4450999999999</c:v>
                </c:pt>
                <c:pt idx="867">
                  <c:v>11576.13</c:v>
                </c:pt>
                <c:pt idx="868">
                  <c:v>13129.603450000001</c:v>
                </c:pt>
                <c:pt idx="869">
                  <c:v>4391.652</c:v>
                </c:pt>
                <c:pt idx="870">
                  <c:v>8457.8179999999993</c:v>
                </c:pt>
                <c:pt idx="871">
                  <c:v>3392.3652000000002</c:v>
                </c:pt>
                <c:pt idx="872">
                  <c:v>5966.8873999999996</c:v>
                </c:pt>
                <c:pt idx="873">
                  <c:v>6849.0259999999998</c:v>
                </c:pt>
                <c:pt idx="874">
                  <c:v>8891.1394999999993</c:v>
                </c:pt>
                <c:pt idx="875">
                  <c:v>2690.1138000000001</c:v>
                </c:pt>
                <c:pt idx="876">
                  <c:v>26140.3603</c:v>
                </c:pt>
                <c:pt idx="877">
                  <c:v>6653.7885999999999</c:v>
                </c:pt>
                <c:pt idx="878">
                  <c:v>6282.2349999999997</c:v>
                </c:pt>
                <c:pt idx="879">
                  <c:v>6311.9520000000002</c:v>
                </c:pt>
                <c:pt idx="880">
                  <c:v>3443.0639999999999</c:v>
                </c:pt>
                <c:pt idx="881">
                  <c:v>2789.0574000000001</c:v>
                </c:pt>
                <c:pt idx="882">
                  <c:v>2585.8506499999999</c:v>
                </c:pt>
                <c:pt idx="883">
                  <c:v>46255.112500000003</c:v>
                </c:pt>
                <c:pt idx="884">
                  <c:v>4877.9810500000003</c:v>
                </c:pt>
                <c:pt idx="885">
                  <c:v>19719.6947</c:v>
                </c:pt>
                <c:pt idx="886">
                  <c:v>27218.437249999999</c:v>
                </c:pt>
                <c:pt idx="887">
                  <c:v>5272.1758</c:v>
                </c:pt>
                <c:pt idx="888">
                  <c:v>1682.597</c:v>
                </c:pt>
                <c:pt idx="889">
                  <c:v>11945.1327</c:v>
                </c:pt>
                <c:pt idx="890">
                  <c:v>29330.98315</c:v>
                </c:pt>
                <c:pt idx="891">
                  <c:v>7243.8136000000004</c:v>
                </c:pt>
                <c:pt idx="892">
                  <c:v>10422.916649999999</c:v>
                </c:pt>
                <c:pt idx="893">
                  <c:v>44202.653599999998</c:v>
                </c:pt>
                <c:pt idx="894">
                  <c:v>13555.0049</c:v>
                </c:pt>
                <c:pt idx="895">
                  <c:v>13063.883</c:v>
                </c:pt>
                <c:pt idx="896">
                  <c:v>19798.054550000001</c:v>
                </c:pt>
                <c:pt idx="897">
                  <c:v>2221.5644499999999</c:v>
                </c:pt>
                <c:pt idx="898">
                  <c:v>1634.5734</c:v>
                </c:pt>
                <c:pt idx="899">
                  <c:v>2117.3388500000001</c:v>
                </c:pt>
                <c:pt idx="900">
                  <c:v>8688.8588500000005</c:v>
                </c:pt>
                <c:pt idx="901">
                  <c:v>48673.558799999999</c:v>
                </c:pt>
                <c:pt idx="902">
                  <c:v>4661.2863500000003</c:v>
                </c:pt>
                <c:pt idx="903">
                  <c:v>8125.7844999999998</c:v>
                </c:pt>
                <c:pt idx="904">
                  <c:v>12644.589</c:v>
                </c:pt>
                <c:pt idx="905">
                  <c:v>4564.1914500000003</c:v>
                </c:pt>
                <c:pt idx="906">
                  <c:v>4846.9201499999999</c:v>
                </c:pt>
                <c:pt idx="907">
                  <c:v>7633.7205999999996</c:v>
                </c:pt>
                <c:pt idx="908">
                  <c:v>15170.069</c:v>
                </c:pt>
                <c:pt idx="909">
                  <c:v>17496.306</c:v>
                </c:pt>
                <c:pt idx="910">
                  <c:v>2639.0428999999999</c:v>
                </c:pt>
                <c:pt idx="911">
                  <c:v>33732.686699999998</c:v>
                </c:pt>
                <c:pt idx="912">
                  <c:v>14382.709049999999</c:v>
                </c:pt>
                <c:pt idx="913">
                  <c:v>7626.9930000000004</c:v>
                </c:pt>
                <c:pt idx="914">
                  <c:v>5257.5079500000002</c:v>
                </c:pt>
                <c:pt idx="915">
                  <c:v>2473.3341</c:v>
                </c:pt>
                <c:pt idx="916">
                  <c:v>21774.32215</c:v>
                </c:pt>
                <c:pt idx="917">
                  <c:v>35069.374519999998</c:v>
                </c:pt>
                <c:pt idx="918">
                  <c:v>13041.921</c:v>
                </c:pt>
                <c:pt idx="919">
                  <c:v>5245.2268999999997</c:v>
                </c:pt>
                <c:pt idx="920">
                  <c:v>13451.121999999999</c:v>
                </c:pt>
                <c:pt idx="921">
                  <c:v>13462.52</c:v>
                </c:pt>
                <c:pt idx="922">
                  <c:v>5488.2619999999997</c:v>
                </c:pt>
                <c:pt idx="923">
                  <c:v>4320.4108500000002</c:v>
                </c:pt>
                <c:pt idx="924">
                  <c:v>6250.4350000000004</c:v>
                </c:pt>
                <c:pt idx="925">
                  <c:v>25333.332839999999</c:v>
                </c:pt>
                <c:pt idx="926">
                  <c:v>2913.569</c:v>
                </c:pt>
                <c:pt idx="927">
                  <c:v>12032.325999999999</c:v>
                </c:pt>
                <c:pt idx="928">
                  <c:v>13470.804400000001</c:v>
                </c:pt>
                <c:pt idx="929">
                  <c:v>6289.7548999999999</c:v>
                </c:pt>
                <c:pt idx="930">
                  <c:v>2927.0646999999999</c:v>
                </c:pt>
                <c:pt idx="931">
                  <c:v>6238.2979999999998</c:v>
                </c:pt>
                <c:pt idx="932">
                  <c:v>10096.969999999999</c:v>
                </c:pt>
                <c:pt idx="933">
                  <c:v>7348.1419999999998</c:v>
                </c:pt>
                <c:pt idx="934">
                  <c:v>4673.3922000000002</c:v>
                </c:pt>
                <c:pt idx="935">
                  <c:v>12233.828</c:v>
                </c:pt>
                <c:pt idx="936">
                  <c:v>32108.662820000001</c:v>
                </c:pt>
                <c:pt idx="937">
                  <c:v>8965.7957499999993</c:v>
                </c:pt>
                <c:pt idx="938">
                  <c:v>2304.0021999999999</c:v>
                </c:pt>
                <c:pt idx="939">
                  <c:v>9487.6442000000006</c:v>
                </c:pt>
                <c:pt idx="940">
                  <c:v>1121.8739</c:v>
                </c:pt>
                <c:pt idx="941">
                  <c:v>9549.5650999999998</c:v>
                </c:pt>
                <c:pt idx="942">
                  <c:v>2217.4691499999999</c:v>
                </c:pt>
                <c:pt idx="943">
                  <c:v>1628.4709</c:v>
                </c:pt>
                <c:pt idx="944">
                  <c:v>12982.8747</c:v>
                </c:pt>
                <c:pt idx="945">
                  <c:v>11674.13</c:v>
                </c:pt>
                <c:pt idx="946">
                  <c:v>7160.0940000000001</c:v>
                </c:pt>
                <c:pt idx="947">
                  <c:v>39047.285000000003</c:v>
                </c:pt>
                <c:pt idx="948">
                  <c:v>6358.7764500000003</c:v>
                </c:pt>
                <c:pt idx="949">
                  <c:v>19933.457999999999</c:v>
                </c:pt>
                <c:pt idx="950">
                  <c:v>11534.872649999999</c:v>
                </c:pt>
                <c:pt idx="951">
                  <c:v>47462.894</c:v>
                </c:pt>
                <c:pt idx="952">
                  <c:v>4527.1829500000003</c:v>
                </c:pt>
                <c:pt idx="953">
                  <c:v>38998.546000000002</c:v>
                </c:pt>
                <c:pt idx="954">
                  <c:v>20009.63365</c:v>
                </c:pt>
                <c:pt idx="955">
                  <c:v>3875.7341000000001</c:v>
                </c:pt>
                <c:pt idx="956">
                  <c:v>41999.519999999997</c:v>
                </c:pt>
                <c:pt idx="957">
                  <c:v>12609.88702</c:v>
                </c:pt>
                <c:pt idx="958">
                  <c:v>41034.221400000002</c:v>
                </c:pt>
                <c:pt idx="959">
                  <c:v>28468.919010000001</c:v>
                </c:pt>
                <c:pt idx="960">
                  <c:v>2730.1078499999999</c:v>
                </c:pt>
                <c:pt idx="961">
                  <c:v>3353.2840000000001</c:v>
                </c:pt>
                <c:pt idx="962">
                  <c:v>14474.674999999999</c:v>
                </c:pt>
                <c:pt idx="963">
                  <c:v>9500.5730500000009</c:v>
                </c:pt>
                <c:pt idx="964">
                  <c:v>26467.09737</c:v>
                </c:pt>
                <c:pt idx="965">
                  <c:v>4746.3440000000001</c:v>
                </c:pt>
                <c:pt idx="966">
                  <c:v>23967.38305</c:v>
                </c:pt>
                <c:pt idx="967">
                  <c:v>7518.0253499999999</c:v>
                </c:pt>
                <c:pt idx="968">
                  <c:v>3279.8685500000001</c:v>
                </c:pt>
                <c:pt idx="969">
                  <c:v>8596.8277999999991</c:v>
                </c:pt>
                <c:pt idx="970">
                  <c:v>10702.642400000001</c:v>
                </c:pt>
                <c:pt idx="971">
                  <c:v>4992.3764000000001</c:v>
                </c:pt>
                <c:pt idx="972">
                  <c:v>2527.8186500000002</c:v>
                </c:pt>
                <c:pt idx="973">
                  <c:v>1759.338</c:v>
                </c:pt>
                <c:pt idx="974">
                  <c:v>2322.6217999999999</c:v>
                </c:pt>
                <c:pt idx="975">
                  <c:v>16138.762049999999</c:v>
                </c:pt>
                <c:pt idx="976">
                  <c:v>7804.1605</c:v>
                </c:pt>
                <c:pt idx="977">
                  <c:v>2902.9065000000001</c:v>
                </c:pt>
                <c:pt idx="978">
                  <c:v>9704.6680500000002</c:v>
                </c:pt>
                <c:pt idx="979">
                  <c:v>4889.0367999999999</c:v>
                </c:pt>
                <c:pt idx="980">
                  <c:v>25517.11363</c:v>
                </c:pt>
                <c:pt idx="981">
                  <c:v>4500.33925</c:v>
                </c:pt>
                <c:pt idx="982">
                  <c:v>19199.944</c:v>
                </c:pt>
                <c:pt idx="983">
                  <c:v>16796.411940000002</c:v>
                </c:pt>
                <c:pt idx="984">
                  <c:v>4915.0598499999996</c:v>
                </c:pt>
                <c:pt idx="985">
                  <c:v>7624.63</c:v>
                </c:pt>
                <c:pt idx="986">
                  <c:v>8410.0468500000006</c:v>
                </c:pt>
                <c:pt idx="987">
                  <c:v>28340.188849999999</c:v>
                </c:pt>
                <c:pt idx="988">
                  <c:v>4518.8262500000001</c:v>
                </c:pt>
                <c:pt idx="989">
                  <c:v>14571.890799999999</c:v>
                </c:pt>
                <c:pt idx="990">
                  <c:v>3378.91</c:v>
                </c:pt>
                <c:pt idx="991">
                  <c:v>7144.86265</c:v>
                </c:pt>
                <c:pt idx="992">
                  <c:v>10118.424000000001</c:v>
                </c:pt>
                <c:pt idx="993">
                  <c:v>5484.4673000000003</c:v>
                </c:pt>
                <c:pt idx="994">
                  <c:v>16420.494549999999</c:v>
                </c:pt>
                <c:pt idx="995">
                  <c:v>7986.4752500000004</c:v>
                </c:pt>
                <c:pt idx="996">
                  <c:v>7418.5219999999999</c:v>
                </c:pt>
                <c:pt idx="997">
                  <c:v>13887.968500000001</c:v>
                </c:pt>
                <c:pt idx="998">
                  <c:v>6551.7501000000002</c:v>
                </c:pt>
                <c:pt idx="999">
                  <c:v>5267.8181500000001</c:v>
                </c:pt>
                <c:pt idx="1000">
                  <c:v>17361.766100000001</c:v>
                </c:pt>
                <c:pt idx="1001">
                  <c:v>34472.841</c:v>
                </c:pt>
                <c:pt idx="1002">
                  <c:v>1972.95</c:v>
                </c:pt>
                <c:pt idx="1003">
                  <c:v>21232.182260000001</c:v>
                </c:pt>
                <c:pt idx="1004">
                  <c:v>8627.5411000000004</c:v>
                </c:pt>
                <c:pt idx="1005">
                  <c:v>4433.3877000000002</c:v>
                </c:pt>
                <c:pt idx="1006">
                  <c:v>4438.2633999999998</c:v>
                </c:pt>
                <c:pt idx="1007">
                  <c:v>24915.220850000002</c:v>
                </c:pt>
                <c:pt idx="1008">
                  <c:v>23241.47453</c:v>
                </c:pt>
                <c:pt idx="1009">
                  <c:v>9957.7216000000008</c:v>
                </c:pt>
                <c:pt idx="1010">
                  <c:v>8269.0439999999999</c:v>
                </c:pt>
                <c:pt idx="1011">
                  <c:v>18767.737700000001</c:v>
                </c:pt>
                <c:pt idx="1012">
                  <c:v>36580.282160000002</c:v>
                </c:pt>
                <c:pt idx="1013">
                  <c:v>8765.2489999999998</c:v>
                </c:pt>
                <c:pt idx="1014">
                  <c:v>5383.5360000000001</c:v>
                </c:pt>
                <c:pt idx="1015">
                  <c:v>12124.992399999999</c:v>
                </c:pt>
                <c:pt idx="1016">
                  <c:v>2709.24395</c:v>
                </c:pt>
                <c:pt idx="1017">
                  <c:v>3987.9259999999999</c:v>
                </c:pt>
                <c:pt idx="1018">
                  <c:v>12495.290849999999</c:v>
                </c:pt>
                <c:pt idx="1019">
                  <c:v>26018.950519999999</c:v>
                </c:pt>
                <c:pt idx="1020">
                  <c:v>8798.5930000000008</c:v>
                </c:pt>
                <c:pt idx="1021">
                  <c:v>35595.589800000002</c:v>
                </c:pt>
                <c:pt idx="1022">
                  <c:v>42211.138200000001</c:v>
                </c:pt>
                <c:pt idx="1023">
                  <c:v>1711.0268000000001</c:v>
                </c:pt>
                <c:pt idx="1024">
                  <c:v>8569.8618000000006</c:v>
                </c:pt>
                <c:pt idx="1025">
                  <c:v>2020.1769999999999</c:v>
                </c:pt>
                <c:pt idx="1026">
                  <c:v>16450.894700000001</c:v>
                </c:pt>
                <c:pt idx="1027">
                  <c:v>21595.382290000001</c:v>
                </c:pt>
                <c:pt idx="1028">
                  <c:v>9850.4320000000007</c:v>
                </c:pt>
                <c:pt idx="1029">
                  <c:v>6877.9800999999998</c:v>
                </c:pt>
                <c:pt idx="1030">
                  <c:v>21677.283449999999</c:v>
                </c:pt>
                <c:pt idx="1031">
                  <c:v>44423.803</c:v>
                </c:pt>
                <c:pt idx="1032">
                  <c:v>4137.5227000000004</c:v>
                </c:pt>
                <c:pt idx="1033">
                  <c:v>13747.87235</c:v>
                </c:pt>
                <c:pt idx="1034">
                  <c:v>12950.0712</c:v>
                </c:pt>
                <c:pt idx="1035">
                  <c:v>12094.477999999999</c:v>
                </c:pt>
                <c:pt idx="1036">
                  <c:v>37484.4493</c:v>
                </c:pt>
                <c:pt idx="1037">
                  <c:v>39725.518049999999</c:v>
                </c:pt>
                <c:pt idx="1038">
                  <c:v>2250.8352</c:v>
                </c:pt>
                <c:pt idx="1039">
                  <c:v>22493.659640000002</c:v>
                </c:pt>
                <c:pt idx="1040">
                  <c:v>20234.854749999999</c:v>
                </c:pt>
                <c:pt idx="1041">
                  <c:v>1704.7001499999999</c:v>
                </c:pt>
                <c:pt idx="1042">
                  <c:v>33475.817150000003</c:v>
                </c:pt>
                <c:pt idx="1043">
                  <c:v>3161.4540000000002</c:v>
                </c:pt>
                <c:pt idx="1044">
                  <c:v>11394.065549999999</c:v>
                </c:pt>
                <c:pt idx="1045">
                  <c:v>21880.82</c:v>
                </c:pt>
                <c:pt idx="1046">
                  <c:v>7325.0482000000002</c:v>
                </c:pt>
                <c:pt idx="1047">
                  <c:v>44501.398200000003</c:v>
                </c:pt>
                <c:pt idx="1048">
                  <c:v>3594.17085</c:v>
                </c:pt>
                <c:pt idx="1049">
                  <c:v>39727.614000000001</c:v>
                </c:pt>
                <c:pt idx="1050">
                  <c:v>8023.1354499999998</c:v>
                </c:pt>
                <c:pt idx="1051">
                  <c:v>14394.5579</c:v>
                </c:pt>
                <c:pt idx="1052">
                  <c:v>9288.0267000000003</c:v>
                </c:pt>
                <c:pt idx="1053">
                  <c:v>25309.489000000001</c:v>
                </c:pt>
                <c:pt idx="1054">
                  <c:v>3353.4703</c:v>
                </c:pt>
                <c:pt idx="1055">
                  <c:v>10594.501550000001</c:v>
                </c:pt>
                <c:pt idx="1056">
                  <c:v>8277.5229999999992</c:v>
                </c:pt>
                <c:pt idx="1057">
                  <c:v>17929.303370000001</c:v>
                </c:pt>
                <c:pt idx="1058">
                  <c:v>2480.9791</c:v>
                </c:pt>
                <c:pt idx="1059">
                  <c:v>4462.7218000000003</c:v>
                </c:pt>
                <c:pt idx="1060">
                  <c:v>1981.5818999999999</c:v>
                </c:pt>
                <c:pt idx="1061">
                  <c:v>11554.223599999999</c:v>
                </c:pt>
                <c:pt idx="1062">
                  <c:v>48970.247600000002</c:v>
                </c:pt>
                <c:pt idx="1063">
                  <c:v>6548.1950500000003</c:v>
                </c:pt>
                <c:pt idx="1064">
                  <c:v>5708.8670000000002</c:v>
                </c:pt>
                <c:pt idx="1065">
                  <c:v>7045.4989999999998</c:v>
                </c:pt>
                <c:pt idx="1066">
                  <c:v>8978.1851000000006</c:v>
                </c:pt>
                <c:pt idx="1067">
                  <c:v>5757.41345</c:v>
                </c:pt>
                <c:pt idx="1068">
                  <c:v>14349.8544</c:v>
                </c:pt>
                <c:pt idx="1069">
                  <c:v>10928.849</c:v>
                </c:pt>
                <c:pt idx="1070">
                  <c:v>39871.704299999998</c:v>
                </c:pt>
                <c:pt idx="1071">
                  <c:v>13974.455550000001</c:v>
                </c:pt>
                <c:pt idx="1072">
                  <c:v>1909.52745</c:v>
                </c:pt>
                <c:pt idx="1073">
                  <c:v>12096.6512</c:v>
                </c:pt>
                <c:pt idx="1074">
                  <c:v>13204.28565</c:v>
                </c:pt>
                <c:pt idx="1075">
                  <c:v>4562.8420999999998</c:v>
                </c:pt>
                <c:pt idx="1076">
                  <c:v>8551.3469999999998</c:v>
                </c:pt>
                <c:pt idx="1077">
                  <c:v>2102.2647000000002</c:v>
                </c:pt>
                <c:pt idx="1078">
                  <c:v>34672.147199999999</c:v>
                </c:pt>
                <c:pt idx="1079">
                  <c:v>15161.5344</c:v>
                </c:pt>
                <c:pt idx="1080">
                  <c:v>11884.048580000001</c:v>
                </c:pt>
                <c:pt idx="1081">
                  <c:v>4454.40265</c:v>
                </c:pt>
                <c:pt idx="1082">
                  <c:v>5855.9025000000001</c:v>
                </c:pt>
                <c:pt idx="1083">
                  <c:v>4076.4969999999998</c:v>
                </c:pt>
                <c:pt idx="1084">
                  <c:v>15019.760050000001</c:v>
                </c:pt>
                <c:pt idx="1085">
                  <c:v>19023.259999999998</c:v>
                </c:pt>
                <c:pt idx="1086">
                  <c:v>10796.35025</c:v>
                </c:pt>
                <c:pt idx="1087">
                  <c:v>11353.2276</c:v>
                </c:pt>
                <c:pt idx="1088">
                  <c:v>9748.9105999999992</c:v>
                </c:pt>
                <c:pt idx="1089">
                  <c:v>10577.087</c:v>
                </c:pt>
                <c:pt idx="1090">
                  <c:v>41676.081100000003</c:v>
                </c:pt>
                <c:pt idx="1091">
                  <c:v>11286.538699999999</c:v>
                </c:pt>
                <c:pt idx="1092">
                  <c:v>3591.48</c:v>
                </c:pt>
                <c:pt idx="1093">
                  <c:v>33907.548000000003</c:v>
                </c:pt>
                <c:pt idx="1094">
                  <c:v>11299.343000000001</c:v>
                </c:pt>
                <c:pt idx="1095">
                  <c:v>4561.1885000000002</c:v>
                </c:pt>
                <c:pt idx="1096">
                  <c:v>44641.197399999997</c:v>
                </c:pt>
                <c:pt idx="1097">
                  <c:v>1674.6323</c:v>
                </c:pt>
                <c:pt idx="1098">
                  <c:v>23045.566159999998</c:v>
                </c:pt>
                <c:pt idx="1099">
                  <c:v>3227.1210999999998</c:v>
                </c:pt>
                <c:pt idx="1100">
                  <c:v>16776.304049999999</c:v>
                </c:pt>
                <c:pt idx="1101">
                  <c:v>11253.421</c:v>
                </c:pt>
                <c:pt idx="1102">
                  <c:v>3471.4096</c:v>
                </c:pt>
                <c:pt idx="1103">
                  <c:v>11363.2832</c:v>
                </c:pt>
                <c:pt idx="1104">
                  <c:v>20420.604650000001</c:v>
                </c:pt>
                <c:pt idx="1105">
                  <c:v>10338.9316</c:v>
                </c:pt>
                <c:pt idx="1106">
                  <c:v>8988.1587500000005</c:v>
                </c:pt>
                <c:pt idx="1107">
                  <c:v>10493.9458</c:v>
                </c:pt>
                <c:pt idx="1108">
                  <c:v>2904.0880000000002</c:v>
                </c:pt>
                <c:pt idx="1109">
                  <c:v>8605.3615000000009</c:v>
                </c:pt>
                <c:pt idx="1110">
                  <c:v>11512.405000000001</c:v>
                </c:pt>
                <c:pt idx="1111">
                  <c:v>41949.244100000004</c:v>
                </c:pt>
                <c:pt idx="1112">
                  <c:v>24180.933499999999</c:v>
                </c:pt>
                <c:pt idx="1113">
                  <c:v>5312.1698500000002</c:v>
                </c:pt>
                <c:pt idx="1114">
                  <c:v>2396.0958999999998</c:v>
                </c:pt>
                <c:pt idx="1115">
                  <c:v>10807.4863</c:v>
                </c:pt>
                <c:pt idx="1116">
                  <c:v>9222.4025999999994</c:v>
                </c:pt>
                <c:pt idx="1117">
                  <c:v>36124.573700000001</c:v>
                </c:pt>
                <c:pt idx="1118">
                  <c:v>38282.749499999998</c:v>
                </c:pt>
                <c:pt idx="1119">
                  <c:v>5693.4305000000004</c:v>
                </c:pt>
                <c:pt idx="1120">
                  <c:v>34166.273000000001</c:v>
                </c:pt>
                <c:pt idx="1121">
                  <c:v>8347.1643000000004</c:v>
                </c:pt>
                <c:pt idx="1122">
                  <c:v>46661.4424</c:v>
                </c:pt>
                <c:pt idx="1123">
                  <c:v>18903.491409999999</c:v>
                </c:pt>
                <c:pt idx="1124">
                  <c:v>40904.199500000002</c:v>
                </c:pt>
                <c:pt idx="1125">
                  <c:v>14254.608200000001</c:v>
                </c:pt>
                <c:pt idx="1126">
                  <c:v>10214.636</c:v>
                </c:pt>
                <c:pt idx="1127">
                  <c:v>5836.5204000000003</c:v>
                </c:pt>
                <c:pt idx="1128">
                  <c:v>14358.364369999999</c:v>
                </c:pt>
                <c:pt idx="1129">
                  <c:v>1728.8969999999999</c:v>
                </c:pt>
                <c:pt idx="1130">
                  <c:v>8582.3022999999994</c:v>
                </c:pt>
                <c:pt idx="1131">
                  <c:v>3693.4279999999999</c:v>
                </c:pt>
                <c:pt idx="1132">
                  <c:v>20709.020339999999</c:v>
                </c:pt>
                <c:pt idx="1133">
                  <c:v>9991.0376500000002</c:v>
                </c:pt>
                <c:pt idx="1134">
                  <c:v>19673.335729999999</c:v>
                </c:pt>
                <c:pt idx="1135">
                  <c:v>11085.586799999999</c:v>
                </c:pt>
                <c:pt idx="1136">
                  <c:v>7623.518</c:v>
                </c:pt>
                <c:pt idx="1137">
                  <c:v>3176.2876999999999</c:v>
                </c:pt>
                <c:pt idx="1138">
                  <c:v>3704.3544999999999</c:v>
                </c:pt>
                <c:pt idx="1139">
                  <c:v>36898.733079999998</c:v>
                </c:pt>
                <c:pt idx="1140">
                  <c:v>9048.0272999999997</c:v>
                </c:pt>
                <c:pt idx="1141">
                  <c:v>7954.5169999999998</c:v>
                </c:pt>
                <c:pt idx="1142">
                  <c:v>27117.993780000001</c:v>
                </c:pt>
                <c:pt idx="1143">
                  <c:v>6338.0756000000001</c:v>
                </c:pt>
                <c:pt idx="1144">
                  <c:v>9630.3970000000008</c:v>
                </c:pt>
                <c:pt idx="1145">
                  <c:v>11289.10925</c:v>
                </c:pt>
                <c:pt idx="1146">
                  <c:v>52590.829389999999</c:v>
                </c:pt>
                <c:pt idx="1147">
                  <c:v>2261.5688</c:v>
                </c:pt>
                <c:pt idx="1148">
                  <c:v>10791.96</c:v>
                </c:pt>
                <c:pt idx="1149">
                  <c:v>5979.7309999999998</c:v>
                </c:pt>
                <c:pt idx="1150">
                  <c:v>2203.7359499999998</c:v>
                </c:pt>
                <c:pt idx="1151">
                  <c:v>12235.8392</c:v>
                </c:pt>
                <c:pt idx="1152">
                  <c:v>40941.285400000001</c:v>
                </c:pt>
                <c:pt idx="1153">
                  <c:v>5630.4578499999998</c:v>
                </c:pt>
                <c:pt idx="1154">
                  <c:v>11015.1747</c:v>
                </c:pt>
                <c:pt idx="1155">
                  <c:v>7228.2156500000001</c:v>
                </c:pt>
                <c:pt idx="1156">
                  <c:v>39722.746200000001</c:v>
                </c:pt>
                <c:pt idx="1157">
                  <c:v>14426.073850000001</c:v>
                </c:pt>
                <c:pt idx="1158">
                  <c:v>2459.7201</c:v>
                </c:pt>
                <c:pt idx="1159">
                  <c:v>3989.8409999999999</c:v>
                </c:pt>
                <c:pt idx="1160">
                  <c:v>7727.2532000000001</c:v>
                </c:pt>
                <c:pt idx="1161">
                  <c:v>5124.1886999999997</c:v>
                </c:pt>
                <c:pt idx="1162">
                  <c:v>18963.171920000001</c:v>
                </c:pt>
                <c:pt idx="1163">
                  <c:v>2200.8308499999998</c:v>
                </c:pt>
                <c:pt idx="1164">
                  <c:v>7153.5538999999999</c:v>
                </c:pt>
                <c:pt idx="1165">
                  <c:v>5227.9887500000004</c:v>
                </c:pt>
                <c:pt idx="1166">
                  <c:v>10982.5013</c:v>
                </c:pt>
                <c:pt idx="1167">
                  <c:v>4529.4769999999999</c:v>
                </c:pt>
                <c:pt idx="1168">
                  <c:v>4670.6400000000003</c:v>
                </c:pt>
                <c:pt idx="1169">
                  <c:v>6112.3529500000004</c:v>
                </c:pt>
                <c:pt idx="1170">
                  <c:v>17178.682400000002</c:v>
                </c:pt>
                <c:pt idx="1171">
                  <c:v>22478.6</c:v>
                </c:pt>
                <c:pt idx="1172">
                  <c:v>11093.6229</c:v>
                </c:pt>
                <c:pt idx="1173">
                  <c:v>6457.8433999999997</c:v>
                </c:pt>
                <c:pt idx="1174">
                  <c:v>4433.9159</c:v>
                </c:pt>
                <c:pt idx="1175">
                  <c:v>2154.3609999999999</c:v>
                </c:pt>
                <c:pt idx="1176">
                  <c:v>23887.662700000001</c:v>
                </c:pt>
                <c:pt idx="1177">
                  <c:v>6496.8860000000004</c:v>
                </c:pt>
                <c:pt idx="1178">
                  <c:v>2899.4893499999998</c:v>
                </c:pt>
                <c:pt idx="1179">
                  <c:v>19350.368900000001</c:v>
                </c:pt>
                <c:pt idx="1180">
                  <c:v>7650.7737500000003</c:v>
                </c:pt>
                <c:pt idx="1181">
                  <c:v>2850.6837500000001</c:v>
                </c:pt>
                <c:pt idx="1182">
                  <c:v>2632.9920000000002</c:v>
                </c:pt>
                <c:pt idx="1183">
                  <c:v>9447.3824000000004</c:v>
                </c:pt>
                <c:pt idx="1184">
                  <c:v>18328.238099999999</c:v>
                </c:pt>
                <c:pt idx="1185">
                  <c:v>8603.8233999999993</c:v>
                </c:pt>
                <c:pt idx="1186">
                  <c:v>37465.34375</c:v>
                </c:pt>
                <c:pt idx="1187">
                  <c:v>13844.797200000001</c:v>
                </c:pt>
                <c:pt idx="1188">
                  <c:v>21771.3423</c:v>
                </c:pt>
                <c:pt idx="1189">
                  <c:v>13126.677449999999</c:v>
                </c:pt>
                <c:pt idx="1190">
                  <c:v>5327.4002499999997</c:v>
                </c:pt>
                <c:pt idx="1191">
                  <c:v>13725.47184</c:v>
                </c:pt>
                <c:pt idx="1192">
                  <c:v>13019.161050000001</c:v>
                </c:pt>
                <c:pt idx="1193">
                  <c:v>8671.1912499999999</c:v>
                </c:pt>
                <c:pt idx="1194">
                  <c:v>4134.0824499999999</c:v>
                </c:pt>
                <c:pt idx="1195">
                  <c:v>18838.703659999999</c:v>
                </c:pt>
                <c:pt idx="1196">
                  <c:v>33307.550799999997</c:v>
                </c:pt>
                <c:pt idx="1197">
                  <c:v>5699.8374999999996</c:v>
                </c:pt>
                <c:pt idx="1198">
                  <c:v>6393.6034499999996</c:v>
                </c:pt>
                <c:pt idx="1199">
                  <c:v>4934.7049999999999</c:v>
                </c:pt>
                <c:pt idx="1200">
                  <c:v>6198.7518</c:v>
                </c:pt>
                <c:pt idx="1201">
                  <c:v>8733.2292500000003</c:v>
                </c:pt>
                <c:pt idx="1202">
                  <c:v>2055.3249000000001</c:v>
                </c:pt>
                <c:pt idx="1203">
                  <c:v>9964.06</c:v>
                </c:pt>
                <c:pt idx="1204">
                  <c:v>18223.4512</c:v>
                </c:pt>
                <c:pt idx="1205">
                  <c:v>5116.5003999999999</c:v>
                </c:pt>
                <c:pt idx="1206">
                  <c:v>36910.608030000003</c:v>
                </c:pt>
                <c:pt idx="1207">
                  <c:v>38415.474000000002</c:v>
                </c:pt>
                <c:pt idx="1208">
                  <c:v>20296.863450000001</c:v>
                </c:pt>
                <c:pt idx="1209">
                  <c:v>12347.172</c:v>
                </c:pt>
                <c:pt idx="1210">
                  <c:v>5373.3642499999996</c:v>
                </c:pt>
                <c:pt idx="1211">
                  <c:v>23563.016179999999</c:v>
                </c:pt>
                <c:pt idx="1212">
                  <c:v>1702.4553000000001</c:v>
                </c:pt>
                <c:pt idx="1213">
                  <c:v>10806.839</c:v>
                </c:pt>
                <c:pt idx="1214">
                  <c:v>3956.0714499999999</c:v>
                </c:pt>
                <c:pt idx="1215">
                  <c:v>12890.057650000001</c:v>
                </c:pt>
                <c:pt idx="1216">
                  <c:v>5415.6611999999996</c:v>
                </c:pt>
                <c:pt idx="1217">
                  <c:v>4058.1161000000002</c:v>
                </c:pt>
                <c:pt idx="1218">
                  <c:v>41661.601999999999</c:v>
                </c:pt>
                <c:pt idx="1219">
                  <c:v>7537.1638999999996</c:v>
                </c:pt>
                <c:pt idx="1220">
                  <c:v>4718.2035500000002</c:v>
                </c:pt>
                <c:pt idx="1221">
                  <c:v>6593.5083000000004</c:v>
                </c:pt>
                <c:pt idx="1222">
                  <c:v>8442.6669999999995</c:v>
                </c:pt>
                <c:pt idx="1223">
                  <c:v>26125.674770000001</c:v>
                </c:pt>
                <c:pt idx="1224">
                  <c:v>6858.4795999999997</c:v>
                </c:pt>
                <c:pt idx="1225">
                  <c:v>4795.6567999999997</c:v>
                </c:pt>
                <c:pt idx="1226">
                  <c:v>6640.5448500000002</c:v>
                </c:pt>
                <c:pt idx="1227">
                  <c:v>7162.0122000000001</c:v>
                </c:pt>
                <c:pt idx="1228">
                  <c:v>10594.225700000001</c:v>
                </c:pt>
                <c:pt idx="1229">
                  <c:v>11938.255950000001</c:v>
                </c:pt>
                <c:pt idx="1230">
                  <c:v>60021.398970000002</c:v>
                </c:pt>
                <c:pt idx="1231">
                  <c:v>20167.336029999999</c:v>
                </c:pt>
                <c:pt idx="1232">
                  <c:v>12479.70895</c:v>
                </c:pt>
                <c:pt idx="1233">
                  <c:v>11345.519</c:v>
                </c:pt>
                <c:pt idx="1234">
                  <c:v>8515.7587000000003</c:v>
                </c:pt>
                <c:pt idx="1235">
                  <c:v>2699.56835</c:v>
                </c:pt>
                <c:pt idx="1236">
                  <c:v>14449.8544</c:v>
                </c:pt>
                <c:pt idx="1237">
                  <c:v>12224.350850000001</c:v>
                </c:pt>
                <c:pt idx="1238">
                  <c:v>6985.50695</c:v>
                </c:pt>
                <c:pt idx="1239">
                  <c:v>3238.4357</c:v>
                </c:pt>
                <c:pt idx="1240">
                  <c:v>47269.853999999999</c:v>
                </c:pt>
                <c:pt idx="1241">
                  <c:v>49577.662400000001</c:v>
                </c:pt>
                <c:pt idx="1242">
                  <c:v>4296.2712000000001</c:v>
                </c:pt>
                <c:pt idx="1243">
                  <c:v>3171.6149</c:v>
                </c:pt>
                <c:pt idx="1244">
                  <c:v>1135.9407000000001</c:v>
                </c:pt>
                <c:pt idx="1245">
                  <c:v>5615.3689999999997</c:v>
                </c:pt>
                <c:pt idx="1246">
                  <c:v>9101.7980000000007</c:v>
                </c:pt>
                <c:pt idx="1247">
                  <c:v>6059.1729999999998</c:v>
                </c:pt>
                <c:pt idx="1248">
                  <c:v>1633.9618</c:v>
                </c:pt>
                <c:pt idx="1249">
                  <c:v>37607.527699999999</c:v>
                </c:pt>
                <c:pt idx="1250">
                  <c:v>18648.421699999999</c:v>
                </c:pt>
                <c:pt idx="1251">
                  <c:v>1241.5650000000001</c:v>
                </c:pt>
                <c:pt idx="1252">
                  <c:v>16232.847</c:v>
                </c:pt>
                <c:pt idx="1253">
                  <c:v>15828.82173</c:v>
                </c:pt>
                <c:pt idx="1254">
                  <c:v>4415.1588000000002</c:v>
                </c:pt>
                <c:pt idx="1255">
                  <c:v>6474.0129999999999</c:v>
                </c:pt>
                <c:pt idx="1256">
                  <c:v>11436.738149999999</c:v>
                </c:pt>
                <c:pt idx="1257">
                  <c:v>11305.93455</c:v>
                </c:pt>
                <c:pt idx="1258">
                  <c:v>30063.580549999999</c:v>
                </c:pt>
                <c:pt idx="1259">
                  <c:v>10197.772199999999</c:v>
                </c:pt>
                <c:pt idx="1260">
                  <c:v>4544.2348000000002</c:v>
                </c:pt>
                <c:pt idx="1261">
                  <c:v>3277.1610000000001</c:v>
                </c:pt>
                <c:pt idx="1262">
                  <c:v>6770.1925000000001</c:v>
                </c:pt>
                <c:pt idx="1263">
                  <c:v>7337.7479999999996</c:v>
                </c:pt>
                <c:pt idx="1264">
                  <c:v>10370.912549999999</c:v>
                </c:pt>
                <c:pt idx="1265">
                  <c:v>26926.5144</c:v>
                </c:pt>
                <c:pt idx="1266">
                  <c:v>10704.47</c:v>
                </c:pt>
                <c:pt idx="1267">
                  <c:v>34254.053350000002</c:v>
                </c:pt>
                <c:pt idx="1268">
                  <c:v>1880.4870000000001</c:v>
                </c:pt>
                <c:pt idx="1269">
                  <c:v>8615.2999999999993</c:v>
                </c:pt>
                <c:pt idx="1270">
                  <c:v>3292.5298499999999</c:v>
                </c:pt>
                <c:pt idx="1271">
                  <c:v>3021.80915</c:v>
                </c:pt>
                <c:pt idx="1272">
                  <c:v>14478.33015</c:v>
                </c:pt>
                <c:pt idx="1273">
                  <c:v>4747.0528999999997</c:v>
                </c:pt>
                <c:pt idx="1274">
                  <c:v>17043.341400000001</c:v>
                </c:pt>
                <c:pt idx="1275">
                  <c:v>10959.33</c:v>
                </c:pt>
                <c:pt idx="1276">
                  <c:v>2741.9479999999999</c:v>
                </c:pt>
                <c:pt idx="1277">
                  <c:v>4357.0436499999996</c:v>
                </c:pt>
                <c:pt idx="1278">
                  <c:v>22462.043750000001</c:v>
                </c:pt>
                <c:pt idx="1279">
                  <c:v>4189.1130999999996</c:v>
                </c:pt>
                <c:pt idx="1280">
                  <c:v>8283.6807000000008</c:v>
                </c:pt>
                <c:pt idx="1281">
                  <c:v>24535.698550000001</c:v>
                </c:pt>
                <c:pt idx="1282">
                  <c:v>14283.4594</c:v>
                </c:pt>
                <c:pt idx="1283">
                  <c:v>1720.3536999999999</c:v>
                </c:pt>
                <c:pt idx="1284">
                  <c:v>47403.88</c:v>
                </c:pt>
                <c:pt idx="1285">
                  <c:v>8534.6718000000001</c:v>
                </c:pt>
                <c:pt idx="1286">
                  <c:v>3732.6251000000002</c:v>
                </c:pt>
                <c:pt idx="1287">
                  <c:v>5472.4489999999996</c:v>
                </c:pt>
                <c:pt idx="1288">
                  <c:v>38344.565999999999</c:v>
                </c:pt>
                <c:pt idx="1289">
                  <c:v>7147.4727999999996</c:v>
                </c:pt>
                <c:pt idx="1290">
                  <c:v>7133.9025000000001</c:v>
                </c:pt>
                <c:pt idx="1291">
                  <c:v>34828.654000000002</c:v>
                </c:pt>
                <c:pt idx="1292">
                  <c:v>1515.3449000000001</c:v>
                </c:pt>
                <c:pt idx="1293">
                  <c:v>9301.8935500000007</c:v>
                </c:pt>
                <c:pt idx="1294">
                  <c:v>11931.125249999999</c:v>
                </c:pt>
                <c:pt idx="1295">
                  <c:v>1964.78</c:v>
                </c:pt>
                <c:pt idx="1296">
                  <c:v>1708.9257500000001</c:v>
                </c:pt>
                <c:pt idx="1297">
                  <c:v>4340.4408999999996</c:v>
                </c:pt>
                <c:pt idx="1298">
                  <c:v>5261.4694499999996</c:v>
                </c:pt>
                <c:pt idx="1299">
                  <c:v>2710.8285500000002</c:v>
                </c:pt>
                <c:pt idx="1300">
                  <c:v>62592.873090000001</c:v>
                </c:pt>
                <c:pt idx="1301">
                  <c:v>46718.163249999998</c:v>
                </c:pt>
                <c:pt idx="1302">
                  <c:v>3208.7869999999998</c:v>
                </c:pt>
                <c:pt idx="1303">
                  <c:v>37829.724199999997</c:v>
                </c:pt>
                <c:pt idx="1304">
                  <c:v>21259.377949999998</c:v>
                </c:pt>
                <c:pt idx="1305">
                  <c:v>2464.6188000000002</c:v>
                </c:pt>
                <c:pt idx="1306">
                  <c:v>16115.3045</c:v>
                </c:pt>
                <c:pt idx="1307">
                  <c:v>21472.478800000001</c:v>
                </c:pt>
                <c:pt idx="1308">
                  <c:v>33900.652999999998</c:v>
                </c:pt>
                <c:pt idx="1309">
                  <c:v>6875.9610000000002</c:v>
                </c:pt>
                <c:pt idx="1310">
                  <c:v>6940.90985</c:v>
                </c:pt>
                <c:pt idx="1311">
                  <c:v>4571.4130500000001</c:v>
                </c:pt>
                <c:pt idx="1312">
                  <c:v>4536.259</c:v>
                </c:pt>
                <c:pt idx="1313">
                  <c:v>36397.576000000001</c:v>
                </c:pt>
                <c:pt idx="1314">
                  <c:v>18765.87545</c:v>
                </c:pt>
                <c:pt idx="1315">
                  <c:v>11272.331389999999</c:v>
                </c:pt>
                <c:pt idx="1316">
                  <c:v>1731.6769999999999</c:v>
                </c:pt>
                <c:pt idx="1317">
                  <c:v>1163.4627</c:v>
                </c:pt>
                <c:pt idx="1318">
                  <c:v>19496.71917</c:v>
                </c:pt>
                <c:pt idx="1319">
                  <c:v>7201.7008500000002</c:v>
                </c:pt>
                <c:pt idx="1320">
                  <c:v>5425.0233500000004</c:v>
                </c:pt>
                <c:pt idx="1321">
                  <c:v>28101.333050000001</c:v>
                </c:pt>
                <c:pt idx="1322">
                  <c:v>12981.3457</c:v>
                </c:pt>
                <c:pt idx="1323">
                  <c:v>43896.376300000004</c:v>
                </c:pt>
                <c:pt idx="1324">
                  <c:v>4239.8926499999998</c:v>
                </c:pt>
                <c:pt idx="1325">
                  <c:v>13143.336649999999</c:v>
                </c:pt>
                <c:pt idx="1326">
                  <c:v>7050.0213000000003</c:v>
                </c:pt>
                <c:pt idx="1327">
                  <c:v>9377.9046999999991</c:v>
                </c:pt>
                <c:pt idx="1328">
                  <c:v>22395.74424</c:v>
                </c:pt>
                <c:pt idx="1329">
                  <c:v>10325.206</c:v>
                </c:pt>
                <c:pt idx="1330">
                  <c:v>12629.1656</c:v>
                </c:pt>
                <c:pt idx="1331">
                  <c:v>10795.937330000001</c:v>
                </c:pt>
                <c:pt idx="1332">
                  <c:v>11411.684999999999</c:v>
                </c:pt>
                <c:pt idx="1333">
                  <c:v>10600.5483</c:v>
                </c:pt>
                <c:pt idx="1334">
                  <c:v>2205.9807999999998</c:v>
                </c:pt>
                <c:pt idx="1335">
                  <c:v>1629.8335</c:v>
                </c:pt>
                <c:pt idx="1336">
                  <c:v>2007.9449999999999</c:v>
                </c:pt>
                <c:pt idx="1337">
                  <c:v>29141.3603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BB2-4489-A3DE-3077CA2DA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387007"/>
        <c:axId val="161972847"/>
      </c:scatterChart>
      <c:valAx>
        <c:axId val="50538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72847"/>
        <c:crosses val="autoZero"/>
        <c:crossBetween val="midCat"/>
      </c:valAx>
      <c:valAx>
        <c:axId val="16197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Charge</a:t>
                </a:r>
                <a:r>
                  <a:rPr lang="en-US" baseline="0"/>
                  <a:t>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38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Bill for Smokers vs. Non Smokers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E3-425C-A114-2DF54C9B32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Project_Analysis!$Q$63:$Q$64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Project_Analysis!$R$63:$R$64</c:f>
              <c:numCache>
                <c:formatCode>_("$"* #,##0.00_);_("$"* \(#,##0.00\);_("$"* "-"??_);_(@_)</c:formatCode>
                <c:ptCount val="2"/>
                <c:pt idx="0">
                  <c:v>32050.231831532848</c:v>
                </c:pt>
                <c:pt idx="1">
                  <c:v>8434.2682978561988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3-425C-A114-2DF54C9B3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505382367"/>
        <c:axId val="865105199"/>
      </c:barChart>
      <c:catAx>
        <c:axId val="50538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105199"/>
        <c:crosses val="autoZero"/>
        <c:auto val="1"/>
        <c:lblAlgn val="ctr"/>
        <c:lblOffset val="100"/>
        <c:noMultiLvlLbl val="0"/>
      </c:catAx>
      <c:valAx>
        <c:axId val="8651051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Bill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38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Bill per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Project_Analysis!$AD$63:$AD$67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61+</c:v>
                </c:pt>
              </c:strCache>
            </c:strRef>
          </c:cat>
          <c:val>
            <c:numRef>
              <c:f>Project_Analysis!$AE$63:$AE$67</c:f>
              <c:numCache>
                <c:formatCode>_("$"* #,##0.00_);_("$"* \(#,##0.00\);_("$"* "-"??_);_(@_)</c:formatCode>
                <c:ptCount val="5"/>
                <c:pt idx="0">
                  <c:v>9397.5520514842319</c:v>
                </c:pt>
                <c:pt idx="1">
                  <c:v>11639.308653151753</c:v>
                </c:pt>
                <c:pt idx="2">
                  <c:v>14782.043077117436</c:v>
                </c:pt>
                <c:pt idx="3">
                  <c:v>17062.292762867921</c:v>
                </c:pt>
                <c:pt idx="4">
                  <c:v>21063.163397912085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5-4BB1-9102-C2EC598015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48355823"/>
        <c:axId val="216063183"/>
      </c:barChart>
      <c:catAx>
        <c:axId val="24835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63183"/>
        <c:crosses val="autoZero"/>
        <c:auto val="1"/>
        <c:lblAlgn val="ctr"/>
        <c:lblOffset val="100"/>
        <c:noMultiLvlLbl val="0"/>
      </c:catAx>
      <c:valAx>
        <c:axId val="21606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Bill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5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Bill per BMI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Project_Analysis!$X$77</c:f>
              <c:strCache>
                <c:ptCount val="1"/>
                <c:pt idx="0">
                  <c:v>Average Bill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Project_Analysis!$W$78:$W$83</c:f>
              <c:strCache>
                <c:ptCount val="6"/>
                <c:pt idx="0">
                  <c:v>15.5 - 20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41+</c:v>
                </c:pt>
              </c:strCache>
            </c:strRef>
          </c:cat>
          <c:val>
            <c:numRef>
              <c:f>Project_Analysis!$X$78:$X$83</c:f>
              <c:numCache>
                <c:formatCode>_("$"* #,##0.00_);_("$"* \(#,##0.00\);_("$"* "-"??_);_(@_)</c:formatCode>
                <c:ptCount val="6"/>
                <c:pt idx="0">
                  <c:v>8427.0116209374992</c:v>
                </c:pt>
                <c:pt idx="1">
                  <c:v>10368.051867728705</c:v>
                </c:pt>
                <c:pt idx="2">
                  <c:v>11753.739033182716</c:v>
                </c:pt>
                <c:pt idx="3">
                  <c:v>14941.04807591037</c:v>
                </c:pt>
                <c:pt idx="4">
                  <c:v>16804.031521518307</c:v>
                </c:pt>
                <c:pt idx="5">
                  <c:v>17137.706713823532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7C-4734-9843-B0A5E72DFD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248355823"/>
        <c:axId val="216063183"/>
      </c:barChart>
      <c:catAx>
        <c:axId val="24835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63183"/>
        <c:crosses val="autoZero"/>
        <c:auto val="1"/>
        <c:lblAlgn val="ctr"/>
        <c:lblOffset val="100"/>
        <c:noMultiLvlLbl val="0"/>
      </c:catAx>
      <c:valAx>
        <c:axId val="21606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Bill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5582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24813</xdr:colOff>
      <xdr:row>1</xdr:row>
      <xdr:rowOff>39538</xdr:rowOff>
    </xdr:from>
    <xdr:to>
      <xdr:col>30</xdr:col>
      <xdr:colOff>993322</xdr:colOff>
      <xdr:row>16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EE6ACC-22B8-A56F-B1A9-F1862EFCF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33058</xdr:colOff>
      <xdr:row>45</xdr:row>
      <xdr:rowOff>27214</xdr:rowOff>
    </xdr:from>
    <xdr:to>
      <xdr:col>22</xdr:col>
      <xdr:colOff>1047750</xdr:colOff>
      <xdr:row>59</xdr:row>
      <xdr:rowOff>145678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CF8126-3545-16EC-3A16-031DE9D82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27215</xdr:colOff>
      <xdr:row>45</xdr:row>
      <xdr:rowOff>13607</xdr:rowOff>
    </xdr:from>
    <xdr:to>
      <xdr:col>30</xdr:col>
      <xdr:colOff>966107</xdr:colOff>
      <xdr:row>59</xdr:row>
      <xdr:rowOff>185057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478B05-9FB2-71E1-0805-873A5E336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60</xdr:row>
      <xdr:rowOff>44824</xdr:rowOff>
    </xdr:from>
    <xdr:to>
      <xdr:col>27</xdr:col>
      <xdr:colOff>0</xdr:colOff>
      <xdr:row>75</xdr:row>
      <xdr:rowOff>22411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6117BE-38CA-4A6E-9213-786794A11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8076-A5BA-4F54-9999-4847583C2F33}">
  <dimension ref="A1:AE1340"/>
  <sheetViews>
    <sheetView tabSelected="1" zoomScale="40" zoomScaleNormal="40" workbookViewId="0">
      <selection activeCell="R112" sqref="R112"/>
    </sheetView>
  </sheetViews>
  <sheetFormatPr defaultColWidth="11.7109375" defaultRowHeight="15" x14ac:dyDescent="0.25"/>
  <cols>
    <col min="1" max="1" width="7.7109375" bestFit="1" customWidth="1"/>
    <col min="2" max="2" width="10.140625" bestFit="1" customWidth="1"/>
    <col min="3" max="3" width="11" bestFit="1" customWidth="1"/>
    <col min="4" max="4" width="6.28515625" bestFit="1" customWidth="1"/>
    <col min="5" max="5" width="8.7109375" bestFit="1" customWidth="1"/>
    <col min="6" max="6" width="11.140625" bestFit="1" customWidth="1"/>
    <col min="7" max="7" width="10" bestFit="1" customWidth="1"/>
    <col min="8" max="8" width="14.42578125" bestFit="1" customWidth="1"/>
    <col min="9" max="9" width="13.42578125" bestFit="1" customWidth="1"/>
    <col min="10" max="10" width="13" bestFit="1" customWidth="1"/>
    <col min="11" max="11" width="12.85546875" bestFit="1" customWidth="1"/>
    <col min="12" max="12" width="13.5703125" bestFit="1" customWidth="1"/>
    <col min="13" max="14" width="20.28515625" bestFit="1" customWidth="1"/>
    <col min="15" max="15" width="20.5703125" bestFit="1" customWidth="1"/>
    <col min="16" max="16" width="16" bestFit="1" customWidth="1"/>
    <col min="17" max="17" width="23" bestFit="1" customWidth="1"/>
    <col min="18" max="18" width="20.5703125" bestFit="1" customWidth="1"/>
    <col min="19" max="19" width="17.140625" customWidth="1"/>
    <col min="20" max="20" width="15.85546875" customWidth="1"/>
    <col min="21" max="21" width="14.85546875" bestFit="1" customWidth="1"/>
    <col min="22" max="22" width="16.85546875" bestFit="1" customWidth="1"/>
    <col min="23" max="25" width="15.85546875" bestFit="1" customWidth="1"/>
    <col min="26" max="26" width="14.42578125" bestFit="1" customWidth="1"/>
    <col min="27" max="27" width="13.42578125" bestFit="1" customWidth="1"/>
    <col min="28" max="28" width="13" customWidth="1"/>
    <col min="29" max="29" width="17.5703125" customWidth="1"/>
    <col min="30" max="30" width="17.28515625" bestFit="1" customWidth="1"/>
    <col min="31" max="31" width="15.28515625" bestFit="1" customWidth="1"/>
    <col min="32" max="32" width="6.85546875" bestFit="1" customWidth="1"/>
  </cols>
  <sheetData>
    <row r="1" spans="1:31" ht="15.75" thickBot="1" x14ac:dyDescent="0.3">
      <c r="G1" s="8" t="s">
        <v>9</v>
      </c>
      <c r="H1" s="2" t="s">
        <v>87</v>
      </c>
      <c r="I1" s="44" t="s">
        <v>13</v>
      </c>
      <c r="J1" s="44"/>
      <c r="K1" s="44"/>
      <c r="M1" s="44" t="s">
        <v>60</v>
      </c>
      <c r="N1" s="44"/>
      <c r="O1" s="44"/>
    </row>
    <row r="2" spans="1:31" x14ac:dyDescent="0.25">
      <c r="A2" s="2" t="s">
        <v>9</v>
      </c>
      <c r="B2" s="2" t="s">
        <v>12</v>
      </c>
      <c r="C2" s="2" t="s">
        <v>13</v>
      </c>
      <c r="D2" s="2" t="s">
        <v>8</v>
      </c>
      <c r="E2" s="2" t="s">
        <v>10</v>
      </c>
      <c r="F2" s="2" t="s">
        <v>11</v>
      </c>
      <c r="G2" s="2" t="s">
        <v>33</v>
      </c>
      <c r="H2" s="2" t="s">
        <v>85</v>
      </c>
      <c r="I2" s="2" t="s">
        <v>15</v>
      </c>
      <c r="J2" s="2" t="s">
        <v>16</v>
      </c>
      <c r="K2" s="2" t="s">
        <v>17</v>
      </c>
      <c r="L2" s="9" t="s">
        <v>14</v>
      </c>
      <c r="M2" s="2" t="s">
        <v>57</v>
      </c>
      <c r="N2" s="10" t="s">
        <v>58</v>
      </c>
      <c r="O2" s="10" t="s">
        <v>59</v>
      </c>
      <c r="Q2" s="45" t="s">
        <v>18</v>
      </c>
      <c r="R2" s="46"/>
      <c r="T2" s="66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 x14ac:dyDescent="0.25">
      <c r="A3" s="1" t="s">
        <v>0</v>
      </c>
      <c r="B3" s="1" t="s">
        <v>1</v>
      </c>
      <c r="C3" s="1" t="s">
        <v>2</v>
      </c>
      <c r="D3" s="1">
        <v>19</v>
      </c>
      <c r="E3" s="1">
        <v>27.9</v>
      </c>
      <c r="F3" s="1">
        <v>0</v>
      </c>
      <c r="G3" s="7">
        <f t="shared" ref="G3:G66" si="0">IF($A3=G$2,1,0)</f>
        <v>1</v>
      </c>
      <c r="H3" s="7">
        <f>IF(B3="yes",1,0)</f>
        <v>1</v>
      </c>
      <c r="I3" s="7">
        <f>IF($C3=I$2,1,0)</f>
        <v>0</v>
      </c>
      <c r="J3" s="7">
        <f t="shared" ref="J3:K18" si="1">IF($C3=J$2,1,0)</f>
        <v>0</v>
      </c>
      <c r="K3" s="7">
        <f t="shared" si="1"/>
        <v>0</v>
      </c>
      <c r="L3" s="11">
        <v>16884.923999999999</v>
      </c>
      <c r="M3" s="12" cm="1">
        <f t="array" ref="M3">IF(($R$34+SUMPRODUCT(TRANSPOSE(D3:K3),$R$35:$R$42))&lt;0,"-",$R$34+SUMPRODUCT(TRANSPOSE(D3:K3),$R$35:$R$42))</f>
        <v>25293.7130283968</v>
      </c>
      <c r="N3" s="13">
        <f t="shared" ref="N3:N66" si="2">IFERROR(IF($M3-(2*$R$24)&lt;0,"-",($M3-(2*$R$24))),"-")</f>
        <v>13169.508451361677</v>
      </c>
      <c r="O3" s="13">
        <f t="shared" ref="O3:O66" si="3">IFERROR(IF($L3+(2*$R$24)&lt;0,"-",($M3+(2*$R$24))),"-")</f>
        <v>37417.917605431925</v>
      </c>
      <c r="Q3" s="3" t="s">
        <v>32</v>
      </c>
      <c r="R3" s="3" t="s">
        <v>14</v>
      </c>
      <c r="T3" s="69"/>
      <c r="U3" s="70"/>
      <c r="V3" s="70"/>
      <c r="W3" s="70"/>
      <c r="X3" s="70"/>
      <c r="Y3" s="70"/>
      <c r="Z3" s="70"/>
      <c r="AA3" s="70"/>
      <c r="AB3" s="70"/>
      <c r="AC3" s="70"/>
      <c r="AD3" s="70"/>
      <c r="AE3" s="71"/>
    </row>
    <row r="4" spans="1:31" x14ac:dyDescent="0.25">
      <c r="A4" s="1" t="s">
        <v>3</v>
      </c>
      <c r="B4" s="1" t="s">
        <v>4</v>
      </c>
      <c r="C4" s="1" t="s">
        <v>5</v>
      </c>
      <c r="D4" s="1">
        <v>18</v>
      </c>
      <c r="E4" s="1">
        <v>33.770000000000003</v>
      </c>
      <c r="F4" s="1">
        <v>1</v>
      </c>
      <c r="G4" s="7">
        <f t="shared" si="0"/>
        <v>0</v>
      </c>
      <c r="H4" s="7">
        <f t="shared" ref="H4:H67" si="4">IF(B4="yes",1,0)</f>
        <v>0</v>
      </c>
      <c r="I4" s="7">
        <f t="shared" ref="I4:K67" si="5">IF($C4=I$2,1,0)</f>
        <v>1</v>
      </c>
      <c r="J4" s="7">
        <f t="shared" si="1"/>
        <v>0</v>
      </c>
      <c r="K4" s="7">
        <f t="shared" si="1"/>
        <v>0</v>
      </c>
      <c r="L4" s="11">
        <v>1725.5523000000001</v>
      </c>
      <c r="M4" s="12" cm="1">
        <f t="array" ref="M4">IF(($R$34+SUMPRODUCT(TRANSPOSE(D4:K4),$R$35:$R$42))&lt;0,"-",$R$34+SUMPRODUCT(TRANSPOSE(D4:K4),$R$35:$R$42))</f>
        <v>3448.6028343093312</v>
      </c>
      <c r="N4" s="13" t="str">
        <f t="shared" si="2"/>
        <v>-</v>
      </c>
      <c r="O4" s="13">
        <f t="shared" si="3"/>
        <v>15572.807411344455</v>
      </c>
      <c r="Q4" s="4" t="s">
        <v>19</v>
      </c>
      <c r="R4" s="5">
        <f>AVERAGE($L$3:$L$1340)</f>
        <v>13270.422265141257</v>
      </c>
      <c r="T4" s="69"/>
      <c r="U4" s="70"/>
      <c r="V4" s="70"/>
      <c r="W4" s="70"/>
      <c r="X4" s="70"/>
      <c r="Y4" s="70"/>
      <c r="Z4" s="70"/>
      <c r="AA4" s="70"/>
      <c r="AB4" s="70"/>
      <c r="AC4" s="70"/>
      <c r="AD4" s="70"/>
      <c r="AE4" s="71"/>
    </row>
    <row r="5" spans="1:31" x14ac:dyDescent="0.25">
      <c r="A5" s="1" t="s">
        <v>3</v>
      </c>
      <c r="B5" s="1" t="s">
        <v>4</v>
      </c>
      <c r="C5" s="1" t="s">
        <v>5</v>
      </c>
      <c r="D5" s="1">
        <v>28</v>
      </c>
      <c r="E5" s="1">
        <v>33</v>
      </c>
      <c r="F5" s="1">
        <v>3</v>
      </c>
      <c r="G5" s="7">
        <f t="shared" si="0"/>
        <v>0</v>
      </c>
      <c r="H5" s="7">
        <f t="shared" si="4"/>
        <v>0</v>
      </c>
      <c r="I5" s="7">
        <f t="shared" si="5"/>
        <v>1</v>
      </c>
      <c r="J5" s="7">
        <f t="shared" si="1"/>
        <v>0</v>
      </c>
      <c r="K5" s="7">
        <f t="shared" si="1"/>
        <v>0</v>
      </c>
      <c r="L5" s="11">
        <v>4449.4620000000004</v>
      </c>
      <c r="M5" s="12" cm="1">
        <f t="array" ref="M5">IF(($R$34+SUMPRODUCT(TRANSPOSE(D5:K5),$R$35:$R$42))&lt;0,"-",$R$34+SUMPRODUCT(TRANSPOSE(D5:K5),$R$35:$R$42))</f>
        <v>6706.988490700729</v>
      </c>
      <c r="N5" s="13" t="str">
        <f t="shared" si="2"/>
        <v>-</v>
      </c>
      <c r="O5" s="13">
        <f t="shared" si="3"/>
        <v>18831.193067735854</v>
      </c>
      <c r="Q5" s="4" t="s">
        <v>20</v>
      </c>
      <c r="R5" s="5">
        <f>R8/SQRT(R16)</f>
        <v>331.06745431568271</v>
      </c>
      <c r="T5" s="69"/>
      <c r="U5" s="70"/>
      <c r="V5" s="70"/>
      <c r="W5" s="70"/>
      <c r="X5" s="70"/>
      <c r="Y5" s="70"/>
      <c r="Z5" s="70"/>
      <c r="AA5" s="70"/>
      <c r="AB5" s="70"/>
      <c r="AC5" s="70"/>
      <c r="AD5" s="70"/>
      <c r="AE5" s="71"/>
    </row>
    <row r="6" spans="1:31" x14ac:dyDescent="0.25">
      <c r="A6" s="1" t="s">
        <v>3</v>
      </c>
      <c r="B6" s="1" t="s">
        <v>4</v>
      </c>
      <c r="C6" s="1" t="s">
        <v>6</v>
      </c>
      <c r="D6" s="1">
        <v>33</v>
      </c>
      <c r="E6" s="1">
        <v>22.704999999999998</v>
      </c>
      <c r="F6" s="1">
        <v>0</v>
      </c>
      <c r="G6" s="7">
        <f t="shared" si="0"/>
        <v>0</v>
      </c>
      <c r="H6" s="7">
        <f t="shared" si="4"/>
        <v>0</v>
      </c>
      <c r="I6" s="7">
        <f t="shared" si="5"/>
        <v>0</v>
      </c>
      <c r="J6" s="7">
        <f t="shared" si="1"/>
        <v>1</v>
      </c>
      <c r="K6" s="7">
        <f t="shared" si="1"/>
        <v>0</v>
      </c>
      <c r="L6" s="11">
        <v>21984.47061</v>
      </c>
      <c r="M6" s="12" cm="1">
        <f t="array" ref="M6">IF(($R$34+SUMPRODUCT(TRANSPOSE(D6:K6),$R$35:$R$42))&lt;0,"-",$R$34+SUMPRODUCT(TRANSPOSE(D6:K6),$R$35:$R$42))</f>
        <v>3754.8301629796479</v>
      </c>
      <c r="N6" s="13" t="str">
        <f t="shared" si="2"/>
        <v>-</v>
      </c>
      <c r="O6" s="13">
        <f t="shared" si="3"/>
        <v>15879.034740014771</v>
      </c>
      <c r="Q6" s="4" t="s">
        <v>21</v>
      </c>
      <c r="R6" s="5">
        <f>MEDIAN($L$3:$L$1340)</f>
        <v>9382.0329999999994</v>
      </c>
      <c r="T6" s="69"/>
      <c r="U6" s="70"/>
      <c r="V6" s="70"/>
      <c r="W6" s="70"/>
      <c r="X6" s="70"/>
      <c r="Y6" s="70"/>
      <c r="Z6" s="70"/>
      <c r="AA6" s="70"/>
      <c r="AB6" s="70"/>
      <c r="AC6" s="70"/>
      <c r="AD6" s="70"/>
      <c r="AE6" s="71"/>
    </row>
    <row r="7" spans="1:31" x14ac:dyDescent="0.25">
      <c r="A7" s="1" t="s">
        <v>3</v>
      </c>
      <c r="B7" s="1" t="s">
        <v>4</v>
      </c>
      <c r="C7" s="1" t="s">
        <v>6</v>
      </c>
      <c r="D7" s="1">
        <v>32</v>
      </c>
      <c r="E7" s="1">
        <v>28.88</v>
      </c>
      <c r="F7" s="1">
        <v>0</v>
      </c>
      <c r="G7" s="7">
        <f t="shared" si="0"/>
        <v>0</v>
      </c>
      <c r="H7" s="7">
        <f t="shared" si="4"/>
        <v>0</v>
      </c>
      <c r="I7" s="7">
        <f t="shared" si="5"/>
        <v>0</v>
      </c>
      <c r="J7" s="7">
        <f t="shared" si="1"/>
        <v>1</v>
      </c>
      <c r="K7" s="7">
        <f t="shared" si="1"/>
        <v>0</v>
      </c>
      <c r="L7" s="11">
        <v>3866.8552</v>
      </c>
      <c r="M7" s="12" cm="1">
        <f t="array" ref="M7">IF(($R$34+SUMPRODUCT(TRANSPOSE(D7:K7),$R$35:$R$42))&lt;0,"-",$R$34+SUMPRODUCT(TRANSPOSE(D7:K7),$R$35:$R$42))</f>
        <v>5592.4933864892409</v>
      </c>
      <c r="N7" s="13" t="str">
        <f t="shared" si="2"/>
        <v>-</v>
      </c>
      <c r="O7" s="13">
        <f t="shared" si="3"/>
        <v>17716.697963524362</v>
      </c>
      <c r="Q7" s="4" t="s">
        <v>22</v>
      </c>
      <c r="R7" s="5">
        <f>MODE($L$3:$L$1340)</f>
        <v>1639.5631000000001</v>
      </c>
      <c r="T7" s="69"/>
      <c r="U7" s="70"/>
      <c r="V7" s="70"/>
      <c r="W7" s="70"/>
      <c r="X7" s="70"/>
      <c r="Y7" s="70"/>
      <c r="Z7" s="70"/>
      <c r="AA7" s="70"/>
      <c r="AB7" s="70"/>
      <c r="AC7" s="70"/>
      <c r="AD7" s="70"/>
      <c r="AE7" s="71"/>
    </row>
    <row r="8" spans="1:31" x14ac:dyDescent="0.25">
      <c r="A8" s="1" t="s">
        <v>0</v>
      </c>
      <c r="B8" s="1" t="s">
        <v>4</v>
      </c>
      <c r="C8" s="1" t="s">
        <v>5</v>
      </c>
      <c r="D8" s="1">
        <v>31</v>
      </c>
      <c r="E8" s="1">
        <v>25.74</v>
      </c>
      <c r="F8" s="1">
        <v>0</v>
      </c>
      <c r="G8" s="7">
        <f t="shared" si="0"/>
        <v>1</v>
      </c>
      <c r="H8" s="7">
        <f t="shared" si="4"/>
        <v>0</v>
      </c>
      <c r="I8" s="7">
        <f t="shared" si="5"/>
        <v>1</v>
      </c>
      <c r="J8" s="7">
        <f t="shared" si="1"/>
        <v>0</v>
      </c>
      <c r="K8" s="7">
        <f t="shared" si="1"/>
        <v>0</v>
      </c>
      <c r="L8" s="11">
        <v>3756.6215999999999</v>
      </c>
      <c r="M8" s="12" cm="1">
        <f t="array" ref="M8">IF(($R$34+SUMPRODUCT(TRANSPOSE(D8:K8),$R$35:$R$42))&lt;0,"-",$R$34+SUMPRODUCT(TRANSPOSE(D8:K8),$R$35:$R$42))</f>
        <v>3719.8257990457823</v>
      </c>
      <c r="N8" s="13" t="str">
        <f t="shared" si="2"/>
        <v>-</v>
      </c>
      <c r="O8" s="13">
        <f t="shared" si="3"/>
        <v>15844.030376080906</v>
      </c>
      <c r="Q8" s="4" t="s">
        <v>23</v>
      </c>
      <c r="R8" s="5">
        <f>_xlfn.STDEV.S($L$3:$L$1340)</f>
        <v>12110.01123669401</v>
      </c>
      <c r="T8" s="69"/>
      <c r="U8" s="70"/>
      <c r="V8" s="70"/>
      <c r="W8" s="70"/>
      <c r="X8" s="70"/>
      <c r="Y8" s="70"/>
      <c r="Z8" s="70"/>
      <c r="AA8" s="70"/>
      <c r="AB8" s="70"/>
      <c r="AC8" s="70"/>
      <c r="AD8" s="70"/>
      <c r="AE8" s="71"/>
    </row>
    <row r="9" spans="1:31" x14ac:dyDescent="0.25">
      <c r="A9" s="1" t="s">
        <v>0</v>
      </c>
      <c r="B9" s="1" t="s">
        <v>4</v>
      </c>
      <c r="C9" s="1" t="s">
        <v>5</v>
      </c>
      <c r="D9" s="1">
        <v>46</v>
      </c>
      <c r="E9" s="1">
        <v>33.44</v>
      </c>
      <c r="F9" s="1">
        <v>1</v>
      </c>
      <c r="G9" s="7">
        <f t="shared" si="0"/>
        <v>1</v>
      </c>
      <c r="H9" s="7">
        <f t="shared" si="4"/>
        <v>0</v>
      </c>
      <c r="I9" s="7">
        <f t="shared" si="5"/>
        <v>1</v>
      </c>
      <c r="J9" s="7">
        <f t="shared" si="1"/>
        <v>0</v>
      </c>
      <c r="K9" s="7">
        <f t="shared" si="1"/>
        <v>0</v>
      </c>
      <c r="L9" s="11">
        <v>8240.5895999999993</v>
      </c>
      <c r="M9" s="12" cm="1">
        <f t="array" ref="M9">IF(($R$34+SUMPRODUCT(TRANSPOSE(D9:K9),$R$35:$R$42))&lt;0,"-",$R$34+SUMPRODUCT(TRANSPOSE(D9:K9),$R$35:$R$42))</f>
        <v>10659.961225058603</v>
      </c>
      <c r="N9" s="13" t="str">
        <f t="shared" si="2"/>
        <v>-</v>
      </c>
      <c r="O9" s="13">
        <f t="shared" si="3"/>
        <v>22784.165802093725</v>
      </c>
      <c r="Q9" s="4" t="s">
        <v>24</v>
      </c>
      <c r="R9" s="6">
        <f>_xlfn.VAR.S($L$3:$L$1340)</f>
        <v>146652372.15285519</v>
      </c>
      <c r="T9" s="69"/>
      <c r="U9" s="70"/>
      <c r="V9" s="70"/>
      <c r="W9" s="70"/>
      <c r="X9" s="70"/>
      <c r="Y9" s="70"/>
      <c r="Z9" s="70"/>
      <c r="AA9" s="70"/>
      <c r="AB9" s="70"/>
      <c r="AC9" s="70"/>
      <c r="AD9" s="70"/>
      <c r="AE9" s="71"/>
    </row>
    <row r="10" spans="1:31" x14ac:dyDescent="0.25">
      <c r="A10" s="1" t="s">
        <v>0</v>
      </c>
      <c r="B10" s="1" t="s">
        <v>4</v>
      </c>
      <c r="C10" s="1" t="s">
        <v>6</v>
      </c>
      <c r="D10" s="1">
        <v>37</v>
      </c>
      <c r="E10" s="1">
        <v>27.74</v>
      </c>
      <c r="F10" s="1">
        <v>3</v>
      </c>
      <c r="G10" s="7">
        <f t="shared" si="0"/>
        <v>1</v>
      </c>
      <c r="H10" s="7">
        <f t="shared" si="4"/>
        <v>0</v>
      </c>
      <c r="I10" s="7">
        <f t="shared" si="5"/>
        <v>0</v>
      </c>
      <c r="J10" s="7">
        <f t="shared" si="1"/>
        <v>1</v>
      </c>
      <c r="K10" s="7">
        <f t="shared" si="1"/>
        <v>0</v>
      </c>
      <c r="L10" s="11">
        <v>7281.5056000000004</v>
      </c>
      <c r="M10" s="12" cm="1">
        <f t="array" ref="M10">IF(($R$34+SUMPRODUCT(TRANSPOSE(D10:K10),$R$35:$R$42))&lt;0,"-",$R$34+SUMPRODUCT(TRANSPOSE(D10:K10),$R$35:$R$42))</f>
        <v>8047.9106069021291</v>
      </c>
      <c r="N10" s="13" t="str">
        <f t="shared" si="2"/>
        <v>-</v>
      </c>
      <c r="O10" s="13">
        <f t="shared" si="3"/>
        <v>20172.115183937254</v>
      </c>
      <c r="Q10" s="4" t="s">
        <v>25</v>
      </c>
      <c r="R10" s="6">
        <f>KURT($L$3:$L$1340)</f>
        <v>1.6062986532968111</v>
      </c>
      <c r="T10" s="69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1"/>
    </row>
    <row r="11" spans="1:31" x14ac:dyDescent="0.25">
      <c r="A11" s="1" t="s">
        <v>3</v>
      </c>
      <c r="B11" s="1" t="s">
        <v>4</v>
      </c>
      <c r="C11" s="1" t="s">
        <v>7</v>
      </c>
      <c r="D11" s="1">
        <v>37</v>
      </c>
      <c r="E11" s="1">
        <v>29.83</v>
      </c>
      <c r="F11" s="1">
        <v>2</v>
      </c>
      <c r="G11" s="7">
        <f t="shared" si="0"/>
        <v>0</v>
      </c>
      <c r="H11" s="7">
        <f t="shared" si="4"/>
        <v>0</v>
      </c>
      <c r="I11" s="7">
        <f t="shared" si="5"/>
        <v>0</v>
      </c>
      <c r="J11" s="7">
        <f t="shared" si="1"/>
        <v>0</v>
      </c>
      <c r="K11" s="7">
        <f t="shared" si="1"/>
        <v>1</v>
      </c>
      <c r="L11" s="11">
        <v>6406.4107000000004</v>
      </c>
      <c r="M11" s="12" cm="1">
        <f t="array" ref="M11">IF(($R$34+SUMPRODUCT(TRANSPOSE(D11:K11),$R$35:$R$42))&lt;0,"-",$R$34+SUMPRODUCT(TRANSPOSE(D11:K11),$R$35:$R$42))</f>
        <v>8502.9739198291827</v>
      </c>
      <c r="N11" s="13" t="str">
        <f t="shared" si="2"/>
        <v>-</v>
      </c>
      <c r="O11" s="13">
        <f t="shared" si="3"/>
        <v>20627.178496864304</v>
      </c>
      <c r="Q11" s="4" t="s">
        <v>26</v>
      </c>
      <c r="R11" s="6">
        <f>SKEW($L$3:$L$1340)</f>
        <v>1.515879658024041</v>
      </c>
      <c r="T11" s="69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1"/>
    </row>
    <row r="12" spans="1:31" x14ac:dyDescent="0.25">
      <c r="A12" s="1" t="s">
        <v>0</v>
      </c>
      <c r="B12" s="1" t="s">
        <v>4</v>
      </c>
      <c r="C12" s="1" t="s">
        <v>6</v>
      </c>
      <c r="D12" s="1">
        <v>60</v>
      </c>
      <c r="E12" s="1">
        <v>25.84</v>
      </c>
      <c r="F12" s="1">
        <v>0</v>
      </c>
      <c r="G12" s="7">
        <f t="shared" si="0"/>
        <v>1</v>
      </c>
      <c r="H12" s="7">
        <f t="shared" si="4"/>
        <v>0</v>
      </c>
      <c r="I12" s="7">
        <f t="shared" si="5"/>
        <v>0</v>
      </c>
      <c r="J12" s="7">
        <f t="shared" si="1"/>
        <v>1</v>
      </c>
      <c r="K12" s="7">
        <f t="shared" si="1"/>
        <v>0</v>
      </c>
      <c r="L12" s="11">
        <v>28923.136920000001</v>
      </c>
      <c r="M12" s="12" cm="1">
        <f t="array" ref="M12">IF(($R$34+SUMPRODUCT(TRANSPOSE(D12:K12),$R$35:$R$42))&lt;0,"-",$R$34+SUMPRODUCT(TRANSPOSE(D12:K12),$R$35:$R$42))</f>
        <v>11884.637517953135</v>
      </c>
      <c r="N12" s="13" t="str">
        <f t="shared" si="2"/>
        <v>-</v>
      </c>
      <c r="O12" s="13">
        <f t="shared" si="3"/>
        <v>24008.842094988257</v>
      </c>
      <c r="Q12" s="4" t="s">
        <v>27</v>
      </c>
      <c r="R12" s="5">
        <f>MIN($L$3:$L$1340)</f>
        <v>1121.8739</v>
      </c>
      <c r="T12" s="69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1"/>
    </row>
    <row r="13" spans="1:31" x14ac:dyDescent="0.25">
      <c r="A13" s="1" t="s">
        <v>3</v>
      </c>
      <c r="B13" s="1" t="s">
        <v>4</v>
      </c>
      <c r="C13" s="1" t="s">
        <v>7</v>
      </c>
      <c r="D13" s="1">
        <v>25</v>
      </c>
      <c r="E13" s="1">
        <v>26.22</v>
      </c>
      <c r="F13" s="1">
        <v>0</v>
      </c>
      <c r="G13" s="7">
        <f t="shared" si="0"/>
        <v>0</v>
      </c>
      <c r="H13" s="7">
        <f t="shared" si="4"/>
        <v>0</v>
      </c>
      <c r="I13" s="7">
        <f t="shared" si="5"/>
        <v>0</v>
      </c>
      <c r="J13" s="7">
        <f t="shared" si="1"/>
        <v>0</v>
      </c>
      <c r="K13" s="7">
        <f t="shared" si="1"/>
        <v>1</v>
      </c>
      <c r="L13" s="11">
        <v>2721.3208</v>
      </c>
      <c r="M13" s="12" cm="1">
        <f t="array" ref="M13">IF(($R$34+SUMPRODUCT(TRANSPOSE(D13:K13),$R$35:$R$42))&lt;0,"-",$R$34+SUMPRODUCT(TRANSPOSE(D13:K13),$R$35:$R$42))</f>
        <v>3245.2082315476109</v>
      </c>
      <c r="N13" s="13" t="str">
        <f t="shared" si="2"/>
        <v>-</v>
      </c>
      <c r="O13" s="13">
        <f t="shared" si="3"/>
        <v>15369.412808582734</v>
      </c>
      <c r="Q13" s="4" t="s">
        <v>28</v>
      </c>
      <c r="R13" s="5">
        <f>MAX($L$3:$L$1340)</f>
        <v>63770.428010000003</v>
      </c>
      <c r="T13" s="69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1"/>
    </row>
    <row r="14" spans="1:31" x14ac:dyDescent="0.25">
      <c r="A14" s="1" t="s">
        <v>0</v>
      </c>
      <c r="B14" s="1" t="s">
        <v>1</v>
      </c>
      <c r="C14" s="1" t="s">
        <v>5</v>
      </c>
      <c r="D14" s="1">
        <v>62</v>
      </c>
      <c r="E14" s="1">
        <v>26.29</v>
      </c>
      <c r="F14" s="1">
        <v>0</v>
      </c>
      <c r="G14" s="7">
        <f t="shared" si="0"/>
        <v>1</v>
      </c>
      <c r="H14" s="7">
        <f t="shared" si="4"/>
        <v>1</v>
      </c>
      <c r="I14" s="7">
        <f t="shared" si="5"/>
        <v>1</v>
      </c>
      <c r="J14" s="7">
        <f t="shared" si="1"/>
        <v>0</v>
      </c>
      <c r="K14" s="7">
        <f t="shared" si="1"/>
        <v>0</v>
      </c>
      <c r="L14" s="11">
        <v>27808.7251</v>
      </c>
      <c r="M14" s="12" cm="1">
        <f t="array" ref="M14">IF(($R$34+SUMPRODUCT(TRANSPOSE(D14:K14),$R$35:$R$42))&lt;0,"-",$R$34+SUMPRODUCT(TRANSPOSE(D14:K14),$R$35:$R$42))</f>
        <v>35717.463669102326</v>
      </c>
      <c r="N14" s="13">
        <f t="shared" si="2"/>
        <v>23593.259092067201</v>
      </c>
      <c r="O14" s="13">
        <f t="shared" si="3"/>
        <v>47841.668246137451</v>
      </c>
      <c r="Q14" s="4" t="s">
        <v>29</v>
      </c>
      <c r="R14" s="5">
        <f>R13-R12</f>
        <v>62648.554110000005</v>
      </c>
      <c r="T14" s="69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1"/>
    </row>
    <row r="15" spans="1:31" x14ac:dyDescent="0.25">
      <c r="A15" s="1" t="s">
        <v>3</v>
      </c>
      <c r="B15" s="1" t="s">
        <v>4</v>
      </c>
      <c r="C15" s="1" t="s">
        <v>2</v>
      </c>
      <c r="D15" s="1">
        <v>23</v>
      </c>
      <c r="E15" s="1">
        <v>34.4</v>
      </c>
      <c r="F15" s="1">
        <v>0</v>
      </c>
      <c r="G15" s="7">
        <f t="shared" si="0"/>
        <v>0</v>
      </c>
      <c r="H15" s="7">
        <f t="shared" si="4"/>
        <v>0</v>
      </c>
      <c r="I15" s="7">
        <f t="shared" si="5"/>
        <v>0</v>
      </c>
      <c r="J15" s="7">
        <f t="shared" si="1"/>
        <v>0</v>
      </c>
      <c r="K15" s="7">
        <f t="shared" si="1"/>
        <v>0</v>
      </c>
      <c r="L15" s="11">
        <v>1826.8430000000001</v>
      </c>
      <c r="M15" s="12" cm="1">
        <f t="array" ref="M15">IF(($R$34+SUMPRODUCT(TRANSPOSE(D15:K15),$R$35:$R$42))&lt;0,"-",$R$34+SUMPRODUCT(TRANSPOSE(D15:K15),$R$35:$R$42))</f>
        <v>4546.0469857087519</v>
      </c>
      <c r="N15" s="13" t="str">
        <f t="shared" si="2"/>
        <v>-</v>
      </c>
      <c r="O15" s="13">
        <f t="shared" si="3"/>
        <v>16670.251562743877</v>
      </c>
      <c r="Q15" s="4" t="s">
        <v>30</v>
      </c>
      <c r="R15" s="5">
        <f>SUM($L$3:$L$1340)</f>
        <v>17755824.990759</v>
      </c>
      <c r="T15" s="69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1"/>
    </row>
    <row r="16" spans="1:31" x14ac:dyDescent="0.25">
      <c r="A16" s="1" t="s">
        <v>0</v>
      </c>
      <c r="B16" s="1" t="s">
        <v>4</v>
      </c>
      <c r="C16" s="1" t="s">
        <v>5</v>
      </c>
      <c r="D16" s="1">
        <v>56</v>
      </c>
      <c r="E16" s="1">
        <v>39.82</v>
      </c>
      <c r="F16" s="1">
        <v>0</v>
      </c>
      <c r="G16" s="7">
        <f t="shared" si="0"/>
        <v>1</v>
      </c>
      <c r="H16" s="7">
        <f t="shared" si="4"/>
        <v>0</v>
      </c>
      <c r="I16" s="7">
        <f t="shared" si="5"/>
        <v>1</v>
      </c>
      <c r="J16" s="7">
        <f t="shared" si="1"/>
        <v>0</v>
      </c>
      <c r="K16" s="7">
        <f t="shared" si="1"/>
        <v>0</v>
      </c>
      <c r="L16" s="11">
        <v>11090.7178</v>
      </c>
      <c r="M16" s="12" cm="1">
        <f t="array" ref="M16">IF(($R$34+SUMPRODUCT(TRANSPOSE(D16:K16),$R$35:$R$42))&lt;0,"-",$R$34+SUMPRODUCT(TRANSPOSE(D16:K16),$R$35:$R$42))</f>
        <v>14917.07843932011</v>
      </c>
      <c r="N16" s="13">
        <f t="shared" si="2"/>
        <v>2792.8738622849869</v>
      </c>
      <c r="O16" s="13">
        <f t="shared" si="3"/>
        <v>27041.283016355235</v>
      </c>
      <c r="Q16" s="4" t="s">
        <v>31</v>
      </c>
      <c r="R16" s="6">
        <f>COUNT($L$3:$L$1340)</f>
        <v>1338</v>
      </c>
      <c r="T16" s="69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1"/>
    </row>
    <row r="17" spans="1:31" ht="15.75" thickBot="1" x14ac:dyDescent="0.3">
      <c r="A17" s="1" t="s">
        <v>3</v>
      </c>
      <c r="B17" s="1" t="s">
        <v>1</v>
      </c>
      <c r="C17" s="1" t="s">
        <v>5</v>
      </c>
      <c r="D17" s="1">
        <v>27</v>
      </c>
      <c r="E17" s="1">
        <v>42.13</v>
      </c>
      <c r="F17" s="1">
        <v>0</v>
      </c>
      <c r="G17" s="7">
        <f t="shared" si="0"/>
        <v>0</v>
      </c>
      <c r="H17" s="7">
        <f t="shared" si="4"/>
        <v>1</v>
      </c>
      <c r="I17" s="7">
        <f t="shared" si="5"/>
        <v>1</v>
      </c>
      <c r="J17" s="7">
        <f t="shared" si="1"/>
        <v>0</v>
      </c>
      <c r="K17" s="7">
        <f t="shared" si="1"/>
        <v>0</v>
      </c>
      <c r="L17" s="11">
        <v>39611.757700000002</v>
      </c>
      <c r="M17" s="12" cm="1">
        <f t="array" ref="M17">IF(($R$34+SUMPRODUCT(TRANSPOSE(D17:K17),$R$35:$R$42))&lt;0,"-",$R$34+SUMPRODUCT(TRANSPOSE(D17:K17),$R$35:$R$42))</f>
        <v>31969.001276095747</v>
      </c>
      <c r="N17" s="13">
        <f t="shared" si="2"/>
        <v>19844.796699060622</v>
      </c>
      <c r="O17" s="13">
        <f t="shared" si="3"/>
        <v>44093.205853130872</v>
      </c>
      <c r="T17" s="72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4"/>
    </row>
    <row r="18" spans="1:31" x14ac:dyDescent="0.25">
      <c r="A18" s="1" t="s">
        <v>3</v>
      </c>
      <c r="B18" s="1" t="s">
        <v>4</v>
      </c>
      <c r="C18" s="1" t="s">
        <v>2</v>
      </c>
      <c r="D18" s="1">
        <v>19</v>
      </c>
      <c r="E18" s="1">
        <v>24.6</v>
      </c>
      <c r="F18" s="1">
        <v>1</v>
      </c>
      <c r="G18" s="7">
        <f t="shared" si="0"/>
        <v>0</v>
      </c>
      <c r="H18" s="7">
        <f t="shared" si="4"/>
        <v>0</v>
      </c>
      <c r="I18" s="7">
        <f t="shared" si="5"/>
        <v>0</v>
      </c>
      <c r="J18" s="7">
        <f t="shared" si="1"/>
        <v>0</v>
      </c>
      <c r="K18" s="7">
        <f t="shared" si="1"/>
        <v>0</v>
      </c>
      <c r="L18" s="11">
        <v>1837.2370000000001</v>
      </c>
      <c r="M18" s="12" cm="1">
        <f t="array" ref="M18">IF(($R$34+SUMPRODUCT(TRANSPOSE(D18:K18),$R$35:$R$42))&lt;0,"-",$R$34+SUMPRODUCT(TRANSPOSE(D18:K18),$R$35:$R$42))</f>
        <v>670.02627532226325</v>
      </c>
      <c r="N18" s="13" t="str">
        <f t="shared" si="2"/>
        <v>-</v>
      </c>
      <c r="O18" s="13">
        <f t="shared" si="3"/>
        <v>12794.230852357387</v>
      </c>
      <c r="Q18" t="s">
        <v>34</v>
      </c>
    </row>
    <row r="19" spans="1:31" ht="15.75" thickBot="1" x14ac:dyDescent="0.3">
      <c r="A19" s="1" t="s">
        <v>0</v>
      </c>
      <c r="B19" s="1" t="s">
        <v>4</v>
      </c>
      <c r="C19" s="1" t="s">
        <v>7</v>
      </c>
      <c r="D19" s="1">
        <v>52</v>
      </c>
      <c r="E19" s="1">
        <v>30.78</v>
      </c>
      <c r="F19" s="1">
        <v>1</v>
      </c>
      <c r="G19" s="7">
        <f t="shared" si="0"/>
        <v>1</v>
      </c>
      <c r="H19" s="7">
        <f t="shared" si="4"/>
        <v>0</v>
      </c>
      <c r="I19" s="7">
        <f t="shared" si="5"/>
        <v>0</v>
      </c>
      <c r="J19" s="7">
        <f t="shared" si="5"/>
        <v>0</v>
      </c>
      <c r="K19" s="7">
        <f t="shared" si="5"/>
        <v>1</v>
      </c>
      <c r="L19" s="11">
        <v>10797.3362</v>
      </c>
      <c r="M19" s="12" cm="1">
        <f t="array" ref="M19">IF(($R$34+SUMPRODUCT(TRANSPOSE(D19:K19),$R$35:$R$42))&lt;0,"-",$R$34+SUMPRODUCT(TRANSPOSE(D19:K19),$R$35:$R$42))</f>
        <v>12333.866803065677</v>
      </c>
      <c r="N19" s="13">
        <f t="shared" si="2"/>
        <v>209.66222603055394</v>
      </c>
      <c r="O19" s="13">
        <f t="shared" si="3"/>
        <v>24458.071380100802</v>
      </c>
    </row>
    <row r="20" spans="1:31" x14ac:dyDescent="0.25">
      <c r="A20" s="1" t="s">
        <v>3</v>
      </c>
      <c r="B20" s="1" t="s">
        <v>4</v>
      </c>
      <c r="C20" s="1" t="s">
        <v>7</v>
      </c>
      <c r="D20" s="1">
        <v>23</v>
      </c>
      <c r="E20" s="1">
        <v>23.844999999999999</v>
      </c>
      <c r="F20" s="1">
        <v>0</v>
      </c>
      <c r="G20" s="7">
        <f t="shared" si="0"/>
        <v>0</v>
      </c>
      <c r="H20" s="7">
        <f t="shared" si="4"/>
        <v>0</v>
      </c>
      <c r="I20" s="7">
        <f t="shared" si="5"/>
        <v>0</v>
      </c>
      <c r="J20" s="7">
        <f t="shared" si="5"/>
        <v>0</v>
      </c>
      <c r="K20" s="7">
        <f t="shared" si="5"/>
        <v>1</v>
      </c>
      <c r="L20" s="11">
        <v>2395.17155</v>
      </c>
      <c r="M20" s="12" cm="1">
        <f t="array" ref="M20">IF(($R$34+SUMPRODUCT(TRANSPOSE(D20:K20),$R$35:$R$42))&lt;0,"-",$R$34+SUMPRODUCT(TRANSPOSE(D20:K20),$R$35:$R$42))</f>
        <v>1925.9110741471704</v>
      </c>
      <c r="N20" s="13" t="str">
        <f t="shared" si="2"/>
        <v>-</v>
      </c>
      <c r="O20" s="13">
        <f t="shared" si="3"/>
        <v>14050.115651182294</v>
      </c>
      <c r="Q20" s="27" t="s">
        <v>35</v>
      </c>
      <c r="R20" s="27"/>
    </row>
    <row r="21" spans="1:31" x14ac:dyDescent="0.25">
      <c r="A21" s="1" t="s">
        <v>3</v>
      </c>
      <c r="B21" s="1" t="s">
        <v>4</v>
      </c>
      <c r="C21" s="1" t="s">
        <v>2</v>
      </c>
      <c r="D21" s="1">
        <v>56</v>
      </c>
      <c r="E21" s="1">
        <v>40.299999999999997</v>
      </c>
      <c r="F21" s="1">
        <v>0</v>
      </c>
      <c r="G21" s="7">
        <f t="shared" si="0"/>
        <v>0</v>
      </c>
      <c r="H21" s="7">
        <f t="shared" si="4"/>
        <v>0</v>
      </c>
      <c r="I21" s="7">
        <f t="shared" si="5"/>
        <v>0</v>
      </c>
      <c r="J21" s="7">
        <f t="shared" si="5"/>
        <v>0</v>
      </c>
      <c r="K21" s="7">
        <f t="shared" si="5"/>
        <v>0</v>
      </c>
      <c r="L21" s="11">
        <v>10602.385</v>
      </c>
      <c r="M21" s="12" cm="1">
        <f t="array" ref="M21">IF(($R$34+SUMPRODUCT(TRANSPOSE(D21:K21),$R$35:$R$42))&lt;0,"-",$R$34+SUMPRODUCT(TRANSPOSE(D21:K21),$R$35:$R$42))</f>
        <v>15023.547995745193</v>
      </c>
      <c r="N21" s="13">
        <f t="shared" si="2"/>
        <v>2899.3434187100702</v>
      </c>
      <c r="O21" s="13">
        <f t="shared" si="3"/>
        <v>27147.752572780315</v>
      </c>
      <c r="Q21" t="s">
        <v>36</v>
      </c>
      <c r="R21" s="28">
        <v>0.86655238422066583</v>
      </c>
      <c r="V21" s="44" t="s">
        <v>86</v>
      </c>
      <c r="W21" s="44"/>
      <c r="X21" s="44"/>
      <c r="Y21" s="44"/>
      <c r="Z21" s="44"/>
      <c r="AA21" s="44"/>
      <c r="AB21" s="44"/>
      <c r="AC21" s="44"/>
    </row>
    <row r="22" spans="1:31" x14ac:dyDescent="0.25">
      <c r="A22" s="1" t="s">
        <v>3</v>
      </c>
      <c r="B22" s="1" t="s">
        <v>1</v>
      </c>
      <c r="C22" s="1" t="s">
        <v>2</v>
      </c>
      <c r="D22" s="1">
        <v>30</v>
      </c>
      <c r="E22" s="1">
        <v>35.299999999999997</v>
      </c>
      <c r="F22" s="1">
        <v>0</v>
      </c>
      <c r="G22" s="7">
        <f t="shared" si="0"/>
        <v>0</v>
      </c>
      <c r="H22" s="7">
        <f t="shared" si="4"/>
        <v>1</v>
      </c>
      <c r="I22" s="7">
        <f t="shared" si="5"/>
        <v>0</v>
      </c>
      <c r="J22" s="7">
        <f t="shared" si="5"/>
        <v>0</v>
      </c>
      <c r="K22" s="7">
        <f t="shared" si="5"/>
        <v>0</v>
      </c>
      <c r="L22" s="11">
        <v>36837.466999999997</v>
      </c>
      <c r="M22" s="12" cm="1">
        <f t="array" ref="M22">IF(($R$34+SUMPRODUCT(TRANSPOSE(D22:K22),$R$35:$R$42))&lt;0,"-",$R$34+SUMPRODUCT(TRANSPOSE(D22:K22),$R$35:$R$42))</f>
        <v>30497.850103632736</v>
      </c>
      <c r="N22" s="13">
        <f t="shared" si="2"/>
        <v>18373.645526597611</v>
      </c>
      <c r="O22" s="13">
        <f t="shared" si="3"/>
        <v>42622.054680667861</v>
      </c>
      <c r="Q22" t="s">
        <v>37</v>
      </c>
      <c r="R22" s="28">
        <v>0.75091303459852043</v>
      </c>
      <c r="V22" s="2" t="str">
        <f t="shared" ref="V22:AC22" si="6">D2</f>
        <v>Age</v>
      </c>
      <c r="W22" s="2" t="str">
        <f t="shared" si="6"/>
        <v>BMI</v>
      </c>
      <c r="X22" s="2" t="str">
        <f t="shared" si="6"/>
        <v>Children</v>
      </c>
      <c r="Y22" s="2" t="str">
        <f t="shared" si="6"/>
        <v>Female</v>
      </c>
      <c r="Z22" s="2" t="str">
        <f t="shared" si="6"/>
        <v>SmokerYes</v>
      </c>
      <c r="AA22" s="2" t="str">
        <f t="shared" si="6"/>
        <v>Southeast</v>
      </c>
      <c r="AB22" s="2" t="str">
        <f t="shared" si="6"/>
        <v>Northwest</v>
      </c>
      <c r="AC22" s="2" t="str">
        <f t="shared" si="6"/>
        <v>Northeast</v>
      </c>
    </row>
    <row r="23" spans="1:31" x14ac:dyDescent="0.25">
      <c r="A23" s="1" t="s">
        <v>0</v>
      </c>
      <c r="B23" s="1" t="s">
        <v>4</v>
      </c>
      <c r="C23" s="1" t="s">
        <v>7</v>
      </c>
      <c r="D23" s="1">
        <v>60</v>
      </c>
      <c r="E23" s="1">
        <v>36.005000000000003</v>
      </c>
      <c r="F23" s="1">
        <v>0</v>
      </c>
      <c r="G23" s="7">
        <f t="shared" si="0"/>
        <v>1</v>
      </c>
      <c r="H23" s="7">
        <f t="shared" si="4"/>
        <v>0</v>
      </c>
      <c r="I23" s="7">
        <f t="shared" si="5"/>
        <v>0</v>
      </c>
      <c r="J23" s="7">
        <f t="shared" si="5"/>
        <v>0</v>
      </c>
      <c r="K23" s="7">
        <f t="shared" si="5"/>
        <v>1</v>
      </c>
      <c r="L23" s="11">
        <v>13228.846949999999</v>
      </c>
      <c r="M23" s="12" cm="1">
        <f t="array" ref="M23">IF(($R$34+SUMPRODUCT(TRANSPOSE(D23:K23),$R$35:$R$42))&lt;0,"-",$R$34+SUMPRODUCT(TRANSPOSE(D23:K23),$R$35:$R$42))</f>
        <v>15685.502873331967</v>
      </c>
      <c r="N23" s="13">
        <f t="shared" si="2"/>
        <v>3561.2982962968435</v>
      </c>
      <c r="O23" s="13">
        <f t="shared" si="3"/>
        <v>27809.707450367088</v>
      </c>
      <c r="Q23" t="s">
        <v>38</v>
      </c>
      <c r="R23" s="28">
        <v>0.74941363977292841</v>
      </c>
      <c r="V23" s="14">
        <f t="shared" ref="V23:AC23" si="7">CORREL(D3:D1340,$L$3:$L$1340)</f>
        <v>0.29900819333064782</v>
      </c>
      <c r="W23" s="14">
        <f t="shared" si="7"/>
        <v>0.19834096883362906</v>
      </c>
      <c r="X23" s="14">
        <f t="shared" si="7"/>
        <v>6.7998226847905102E-2</v>
      </c>
      <c r="Y23" s="14">
        <f t="shared" si="7"/>
        <v>-5.7292062202025984E-2</v>
      </c>
      <c r="Z23" s="14">
        <f t="shared" si="7"/>
        <v>0.78725143049846968</v>
      </c>
      <c r="AA23" s="14">
        <f t="shared" si="7"/>
        <v>7.3981551565758905E-2</v>
      </c>
      <c r="AB23" s="14">
        <f t="shared" si="7"/>
        <v>-3.9904864040437422E-2</v>
      </c>
      <c r="AC23" s="14">
        <f t="shared" si="7"/>
        <v>6.3487712801559839E-3</v>
      </c>
    </row>
    <row r="24" spans="1:31" x14ac:dyDescent="0.25">
      <c r="A24" s="1" t="s">
        <v>0</v>
      </c>
      <c r="B24" s="1" t="s">
        <v>4</v>
      </c>
      <c r="C24" s="1" t="s">
        <v>2</v>
      </c>
      <c r="D24" s="1">
        <v>30</v>
      </c>
      <c r="E24" s="1">
        <v>32.4</v>
      </c>
      <c r="F24" s="1">
        <v>1</v>
      </c>
      <c r="G24" s="7">
        <f t="shared" si="0"/>
        <v>1</v>
      </c>
      <c r="H24" s="7">
        <f t="shared" si="4"/>
        <v>0</v>
      </c>
      <c r="I24" s="7">
        <f t="shared" si="5"/>
        <v>0</v>
      </c>
      <c r="J24" s="7">
        <f t="shared" si="5"/>
        <v>0</v>
      </c>
      <c r="K24" s="7">
        <f t="shared" si="5"/>
        <v>0</v>
      </c>
      <c r="L24" s="11">
        <v>4149.7359999999999</v>
      </c>
      <c r="M24" s="12" cm="1">
        <f t="array" ref="M24">IF(($R$34+SUMPRODUCT(TRANSPOSE(D24:K24),$R$35:$R$42))&lt;0,"-",$R$34+SUMPRODUCT(TRANSPOSE(D24:K24),$R$35:$R$42))</f>
        <v>6272.4694507927488</v>
      </c>
      <c r="N24" s="13" t="str">
        <f t="shared" si="2"/>
        <v>-</v>
      </c>
      <c r="O24" s="13">
        <f t="shared" si="3"/>
        <v>18396.674027827874</v>
      </c>
      <c r="Q24" t="s">
        <v>20</v>
      </c>
      <c r="R24" s="28">
        <v>6062.1022885175616</v>
      </c>
    </row>
    <row r="25" spans="1:31" ht="15.75" thickBot="1" x14ac:dyDescent="0.3">
      <c r="A25" s="1" t="s">
        <v>3</v>
      </c>
      <c r="B25" s="1" t="s">
        <v>4</v>
      </c>
      <c r="C25" s="1" t="s">
        <v>5</v>
      </c>
      <c r="D25" s="1">
        <v>18</v>
      </c>
      <c r="E25" s="1">
        <v>34.1</v>
      </c>
      <c r="F25" s="1">
        <v>0</v>
      </c>
      <c r="G25" s="7">
        <f t="shared" si="0"/>
        <v>0</v>
      </c>
      <c r="H25" s="7">
        <f t="shared" si="4"/>
        <v>0</v>
      </c>
      <c r="I25" s="7">
        <f t="shared" si="5"/>
        <v>1</v>
      </c>
      <c r="J25" s="7">
        <f t="shared" si="5"/>
        <v>0</v>
      </c>
      <c r="K25" s="7">
        <f t="shared" si="5"/>
        <v>0</v>
      </c>
      <c r="L25" s="11">
        <v>1137.011</v>
      </c>
      <c r="M25" s="12" cm="1">
        <f t="array" ref="M25">IF(($R$34+SUMPRODUCT(TRANSPOSE(D25:K25),$R$35:$R$42))&lt;0,"-",$R$34+SUMPRODUCT(TRANSPOSE(D25:K25),$R$35:$R$42))</f>
        <v>3085.0361288517761</v>
      </c>
      <c r="N25" s="13" t="str">
        <f t="shared" si="2"/>
        <v>-</v>
      </c>
      <c r="O25" s="13">
        <f t="shared" si="3"/>
        <v>15209.240705886899</v>
      </c>
      <c r="Q25" s="25" t="s">
        <v>39</v>
      </c>
      <c r="R25" s="29">
        <v>1338</v>
      </c>
    </row>
    <row r="26" spans="1:31" x14ac:dyDescent="0.25">
      <c r="A26" s="1" t="s">
        <v>0</v>
      </c>
      <c r="B26" s="1" t="s">
        <v>1</v>
      </c>
      <c r="C26" s="1" t="s">
        <v>7</v>
      </c>
      <c r="D26" s="1">
        <v>34</v>
      </c>
      <c r="E26" s="1">
        <v>31.92</v>
      </c>
      <c r="F26" s="1">
        <v>1</v>
      </c>
      <c r="G26" s="7">
        <f t="shared" si="0"/>
        <v>1</v>
      </c>
      <c r="H26" s="7">
        <f t="shared" si="4"/>
        <v>1</v>
      </c>
      <c r="I26" s="7">
        <f t="shared" si="5"/>
        <v>0</v>
      </c>
      <c r="J26" s="7">
        <f t="shared" si="5"/>
        <v>0</v>
      </c>
      <c r="K26" s="7">
        <f t="shared" si="5"/>
        <v>1</v>
      </c>
      <c r="L26" s="11">
        <v>37701.876799999998</v>
      </c>
      <c r="M26" s="12" cm="1">
        <f t="array" ref="M26">IF(($R$34+SUMPRODUCT(TRANSPOSE(D26:K26),$R$35:$R$42))&lt;0,"-",$R$34+SUMPRODUCT(TRANSPOSE(D26:K26),$R$35:$R$42))</f>
        <v>31945.667536422567</v>
      </c>
      <c r="N26" s="13">
        <f t="shared" si="2"/>
        <v>19821.462959387442</v>
      </c>
      <c r="O26" s="13">
        <f t="shared" si="3"/>
        <v>44069.872113457692</v>
      </c>
    </row>
    <row r="27" spans="1:31" ht="15.75" thickBot="1" x14ac:dyDescent="0.3">
      <c r="A27" s="1" t="s">
        <v>3</v>
      </c>
      <c r="B27" s="1" t="s">
        <v>4</v>
      </c>
      <c r="C27" s="1" t="s">
        <v>6</v>
      </c>
      <c r="D27" s="1">
        <v>37</v>
      </c>
      <c r="E27" s="1">
        <v>28.024999999999999</v>
      </c>
      <c r="F27" s="1">
        <v>2</v>
      </c>
      <c r="G27" s="7">
        <f t="shared" si="0"/>
        <v>0</v>
      </c>
      <c r="H27" s="7">
        <f t="shared" si="4"/>
        <v>0</v>
      </c>
      <c r="I27" s="7">
        <f t="shared" si="5"/>
        <v>0</v>
      </c>
      <c r="J27" s="7">
        <f t="shared" si="5"/>
        <v>1</v>
      </c>
      <c r="K27" s="7">
        <f t="shared" si="5"/>
        <v>0</v>
      </c>
      <c r="L27" s="11">
        <v>6203.90175</v>
      </c>
      <c r="M27" s="12" cm="1">
        <f t="array" ref="M27">IF(($R$34+SUMPRODUCT(TRANSPOSE(D27:K27),$R$35:$R$42))&lt;0,"-",$R$34+SUMPRODUCT(TRANSPOSE(D27:K27),$R$35:$R$42))</f>
        <v>7537.765836636976</v>
      </c>
      <c r="N27" s="13" t="str">
        <f t="shared" si="2"/>
        <v>-</v>
      </c>
      <c r="O27" s="13">
        <f t="shared" si="3"/>
        <v>19661.970413672097</v>
      </c>
      <c r="Q27" t="s">
        <v>40</v>
      </c>
    </row>
    <row r="28" spans="1:31" x14ac:dyDescent="0.25">
      <c r="A28" s="1" t="s">
        <v>0</v>
      </c>
      <c r="B28" s="1" t="s">
        <v>4</v>
      </c>
      <c r="C28" s="1" t="s">
        <v>5</v>
      </c>
      <c r="D28" s="1">
        <v>59</v>
      </c>
      <c r="E28" s="1">
        <v>27.72</v>
      </c>
      <c r="F28" s="1">
        <v>3</v>
      </c>
      <c r="G28" s="7">
        <f t="shared" si="0"/>
        <v>1</v>
      </c>
      <c r="H28" s="7">
        <f t="shared" si="4"/>
        <v>0</v>
      </c>
      <c r="I28" s="7">
        <f t="shared" si="5"/>
        <v>1</v>
      </c>
      <c r="J28" s="7">
        <f t="shared" si="5"/>
        <v>0</v>
      </c>
      <c r="K28" s="7">
        <f t="shared" si="5"/>
        <v>0</v>
      </c>
      <c r="L28" s="11">
        <v>14001.1338</v>
      </c>
      <c r="M28" s="12" cm="1">
        <f t="array" ref="M28">IF(($R$34+SUMPRODUCT(TRANSPOSE(D28:K28),$R$35:$R$42))&lt;0,"-",$R$34+SUMPRODUCT(TRANSPOSE(D28:K28),$R$35:$R$42))</f>
        <v>13009.908343688388</v>
      </c>
      <c r="N28" s="13">
        <f t="shared" si="2"/>
        <v>885.70376665326512</v>
      </c>
      <c r="O28" s="13">
        <f t="shared" si="3"/>
        <v>25134.112920723514</v>
      </c>
      <c r="Q28" s="26"/>
      <c r="R28" s="26" t="s">
        <v>45</v>
      </c>
      <c r="S28" s="26" t="s">
        <v>46</v>
      </c>
      <c r="T28" s="26" t="s">
        <v>47</v>
      </c>
      <c r="U28" s="26" t="s">
        <v>48</v>
      </c>
      <c r="V28" s="26" t="s">
        <v>49</v>
      </c>
    </row>
    <row r="29" spans="1:31" x14ac:dyDescent="0.25">
      <c r="A29" s="1" t="s">
        <v>0</v>
      </c>
      <c r="B29" s="1" t="s">
        <v>4</v>
      </c>
      <c r="C29" s="1" t="s">
        <v>7</v>
      </c>
      <c r="D29" s="1">
        <v>63</v>
      </c>
      <c r="E29" s="1">
        <v>23.085000000000001</v>
      </c>
      <c r="F29" s="1">
        <v>0</v>
      </c>
      <c r="G29" s="7">
        <f t="shared" si="0"/>
        <v>1</v>
      </c>
      <c r="H29" s="7">
        <f t="shared" si="4"/>
        <v>0</v>
      </c>
      <c r="I29" s="7">
        <f t="shared" si="5"/>
        <v>0</v>
      </c>
      <c r="J29" s="7">
        <f t="shared" si="5"/>
        <v>0</v>
      </c>
      <c r="K29" s="7">
        <f t="shared" si="5"/>
        <v>1</v>
      </c>
      <c r="L29" s="11">
        <v>14451.835150000001</v>
      </c>
      <c r="M29" s="12" cm="1">
        <f t="array" ref="M29">IF(($R$34+SUMPRODUCT(TRANSPOSE(D29:K29),$R$35:$R$42))&lt;0,"-",$R$34+SUMPRODUCT(TRANSPOSE(D29:K29),$R$35:$R$42))</f>
        <v>12073.692510291956</v>
      </c>
      <c r="N29" s="13" t="str">
        <f t="shared" si="2"/>
        <v>-</v>
      </c>
      <c r="O29" s="13">
        <f t="shared" si="3"/>
        <v>24197.897087327081</v>
      </c>
      <c r="Q29" t="s">
        <v>41</v>
      </c>
      <c r="R29" s="30">
        <v>8</v>
      </c>
      <c r="S29" s="30">
        <v>147234688724.44504</v>
      </c>
      <c r="T29" s="30">
        <v>18404336090.55563</v>
      </c>
      <c r="U29" s="30">
        <v>500.81074162838621</v>
      </c>
      <c r="V29" s="30">
        <v>0</v>
      </c>
    </row>
    <row r="30" spans="1:31" x14ac:dyDescent="0.25">
      <c r="A30" s="1" t="s">
        <v>0</v>
      </c>
      <c r="B30" s="1" t="s">
        <v>4</v>
      </c>
      <c r="C30" s="1" t="s">
        <v>6</v>
      </c>
      <c r="D30" s="1">
        <v>55</v>
      </c>
      <c r="E30" s="1">
        <v>32.774999999999999</v>
      </c>
      <c r="F30" s="1">
        <v>2</v>
      </c>
      <c r="G30" s="7">
        <f t="shared" si="0"/>
        <v>1</v>
      </c>
      <c r="H30" s="7">
        <f t="shared" si="4"/>
        <v>0</v>
      </c>
      <c r="I30" s="7">
        <f t="shared" si="5"/>
        <v>0</v>
      </c>
      <c r="J30" s="7">
        <f t="shared" si="5"/>
        <v>1</v>
      </c>
      <c r="K30" s="7">
        <f t="shared" si="5"/>
        <v>0</v>
      </c>
      <c r="L30" s="11">
        <v>12268.632250000001</v>
      </c>
      <c r="M30" s="12" cm="1">
        <f t="array" ref="M30">IF(($R$34+SUMPRODUCT(TRANSPOSE(D30:K30),$R$35:$R$42))&lt;0,"-",$R$34+SUMPRODUCT(TRANSPOSE(D30:K30),$R$35:$R$42))</f>
        <v>13903.663446355833</v>
      </c>
      <c r="N30" s="13">
        <f t="shared" si="2"/>
        <v>1779.4588693207097</v>
      </c>
      <c r="O30" s="13">
        <f t="shared" si="3"/>
        <v>26027.868023390954</v>
      </c>
      <c r="Q30" t="s">
        <v>42</v>
      </c>
      <c r="R30" s="30">
        <v>1329</v>
      </c>
      <c r="S30" s="30">
        <v>48839532843.921852</v>
      </c>
      <c r="T30" s="30">
        <v>36749084.156449854</v>
      </c>
      <c r="U30" s="30"/>
      <c r="V30" s="30"/>
    </row>
    <row r="31" spans="1:31" ht="15.75" thickBot="1" x14ac:dyDescent="0.3">
      <c r="A31" s="1" t="s">
        <v>3</v>
      </c>
      <c r="B31" s="1" t="s">
        <v>4</v>
      </c>
      <c r="C31" s="1" t="s">
        <v>6</v>
      </c>
      <c r="D31" s="1">
        <v>23</v>
      </c>
      <c r="E31" s="1">
        <v>17.385000000000002</v>
      </c>
      <c r="F31" s="1">
        <v>1</v>
      </c>
      <c r="G31" s="7">
        <f t="shared" si="0"/>
        <v>0</v>
      </c>
      <c r="H31" s="7">
        <f t="shared" si="4"/>
        <v>0</v>
      </c>
      <c r="I31" s="7">
        <f t="shared" si="5"/>
        <v>0</v>
      </c>
      <c r="J31" s="7">
        <f t="shared" si="5"/>
        <v>1</v>
      </c>
      <c r="K31" s="7">
        <f t="shared" si="5"/>
        <v>0</v>
      </c>
      <c r="L31" s="11">
        <v>2775.1921499999999</v>
      </c>
      <c r="M31" s="12" t="str" cm="1">
        <f t="array" ref="M31">IF(($R$34+SUMPRODUCT(TRANSPOSE(D31:K31),$R$35:$R$42))&lt;0,"-",$R$34+SUMPRODUCT(TRANSPOSE(D31:K31),$R$35:$R$42))</f>
        <v>-</v>
      </c>
      <c r="N31" s="13" t="str">
        <f t="shared" si="2"/>
        <v>-</v>
      </c>
      <c r="O31" s="13" t="str">
        <f t="shared" si="3"/>
        <v>-</v>
      </c>
      <c r="Q31" s="25" t="s">
        <v>43</v>
      </c>
      <c r="R31" s="31">
        <v>1337</v>
      </c>
      <c r="S31" s="31">
        <v>196074221568.36688</v>
      </c>
      <c r="T31" s="31"/>
      <c r="U31" s="31"/>
      <c r="V31" s="31"/>
    </row>
    <row r="32" spans="1:31" x14ac:dyDescent="0.25">
      <c r="A32" s="1" t="s">
        <v>3</v>
      </c>
      <c r="B32" s="1" t="s">
        <v>1</v>
      </c>
      <c r="C32" s="1" t="s">
        <v>2</v>
      </c>
      <c r="D32" s="1">
        <v>31</v>
      </c>
      <c r="E32" s="1">
        <v>36.299999999999997</v>
      </c>
      <c r="F32" s="1">
        <v>2</v>
      </c>
      <c r="G32" s="7">
        <f t="shared" si="0"/>
        <v>0</v>
      </c>
      <c r="H32" s="7">
        <f t="shared" si="4"/>
        <v>1</v>
      </c>
      <c r="I32" s="7">
        <f t="shared" si="5"/>
        <v>0</v>
      </c>
      <c r="J32" s="7">
        <f t="shared" si="5"/>
        <v>0</v>
      </c>
      <c r="K32" s="7">
        <f t="shared" si="5"/>
        <v>0</v>
      </c>
      <c r="L32" s="11">
        <v>38711</v>
      </c>
      <c r="M32" s="12" cm="1">
        <f t="array" ref="M32">IF(($R$34+SUMPRODUCT(TRANSPOSE(D32:K32),$R$35:$R$42))&lt;0,"-",$R$34+SUMPRODUCT(TRANSPOSE(D32:K32),$R$35:$R$42))</f>
        <v>32044.90100007919</v>
      </c>
      <c r="N32" s="13">
        <f t="shared" si="2"/>
        <v>19920.696423044064</v>
      </c>
      <c r="O32" s="13">
        <f t="shared" si="3"/>
        <v>44169.105577114315</v>
      </c>
    </row>
    <row r="33" spans="1:31" x14ac:dyDescent="0.25">
      <c r="A33" s="1" t="s">
        <v>3</v>
      </c>
      <c r="B33" s="1" t="s">
        <v>1</v>
      </c>
      <c r="C33" s="1" t="s">
        <v>2</v>
      </c>
      <c r="D33" s="1">
        <v>22</v>
      </c>
      <c r="E33" s="1">
        <v>35.6</v>
      </c>
      <c r="F33" s="1">
        <v>0</v>
      </c>
      <c r="G33" s="7">
        <f t="shared" si="0"/>
        <v>0</v>
      </c>
      <c r="H33" s="7">
        <f t="shared" si="4"/>
        <v>1</v>
      </c>
      <c r="I33" s="7">
        <f t="shared" si="5"/>
        <v>0</v>
      </c>
      <c r="J33" s="7">
        <f t="shared" si="5"/>
        <v>0</v>
      </c>
      <c r="K33" s="7">
        <f t="shared" si="5"/>
        <v>0</v>
      </c>
      <c r="L33" s="11">
        <v>35585.576000000001</v>
      </c>
      <c r="M33" s="12" cm="1">
        <f t="array" ref="M33">IF(($R$34+SUMPRODUCT(TRANSPOSE(D33:K33),$R$35:$R$42))&lt;0,"-",$R$34+SUMPRODUCT(TRANSPOSE(D33:K33),$R$35:$R$42))</f>
        <v>28544.757319417215</v>
      </c>
      <c r="N33" s="13">
        <f t="shared" si="2"/>
        <v>16420.552742382089</v>
      </c>
      <c r="O33" s="13">
        <f t="shared" si="3"/>
        <v>40668.96189645234</v>
      </c>
      <c r="R33" t="s">
        <v>50</v>
      </c>
      <c r="S33" t="s">
        <v>20</v>
      </c>
      <c r="T33" t="s">
        <v>51</v>
      </c>
      <c r="U33" t="s">
        <v>52</v>
      </c>
      <c r="V33" t="s">
        <v>53</v>
      </c>
      <c r="W33" t="s">
        <v>54</v>
      </c>
      <c r="X33" t="s">
        <v>55</v>
      </c>
      <c r="Y33" t="s">
        <v>56</v>
      </c>
    </row>
    <row r="34" spans="1:31" x14ac:dyDescent="0.25">
      <c r="A34" s="1" t="s">
        <v>0</v>
      </c>
      <c r="B34" s="1" t="s">
        <v>4</v>
      </c>
      <c r="C34" s="1" t="s">
        <v>7</v>
      </c>
      <c r="D34" s="1">
        <v>18</v>
      </c>
      <c r="E34" s="1">
        <v>26.315000000000001</v>
      </c>
      <c r="F34" s="1">
        <v>0</v>
      </c>
      <c r="G34" s="7">
        <f t="shared" si="0"/>
        <v>1</v>
      </c>
      <c r="H34" s="7">
        <f t="shared" si="4"/>
        <v>0</v>
      </c>
      <c r="I34" s="7">
        <f t="shared" si="5"/>
        <v>0</v>
      </c>
      <c r="J34" s="7">
        <f t="shared" si="5"/>
        <v>0</v>
      </c>
      <c r="K34" s="7">
        <f t="shared" si="5"/>
        <v>1</v>
      </c>
      <c r="L34" s="11">
        <v>2198.1898500000002</v>
      </c>
      <c r="M34" s="12" cm="1">
        <f t="array" ref="M34">IF(($R$34+SUMPRODUCT(TRANSPOSE(D34:K34),$R$35:$R$42))&lt;0,"-",$R$34+SUMPRODUCT(TRANSPOSE(D34:K34),$R$35:$R$42))</f>
        <v>1610.7515012743115</v>
      </c>
      <c r="N34" s="13" t="str">
        <f t="shared" si="2"/>
        <v>-</v>
      </c>
      <c r="O34" s="13">
        <f t="shared" si="3"/>
        <v>13734.956078309435</v>
      </c>
      <c r="Q34" t="s">
        <v>44</v>
      </c>
      <c r="R34" s="28">
        <v>-13029.903926863146</v>
      </c>
      <c r="S34" s="28">
        <v>1032.9673532211291</v>
      </c>
      <c r="T34" s="28">
        <v>-12.614052018422127</v>
      </c>
      <c r="U34" s="28">
        <v>1.5431528965215711E-34</v>
      </c>
      <c r="V34" s="28">
        <v>-15056.328239783892</v>
      </c>
      <c r="W34" s="28">
        <v>-11003.4796139424</v>
      </c>
      <c r="X34" s="28">
        <v>-15056.328239783892</v>
      </c>
      <c r="Y34" s="28">
        <v>-11003.4796139424</v>
      </c>
    </row>
    <row r="35" spans="1:31" x14ac:dyDescent="0.25">
      <c r="A35" s="1" t="s">
        <v>0</v>
      </c>
      <c r="B35" s="1" t="s">
        <v>4</v>
      </c>
      <c r="C35" s="1" t="s">
        <v>2</v>
      </c>
      <c r="D35" s="1">
        <v>19</v>
      </c>
      <c r="E35" s="1">
        <v>28.6</v>
      </c>
      <c r="F35" s="1">
        <v>5</v>
      </c>
      <c r="G35" s="7">
        <f t="shared" si="0"/>
        <v>1</v>
      </c>
      <c r="H35" s="7">
        <f t="shared" si="4"/>
        <v>0</v>
      </c>
      <c r="I35" s="7">
        <f t="shared" si="5"/>
        <v>0</v>
      </c>
      <c r="J35" s="7">
        <f t="shared" si="5"/>
        <v>0</v>
      </c>
      <c r="K35" s="7">
        <f t="shared" si="5"/>
        <v>0</v>
      </c>
      <c r="L35" s="11">
        <v>4687.7969999999996</v>
      </c>
      <c r="M35" s="12" cm="1">
        <f t="array" ref="M35">IF(($R$34+SUMPRODUCT(TRANSPOSE(D35:K35),$R$35:$R$42))&lt;0,"-",$R$34+SUMPRODUCT(TRANSPOSE(D35:K35),$R$35:$R$42))</f>
        <v>4060.1166297572599</v>
      </c>
      <c r="N35" s="13" t="str">
        <f t="shared" si="2"/>
        <v>-</v>
      </c>
      <c r="O35" s="13">
        <f t="shared" si="3"/>
        <v>16184.321206792383</v>
      </c>
      <c r="Q35" t="s">
        <v>8</v>
      </c>
      <c r="R35" s="28">
        <v>256.85635253734796</v>
      </c>
      <c r="S35" s="28">
        <v>11.898849070910652</v>
      </c>
      <c r="T35" s="28">
        <v>21.586655230823098</v>
      </c>
      <c r="U35" s="28">
        <v>7.7832174364981841E-89</v>
      </c>
      <c r="V35" s="28">
        <v>233.51377837188343</v>
      </c>
      <c r="W35" s="28">
        <v>280.19892670281246</v>
      </c>
      <c r="X35" s="28">
        <v>233.51377837188343</v>
      </c>
      <c r="Y35" s="28">
        <v>280.19892670281246</v>
      </c>
    </row>
    <row r="36" spans="1:31" x14ac:dyDescent="0.25">
      <c r="A36" s="1" t="s">
        <v>3</v>
      </c>
      <c r="B36" s="1" t="s">
        <v>4</v>
      </c>
      <c r="C36" s="1" t="s">
        <v>6</v>
      </c>
      <c r="D36" s="1">
        <v>63</v>
      </c>
      <c r="E36" s="1">
        <v>28.31</v>
      </c>
      <c r="F36" s="1">
        <v>0</v>
      </c>
      <c r="G36" s="7">
        <f t="shared" si="0"/>
        <v>0</v>
      </c>
      <c r="H36" s="7">
        <f t="shared" si="4"/>
        <v>0</v>
      </c>
      <c r="I36" s="7">
        <f t="shared" si="5"/>
        <v>0</v>
      </c>
      <c r="J36" s="7">
        <f t="shared" si="5"/>
        <v>1</v>
      </c>
      <c r="K36" s="7">
        <f t="shared" si="5"/>
        <v>0</v>
      </c>
      <c r="L36" s="11">
        <v>13770.097900000001</v>
      </c>
      <c r="M36" s="12" cm="1">
        <f t="array" ref="M36">IF(($R$34+SUMPRODUCT(TRANSPOSE(D36:K36),$R$35:$R$42))&lt;0,"-",$R$34+SUMPRODUCT(TRANSPOSE(D36:K36),$R$35:$R$42))</f>
        <v>13361.700046588845</v>
      </c>
      <c r="N36" s="13">
        <f t="shared" si="2"/>
        <v>1237.4954695537217</v>
      </c>
      <c r="O36" s="13">
        <f t="shared" si="3"/>
        <v>25485.904623623966</v>
      </c>
      <c r="Q36" t="s">
        <v>10</v>
      </c>
      <c r="R36" s="28">
        <v>339.19345361084004</v>
      </c>
      <c r="S36" s="28">
        <v>28.599470479168065</v>
      </c>
      <c r="T36" s="28">
        <v>11.86013055234395</v>
      </c>
      <c r="U36" s="28">
        <v>6.4981939262588098E-31</v>
      </c>
      <c r="V36" s="28">
        <v>283.08842557203144</v>
      </c>
      <c r="W36" s="28">
        <v>395.29848164964864</v>
      </c>
      <c r="X36" s="28">
        <v>283.08842557203144</v>
      </c>
      <c r="Y36" s="28">
        <v>395.29848164964864</v>
      </c>
    </row>
    <row r="37" spans="1:31" x14ac:dyDescent="0.25">
      <c r="A37" s="1" t="s">
        <v>3</v>
      </c>
      <c r="B37" s="1" t="s">
        <v>1</v>
      </c>
      <c r="C37" s="1" t="s">
        <v>2</v>
      </c>
      <c r="D37" s="1">
        <v>28</v>
      </c>
      <c r="E37" s="1">
        <v>36.4</v>
      </c>
      <c r="F37" s="1">
        <v>1</v>
      </c>
      <c r="G37" s="7">
        <f t="shared" si="0"/>
        <v>0</v>
      </c>
      <c r="H37" s="7">
        <f t="shared" si="4"/>
        <v>1</v>
      </c>
      <c r="I37" s="7">
        <f t="shared" si="5"/>
        <v>0</v>
      </c>
      <c r="J37" s="7">
        <f t="shared" si="5"/>
        <v>0</v>
      </c>
      <c r="K37" s="7">
        <f t="shared" si="5"/>
        <v>0</v>
      </c>
      <c r="L37" s="11">
        <v>51194.559139999998</v>
      </c>
      <c r="M37" s="12" cm="1">
        <f t="array" ref="M37">IF(($R$34+SUMPRODUCT(TRANSPOSE(D37:K37),$R$35:$R$42))&lt;0,"-",$R$34+SUMPRODUCT(TRANSPOSE(D37:K37),$R$35:$R$42))</f>
        <v>30832.750742679105</v>
      </c>
      <c r="N37" s="13">
        <f t="shared" si="2"/>
        <v>18708.54616564398</v>
      </c>
      <c r="O37" s="13">
        <f t="shared" si="3"/>
        <v>42956.95531971423</v>
      </c>
      <c r="Q37" t="s">
        <v>11</v>
      </c>
      <c r="R37" s="28">
        <v>475.50054514913273</v>
      </c>
      <c r="S37" s="28">
        <v>137.80409251438994</v>
      </c>
      <c r="T37" s="28">
        <v>3.4505545987284774</v>
      </c>
      <c r="U37" s="28">
        <v>5.7696824232805158E-4</v>
      </c>
      <c r="V37" s="28">
        <v>205.16328558294367</v>
      </c>
      <c r="W37" s="28">
        <v>745.83780471532179</v>
      </c>
      <c r="X37" s="28">
        <v>205.16328558294367</v>
      </c>
      <c r="Y37" s="28">
        <v>745.83780471532179</v>
      </c>
    </row>
    <row r="38" spans="1:31" x14ac:dyDescent="0.25">
      <c r="A38" s="1" t="s">
        <v>3</v>
      </c>
      <c r="B38" s="1" t="s">
        <v>4</v>
      </c>
      <c r="C38" s="1" t="s">
        <v>6</v>
      </c>
      <c r="D38" s="1">
        <v>19</v>
      </c>
      <c r="E38" s="1">
        <v>20.425000000000001</v>
      </c>
      <c r="F38" s="1">
        <v>0</v>
      </c>
      <c r="G38" s="7">
        <f t="shared" si="0"/>
        <v>0</v>
      </c>
      <c r="H38" s="7">
        <f t="shared" si="4"/>
        <v>0</v>
      </c>
      <c r="I38" s="7">
        <f t="shared" si="5"/>
        <v>0</v>
      </c>
      <c r="J38" s="7">
        <f t="shared" si="5"/>
        <v>1</v>
      </c>
      <c r="K38" s="7">
        <f t="shared" si="5"/>
        <v>0</v>
      </c>
      <c r="L38" s="11">
        <v>1625.4337499999999</v>
      </c>
      <c r="M38" s="12" t="str" cm="1">
        <f t="array" ref="M38">IF(($R$34+SUMPRODUCT(TRANSPOSE(D38:K38),$R$35:$R$42))&lt;0,"-",$R$34+SUMPRODUCT(TRANSPOSE(D38:K38),$R$35:$R$42))</f>
        <v>-</v>
      </c>
      <c r="N38" s="13" t="str">
        <f t="shared" si="2"/>
        <v>-</v>
      </c>
      <c r="O38" s="13" t="str">
        <f t="shared" si="3"/>
        <v>-</v>
      </c>
      <c r="Q38" t="s">
        <v>33</v>
      </c>
      <c r="R38" s="28">
        <v>131.31435939510598</v>
      </c>
      <c r="S38" s="28">
        <v>332.94543913187579</v>
      </c>
      <c r="T38" s="28">
        <v>0.39440203697487475</v>
      </c>
      <c r="U38" s="28">
        <v>0.69334751915998449</v>
      </c>
      <c r="V38" s="28">
        <v>-521.84155170799738</v>
      </c>
      <c r="W38" s="28">
        <v>784.47027049820929</v>
      </c>
      <c r="X38" s="28">
        <v>-521.84155170799738</v>
      </c>
      <c r="Y38" s="28">
        <v>784.47027049820929</v>
      </c>
    </row>
    <row r="39" spans="1:31" x14ac:dyDescent="0.25">
      <c r="A39" s="1" t="s">
        <v>0</v>
      </c>
      <c r="B39" s="1" t="s">
        <v>4</v>
      </c>
      <c r="C39" s="1" t="s">
        <v>6</v>
      </c>
      <c r="D39" s="1">
        <v>62</v>
      </c>
      <c r="E39" s="1">
        <v>32.965000000000003</v>
      </c>
      <c r="F39" s="1">
        <v>3</v>
      </c>
      <c r="G39" s="7">
        <f t="shared" si="0"/>
        <v>1</v>
      </c>
      <c r="H39" s="7">
        <f t="shared" si="4"/>
        <v>0</v>
      </c>
      <c r="I39" s="7">
        <f t="shared" si="5"/>
        <v>0</v>
      </c>
      <c r="J39" s="7">
        <f t="shared" si="5"/>
        <v>1</v>
      </c>
      <c r="K39" s="7">
        <f t="shared" si="5"/>
        <v>0</v>
      </c>
      <c r="L39" s="11">
        <v>15612.19335</v>
      </c>
      <c r="M39" s="12" cm="1">
        <f t="array" ref="M39">IF(($R$34+SUMPRODUCT(TRANSPOSE(D39:K39),$R$35:$R$42))&lt;0,"-",$R$34+SUMPRODUCT(TRANSPOSE(D39:K39),$R$35:$R$42))</f>
        <v>16241.605215452466</v>
      </c>
      <c r="N39" s="13">
        <f t="shared" si="2"/>
        <v>4117.4006384173426</v>
      </c>
      <c r="O39" s="13">
        <f t="shared" si="3"/>
        <v>28365.809792487591</v>
      </c>
      <c r="Q39" t="s">
        <v>85</v>
      </c>
      <c r="R39" s="28">
        <v>23848.534541912795</v>
      </c>
      <c r="S39" s="28">
        <v>413.15335481829618</v>
      </c>
      <c r="T39" s="28">
        <v>57.723201963109609</v>
      </c>
      <c r="U39" s="28">
        <v>0</v>
      </c>
      <c r="V39" s="28">
        <v>23038.030705022084</v>
      </c>
      <c r="W39" s="28">
        <v>24659.038378803507</v>
      </c>
      <c r="X39" s="28">
        <v>23038.030705022084</v>
      </c>
      <c r="Y39" s="28">
        <v>24659.038378803507</v>
      </c>
    </row>
    <row r="40" spans="1:31" x14ac:dyDescent="0.25">
      <c r="A40" s="1" t="s">
        <v>3</v>
      </c>
      <c r="B40" s="1" t="s">
        <v>4</v>
      </c>
      <c r="C40" s="1" t="s">
        <v>2</v>
      </c>
      <c r="D40" s="1">
        <v>26</v>
      </c>
      <c r="E40" s="1">
        <v>20.8</v>
      </c>
      <c r="F40" s="1">
        <v>0</v>
      </c>
      <c r="G40" s="7">
        <f t="shared" si="0"/>
        <v>0</v>
      </c>
      <c r="H40" s="7">
        <f t="shared" si="4"/>
        <v>0</v>
      </c>
      <c r="I40" s="7">
        <f t="shared" si="5"/>
        <v>0</v>
      </c>
      <c r="J40" s="7">
        <f t="shared" si="5"/>
        <v>0</v>
      </c>
      <c r="K40" s="7">
        <f t="shared" si="5"/>
        <v>0</v>
      </c>
      <c r="L40" s="11">
        <v>2302.3000000000002</v>
      </c>
      <c r="M40" s="12" cm="1">
        <f t="array" ref="M40">IF(($R$34+SUMPRODUCT(TRANSPOSE(D40:K40),$R$35:$R$42))&lt;0,"-",$R$34+SUMPRODUCT(TRANSPOSE(D40:K40),$R$35:$R$42))</f>
        <v>703.58507421337345</v>
      </c>
      <c r="N40" s="13" t="str">
        <f t="shared" si="2"/>
        <v>-</v>
      </c>
      <c r="O40" s="13">
        <f t="shared" si="3"/>
        <v>12827.789651248497</v>
      </c>
      <c r="Q40" t="s">
        <v>15</v>
      </c>
      <c r="R40" s="28">
        <v>-74.971058086987497</v>
      </c>
      <c r="S40" s="28">
        <v>470.63864052770862</v>
      </c>
      <c r="T40" s="28">
        <v>-0.15929643601495491</v>
      </c>
      <c r="U40" s="28">
        <v>0.87345953283776168</v>
      </c>
      <c r="V40" s="28">
        <v>-998.24668803920849</v>
      </c>
      <c r="W40" s="28">
        <v>848.30457186523358</v>
      </c>
      <c r="X40" s="28">
        <v>-998.24668803920849</v>
      </c>
      <c r="Y40" s="28">
        <v>848.30457186523358</v>
      </c>
    </row>
    <row r="41" spans="1:31" x14ac:dyDescent="0.25">
      <c r="A41" s="1" t="s">
        <v>3</v>
      </c>
      <c r="B41" s="1" t="s">
        <v>1</v>
      </c>
      <c r="C41" s="1" t="s">
        <v>7</v>
      </c>
      <c r="D41" s="1">
        <v>35</v>
      </c>
      <c r="E41" s="1">
        <v>36.67</v>
      </c>
      <c r="F41" s="1">
        <v>1</v>
      </c>
      <c r="G41" s="7">
        <f t="shared" si="0"/>
        <v>0</v>
      </c>
      <c r="H41" s="7">
        <f t="shared" si="4"/>
        <v>1</v>
      </c>
      <c r="I41" s="7">
        <f t="shared" si="5"/>
        <v>0</v>
      </c>
      <c r="J41" s="7">
        <f t="shared" si="5"/>
        <v>0</v>
      </c>
      <c r="K41" s="7">
        <f t="shared" si="5"/>
        <v>1</v>
      </c>
      <c r="L41" s="11">
        <v>39774.276299999998</v>
      </c>
      <c r="M41" s="12" cm="1">
        <f t="array" ref="M41">IF(($R$34+SUMPRODUCT(TRANSPOSE(D41:K41),$R$35:$R$42))&lt;0,"-",$R$34+SUMPRODUCT(TRANSPOSE(D41:K41),$R$35:$R$42))</f>
        <v>33682.378434216298</v>
      </c>
      <c r="N41" s="13">
        <f t="shared" si="2"/>
        <v>21558.173857181173</v>
      </c>
      <c r="O41" s="13">
        <f t="shared" si="3"/>
        <v>45806.583011251423</v>
      </c>
      <c r="Q41" t="s">
        <v>16</v>
      </c>
      <c r="R41" s="28">
        <v>607.08709187618956</v>
      </c>
      <c r="S41" s="28">
        <v>477.20391188566464</v>
      </c>
      <c r="T41" s="28">
        <v>1.2721754301579242</v>
      </c>
      <c r="U41" s="28">
        <v>0.20353334065188575</v>
      </c>
      <c r="V41" s="28">
        <v>-329.06796302513374</v>
      </c>
      <c r="W41" s="28">
        <v>1543.242146777513</v>
      </c>
      <c r="X41" s="28">
        <v>-329.06796302513374</v>
      </c>
      <c r="Y41" s="28">
        <v>1543.242146777513</v>
      </c>
    </row>
    <row r="42" spans="1:31" x14ac:dyDescent="0.25">
      <c r="A42" s="1" t="s">
        <v>3</v>
      </c>
      <c r="B42" s="1" t="s">
        <v>1</v>
      </c>
      <c r="C42" s="1" t="s">
        <v>2</v>
      </c>
      <c r="D42" s="1">
        <v>60</v>
      </c>
      <c r="E42" s="1">
        <v>39.9</v>
      </c>
      <c r="F42" s="1">
        <v>0</v>
      </c>
      <c r="G42" s="7">
        <f t="shared" si="0"/>
        <v>0</v>
      </c>
      <c r="H42" s="7">
        <f t="shared" si="4"/>
        <v>1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11">
        <v>48173.360999999997</v>
      </c>
      <c r="M42" s="12" cm="1">
        <f t="array" ref="M42">IF(($R$34+SUMPRODUCT(TRANSPOSE(D42:K42),$R$35:$R$42))&lt;0,"-",$R$34+SUMPRODUCT(TRANSPOSE(D42:K42),$R$35:$R$42))</f>
        <v>39763.830566363045</v>
      </c>
      <c r="N42" s="13">
        <f t="shared" si="2"/>
        <v>27639.62598932792</v>
      </c>
      <c r="O42" s="13">
        <f t="shared" si="3"/>
        <v>51888.03514339817</v>
      </c>
      <c r="Q42" t="s">
        <v>17</v>
      </c>
      <c r="R42" s="28">
        <v>960.05099130083136</v>
      </c>
      <c r="S42" s="28">
        <v>477.93302432347144</v>
      </c>
      <c r="T42" s="28">
        <v>2.0087563370616883</v>
      </c>
      <c r="U42" s="28">
        <v>4.4764929517832709E-2</v>
      </c>
      <c r="V42" s="28">
        <v>22.465599645672341</v>
      </c>
      <c r="W42" s="28">
        <v>1897.6363829559905</v>
      </c>
      <c r="X42" s="28">
        <v>22.465599645672341</v>
      </c>
      <c r="Y42" s="28">
        <v>1897.6363829559905</v>
      </c>
    </row>
    <row r="43" spans="1:31" x14ac:dyDescent="0.25">
      <c r="A43" s="1" t="s">
        <v>0</v>
      </c>
      <c r="B43" s="1" t="s">
        <v>4</v>
      </c>
      <c r="C43" s="1" t="s">
        <v>7</v>
      </c>
      <c r="D43" s="1">
        <v>24</v>
      </c>
      <c r="E43" s="1">
        <v>26.6</v>
      </c>
      <c r="F43" s="1">
        <v>0</v>
      </c>
      <c r="G43" s="7">
        <f t="shared" si="0"/>
        <v>1</v>
      </c>
      <c r="H43" s="7">
        <f t="shared" si="4"/>
        <v>0</v>
      </c>
      <c r="I43" s="7">
        <f t="shared" si="5"/>
        <v>0</v>
      </c>
      <c r="J43" s="7">
        <f t="shared" si="5"/>
        <v>0</v>
      </c>
      <c r="K43" s="7">
        <f t="shared" si="5"/>
        <v>1</v>
      </c>
      <c r="L43" s="11">
        <v>3046.0619999999999</v>
      </c>
      <c r="M43" s="12" cm="1">
        <f t="array" ref="M43">IF(($R$34+SUMPRODUCT(TRANSPOSE(D43:K43),$R$35:$R$42))&lt;0,"-",$R$34+SUMPRODUCT(TRANSPOSE(D43:K43),$R$35:$R$42))</f>
        <v>3248.5597507774892</v>
      </c>
      <c r="N43" s="13" t="str">
        <f t="shared" si="2"/>
        <v>-</v>
      </c>
      <c r="O43" s="13">
        <f t="shared" si="3"/>
        <v>15372.764327812612</v>
      </c>
    </row>
    <row r="44" spans="1:31" ht="18.75" customHeight="1" x14ac:dyDescent="0.25">
      <c r="A44" s="1" t="s">
        <v>0</v>
      </c>
      <c r="B44" s="1" t="s">
        <v>4</v>
      </c>
      <c r="C44" s="1" t="s">
        <v>5</v>
      </c>
      <c r="D44" s="1">
        <v>31</v>
      </c>
      <c r="E44" s="1">
        <v>36.630000000000003</v>
      </c>
      <c r="F44" s="1">
        <v>2</v>
      </c>
      <c r="G44" s="7">
        <f t="shared" si="0"/>
        <v>1</v>
      </c>
      <c r="H44" s="7">
        <f t="shared" si="4"/>
        <v>0</v>
      </c>
      <c r="I44" s="7">
        <f t="shared" si="5"/>
        <v>1</v>
      </c>
      <c r="J44" s="7">
        <f t="shared" si="5"/>
        <v>0</v>
      </c>
      <c r="K44" s="7">
        <f t="shared" si="5"/>
        <v>0</v>
      </c>
      <c r="L44" s="11">
        <v>4949.7587000000003</v>
      </c>
      <c r="M44" s="12" cm="1">
        <f t="array" ref="M44">IF(($R$34+SUMPRODUCT(TRANSPOSE(D44:K44),$R$35:$R$42))&lt;0,"-",$R$34+SUMPRODUCT(TRANSPOSE(D44:K44),$R$35:$R$42))</f>
        <v>8364.6435991660983</v>
      </c>
      <c r="N44" s="13" t="str">
        <f t="shared" si="2"/>
        <v>-</v>
      </c>
      <c r="O44" s="13">
        <f t="shared" si="3"/>
        <v>20488.848176201223</v>
      </c>
      <c r="Q44" s="39" t="s">
        <v>88</v>
      </c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spans="1:31" ht="18.75" customHeight="1" x14ac:dyDescent="0.25">
      <c r="A45" s="1" t="s">
        <v>3</v>
      </c>
      <c r="B45" s="1" t="s">
        <v>4</v>
      </c>
      <c r="C45" s="1" t="s">
        <v>5</v>
      </c>
      <c r="D45" s="1">
        <v>41</v>
      </c>
      <c r="E45" s="1">
        <v>21.78</v>
      </c>
      <c r="F45" s="1">
        <v>1</v>
      </c>
      <c r="G45" s="7">
        <f t="shared" si="0"/>
        <v>0</v>
      </c>
      <c r="H45" s="7">
        <f t="shared" si="4"/>
        <v>0</v>
      </c>
      <c r="I45" s="7">
        <f t="shared" si="5"/>
        <v>1</v>
      </c>
      <c r="J45" s="7">
        <f t="shared" si="5"/>
        <v>0</v>
      </c>
      <c r="K45" s="7">
        <f t="shared" si="5"/>
        <v>0</v>
      </c>
      <c r="L45" s="11">
        <v>6272.4772000000003</v>
      </c>
      <c r="M45" s="12" cm="1">
        <f t="array" ref="M45">IF(($R$34+SUMPRODUCT(TRANSPOSE(D45:K45),$R$35:$R$42))&lt;0,"-",$R$34+SUMPRODUCT(TRANSPOSE(D45:K45),$R$35:$R$42))</f>
        <v>5289.3694338743626</v>
      </c>
      <c r="N45" s="13" t="str">
        <f t="shared" si="2"/>
        <v>-</v>
      </c>
      <c r="O45" s="13">
        <f t="shared" si="3"/>
        <v>17413.574010909484</v>
      </c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</row>
    <row r="46" spans="1:31" x14ac:dyDescent="0.25">
      <c r="A46" s="1" t="s">
        <v>0</v>
      </c>
      <c r="B46" s="1" t="s">
        <v>4</v>
      </c>
      <c r="C46" s="1" t="s">
        <v>5</v>
      </c>
      <c r="D46" s="1">
        <v>37</v>
      </c>
      <c r="E46" s="1">
        <v>30.8</v>
      </c>
      <c r="F46" s="1">
        <v>2</v>
      </c>
      <c r="G46" s="7">
        <f t="shared" si="0"/>
        <v>1</v>
      </c>
      <c r="H46" s="7">
        <f t="shared" si="4"/>
        <v>0</v>
      </c>
      <c r="I46" s="7">
        <f t="shared" si="5"/>
        <v>1</v>
      </c>
      <c r="J46" s="7">
        <f t="shared" si="5"/>
        <v>0</v>
      </c>
      <c r="K46" s="7">
        <f t="shared" si="5"/>
        <v>0</v>
      </c>
      <c r="L46" s="11">
        <v>6313.759</v>
      </c>
      <c r="M46" s="12" cm="1">
        <f t="array" ref="M46">IF(($R$34+SUMPRODUCT(TRANSPOSE(D46:K46),$R$35:$R$42))&lt;0,"-",$R$34+SUMPRODUCT(TRANSPOSE(D46:K46),$R$35:$R$42))</f>
        <v>7928.2838798389857</v>
      </c>
      <c r="N46" s="13" t="str">
        <f t="shared" si="2"/>
        <v>-</v>
      </c>
      <c r="O46" s="13">
        <f t="shared" si="3"/>
        <v>20052.488456874111</v>
      </c>
      <c r="Q46" s="57"/>
      <c r="R46" s="58"/>
      <c r="S46" s="58"/>
      <c r="T46" s="58"/>
      <c r="U46" s="58"/>
      <c r="V46" s="58"/>
      <c r="W46" s="59"/>
      <c r="X46" s="48"/>
      <c r="Y46" s="49"/>
      <c r="Z46" s="49"/>
      <c r="AA46" s="49"/>
      <c r="AB46" s="49"/>
      <c r="AC46" s="49"/>
      <c r="AD46" s="49"/>
      <c r="AE46" s="50"/>
    </row>
    <row r="47" spans="1:31" ht="15" customHeight="1" x14ac:dyDescent="0.25">
      <c r="A47" s="1" t="s">
        <v>3</v>
      </c>
      <c r="B47" s="1" t="s">
        <v>4</v>
      </c>
      <c r="C47" s="1" t="s">
        <v>7</v>
      </c>
      <c r="D47" s="1">
        <v>38</v>
      </c>
      <c r="E47" s="1">
        <v>37.049999999999997</v>
      </c>
      <c r="F47" s="1">
        <v>1</v>
      </c>
      <c r="G47" s="7">
        <f t="shared" si="0"/>
        <v>0</v>
      </c>
      <c r="H47" s="7">
        <f t="shared" si="4"/>
        <v>0</v>
      </c>
      <c r="I47" s="7">
        <f t="shared" si="5"/>
        <v>0</v>
      </c>
      <c r="J47" s="7">
        <f t="shared" si="5"/>
        <v>0</v>
      </c>
      <c r="K47" s="7">
        <f t="shared" si="5"/>
        <v>1</v>
      </c>
      <c r="L47" s="11">
        <v>6079.6715000000004</v>
      </c>
      <c r="M47" s="12" cm="1">
        <f t="array" ref="M47">IF(($R$34+SUMPRODUCT(TRANSPOSE(D47:K47),$R$35:$R$42))&lt;0,"-",$R$34+SUMPRODUCT(TRANSPOSE(D47:K47),$R$35:$R$42))</f>
        <v>10733.306462287666</v>
      </c>
      <c r="N47" s="13" t="str">
        <f t="shared" si="2"/>
        <v>-</v>
      </c>
      <c r="O47" s="13">
        <f t="shared" si="3"/>
        <v>22857.511039322788</v>
      </c>
      <c r="Q47" s="60"/>
      <c r="R47" s="61"/>
      <c r="S47" s="61"/>
      <c r="T47" s="61"/>
      <c r="U47" s="61"/>
      <c r="V47" s="61"/>
      <c r="W47" s="62"/>
      <c r="X47" s="51"/>
      <c r="Y47" s="52"/>
      <c r="Z47" s="52"/>
      <c r="AA47" s="52"/>
      <c r="AB47" s="52"/>
      <c r="AC47" s="52"/>
      <c r="AD47" s="52"/>
      <c r="AE47" s="53"/>
    </row>
    <row r="48" spans="1:31" ht="15" customHeight="1" x14ac:dyDescent="0.25">
      <c r="A48" s="1" t="s">
        <v>3</v>
      </c>
      <c r="B48" s="1" t="s">
        <v>4</v>
      </c>
      <c r="C48" s="1" t="s">
        <v>2</v>
      </c>
      <c r="D48" s="1">
        <v>55</v>
      </c>
      <c r="E48" s="1">
        <v>37.299999999999997</v>
      </c>
      <c r="F48" s="1">
        <v>0</v>
      </c>
      <c r="G48" s="7">
        <f t="shared" si="0"/>
        <v>0</v>
      </c>
      <c r="H48" s="7">
        <f t="shared" si="4"/>
        <v>0</v>
      </c>
      <c r="I48" s="7">
        <f t="shared" si="5"/>
        <v>0</v>
      </c>
      <c r="J48" s="7">
        <f t="shared" si="5"/>
        <v>0</v>
      </c>
      <c r="K48" s="7">
        <f t="shared" si="5"/>
        <v>0</v>
      </c>
      <c r="L48" s="11">
        <v>20630.283510000001</v>
      </c>
      <c r="M48" s="12" cm="1">
        <f t="array" ref="M48">IF(($R$34+SUMPRODUCT(TRANSPOSE(D48:K48),$R$35:$R$42))&lt;0,"-",$R$34+SUMPRODUCT(TRANSPOSE(D48:K48),$R$35:$R$42))</f>
        <v>13749.111282375325</v>
      </c>
      <c r="N48" s="13">
        <f t="shared" si="2"/>
        <v>1624.9067053402014</v>
      </c>
      <c r="O48" s="13">
        <f t="shared" si="3"/>
        <v>25873.315859410446</v>
      </c>
      <c r="Q48" s="60"/>
      <c r="R48" s="61"/>
      <c r="S48" s="61"/>
      <c r="T48" s="61"/>
      <c r="U48" s="61"/>
      <c r="V48" s="61"/>
      <c r="W48" s="62"/>
      <c r="X48" s="51"/>
      <c r="Y48" s="52"/>
      <c r="Z48" s="52"/>
      <c r="AA48" s="52"/>
      <c r="AB48" s="52"/>
      <c r="AC48" s="52"/>
      <c r="AD48" s="52"/>
      <c r="AE48" s="53"/>
    </row>
    <row r="49" spans="1:31" ht="15" customHeight="1" x14ac:dyDescent="0.25">
      <c r="A49" s="1" t="s">
        <v>0</v>
      </c>
      <c r="B49" s="1" t="s">
        <v>4</v>
      </c>
      <c r="C49" s="1" t="s">
        <v>7</v>
      </c>
      <c r="D49" s="1">
        <v>18</v>
      </c>
      <c r="E49" s="1">
        <v>38.664999999999999</v>
      </c>
      <c r="F49" s="1">
        <v>2</v>
      </c>
      <c r="G49" s="7">
        <f t="shared" si="0"/>
        <v>1</v>
      </c>
      <c r="H49" s="7">
        <f t="shared" si="4"/>
        <v>0</v>
      </c>
      <c r="I49" s="7">
        <f t="shared" si="5"/>
        <v>0</v>
      </c>
      <c r="J49" s="7">
        <f t="shared" si="5"/>
        <v>0</v>
      </c>
      <c r="K49" s="7">
        <f t="shared" si="5"/>
        <v>1</v>
      </c>
      <c r="L49" s="11">
        <v>3393.35635</v>
      </c>
      <c r="M49" s="12" cm="1">
        <f t="array" ref="M49">IF(($R$34+SUMPRODUCT(TRANSPOSE(D49:K49),$R$35:$R$42))&lt;0,"-",$R$34+SUMPRODUCT(TRANSPOSE(D49:K49),$R$35:$R$42))</f>
        <v>6750.7917436664502</v>
      </c>
      <c r="N49" s="13" t="str">
        <f t="shared" si="2"/>
        <v>-</v>
      </c>
      <c r="O49" s="13">
        <f t="shared" si="3"/>
        <v>18874.996320701575</v>
      </c>
      <c r="Q49" s="60"/>
      <c r="R49" s="61"/>
      <c r="S49" s="61"/>
      <c r="T49" s="61"/>
      <c r="U49" s="61"/>
      <c r="V49" s="61"/>
      <c r="W49" s="62"/>
      <c r="X49" s="51"/>
      <c r="Y49" s="52"/>
      <c r="Z49" s="52"/>
      <c r="AA49" s="52"/>
      <c r="AB49" s="52"/>
      <c r="AC49" s="52"/>
      <c r="AD49" s="52"/>
      <c r="AE49" s="53"/>
    </row>
    <row r="50" spans="1:31" ht="15" customHeight="1" x14ac:dyDescent="0.25">
      <c r="A50" s="1" t="s">
        <v>0</v>
      </c>
      <c r="B50" s="1" t="s">
        <v>4</v>
      </c>
      <c r="C50" s="1" t="s">
        <v>6</v>
      </c>
      <c r="D50" s="1">
        <v>28</v>
      </c>
      <c r="E50" s="1">
        <v>34.770000000000003</v>
      </c>
      <c r="F50" s="1">
        <v>0</v>
      </c>
      <c r="G50" s="7">
        <f t="shared" si="0"/>
        <v>1</v>
      </c>
      <c r="H50" s="7">
        <f t="shared" si="4"/>
        <v>0</v>
      </c>
      <c r="I50" s="7">
        <f t="shared" si="5"/>
        <v>0</v>
      </c>
      <c r="J50" s="7">
        <f t="shared" si="5"/>
        <v>1</v>
      </c>
      <c r="K50" s="7">
        <f t="shared" si="5"/>
        <v>0</v>
      </c>
      <c r="L50" s="11">
        <v>3556.9223000000002</v>
      </c>
      <c r="M50" s="12" cm="1">
        <f t="array" ref="M50">IF(($R$34+SUMPRODUCT(TRANSPOSE(D50:K50),$R$35:$R$42))&lt;0,"-",$R$34+SUMPRODUCT(TRANSPOSE(D50:K50),$R$35:$R$42))</f>
        <v>6694.2317775028023</v>
      </c>
      <c r="N50" s="13" t="str">
        <f t="shared" si="2"/>
        <v>-</v>
      </c>
      <c r="O50" s="13">
        <f t="shared" si="3"/>
        <v>18818.436354537924</v>
      </c>
      <c r="Q50" s="60"/>
      <c r="R50" s="61"/>
      <c r="S50" s="61"/>
      <c r="T50" s="61"/>
      <c r="U50" s="61"/>
      <c r="V50" s="61"/>
      <c r="W50" s="62"/>
      <c r="X50" s="51"/>
      <c r="Y50" s="52"/>
      <c r="Z50" s="52"/>
      <c r="AA50" s="52"/>
      <c r="AB50" s="52"/>
      <c r="AC50" s="52"/>
      <c r="AD50" s="52"/>
      <c r="AE50" s="53"/>
    </row>
    <row r="51" spans="1:31" x14ac:dyDescent="0.25">
      <c r="A51" s="1" t="s">
        <v>0</v>
      </c>
      <c r="B51" s="1" t="s">
        <v>4</v>
      </c>
      <c r="C51" s="1" t="s">
        <v>5</v>
      </c>
      <c r="D51" s="1">
        <v>60</v>
      </c>
      <c r="E51" s="1">
        <v>24.53</v>
      </c>
      <c r="F51" s="1">
        <v>0</v>
      </c>
      <c r="G51" s="7">
        <f t="shared" si="0"/>
        <v>1</v>
      </c>
      <c r="H51" s="7">
        <f t="shared" si="4"/>
        <v>0</v>
      </c>
      <c r="I51" s="7">
        <f t="shared" si="5"/>
        <v>1</v>
      </c>
      <c r="J51" s="7">
        <f t="shared" si="5"/>
        <v>0</v>
      </c>
      <c r="K51" s="7">
        <f t="shared" si="5"/>
        <v>0</v>
      </c>
      <c r="L51" s="11">
        <v>12629.896699999999</v>
      </c>
      <c r="M51" s="12" cm="1">
        <f t="array" ref="M51">IF(($R$34+SUMPRODUCT(TRANSPOSE(D51:K51),$R$35:$R$42))&lt;0,"-",$R$34+SUMPRODUCT(TRANSPOSE(D51:K51),$R$35:$R$42))</f>
        <v>10758.235943759759</v>
      </c>
      <c r="N51" s="13" t="str">
        <f t="shared" si="2"/>
        <v>-</v>
      </c>
      <c r="O51" s="13">
        <f t="shared" si="3"/>
        <v>22882.44052079488</v>
      </c>
      <c r="Q51" s="60"/>
      <c r="R51" s="61"/>
      <c r="S51" s="61"/>
      <c r="T51" s="61"/>
      <c r="U51" s="61"/>
      <c r="V51" s="61"/>
      <c r="W51" s="62"/>
      <c r="X51" s="51"/>
      <c r="Y51" s="52"/>
      <c r="Z51" s="52"/>
      <c r="AA51" s="52"/>
      <c r="AB51" s="52"/>
      <c r="AC51" s="52"/>
      <c r="AD51" s="52"/>
      <c r="AE51" s="53"/>
    </row>
    <row r="52" spans="1:31" x14ac:dyDescent="0.25">
      <c r="A52" s="1" t="s">
        <v>3</v>
      </c>
      <c r="B52" s="1" t="s">
        <v>1</v>
      </c>
      <c r="C52" s="1" t="s">
        <v>5</v>
      </c>
      <c r="D52" s="1">
        <v>36</v>
      </c>
      <c r="E52" s="1">
        <v>35.200000000000003</v>
      </c>
      <c r="F52" s="1">
        <v>1</v>
      </c>
      <c r="G52" s="7">
        <f t="shared" si="0"/>
        <v>0</v>
      </c>
      <c r="H52" s="7">
        <f t="shared" si="4"/>
        <v>1</v>
      </c>
      <c r="I52" s="7">
        <f t="shared" si="5"/>
        <v>1</v>
      </c>
      <c r="J52" s="7">
        <f t="shared" si="5"/>
        <v>0</v>
      </c>
      <c r="K52" s="7">
        <f t="shared" si="5"/>
        <v>0</v>
      </c>
      <c r="L52" s="11">
        <v>38709.175999999999</v>
      </c>
      <c r="M52" s="12" cm="1">
        <f t="array" ref="M52">IF(($R$34+SUMPRODUCT(TRANSPOSE(D52:K52),$R$35:$R$42))&lt;0,"-",$R$34+SUMPRODUCT(TRANSPOSE(D52:K52),$R$35:$R$42))</f>
        <v>32405.598360557895</v>
      </c>
      <c r="N52" s="13">
        <f t="shared" si="2"/>
        <v>20281.39378352277</v>
      </c>
      <c r="O52" s="13">
        <f t="shared" si="3"/>
        <v>44529.80293759302</v>
      </c>
      <c r="Q52" s="60"/>
      <c r="R52" s="61"/>
      <c r="S52" s="61"/>
      <c r="T52" s="61"/>
      <c r="U52" s="61"/>
      <c r="V52" s="61"/>
      <c r="W52" s="62"/>
      <c r="X52" s="51"/>
      <c r="Y52" s="52"/>
      <c r="Z52" s="52"/>
      <c r="AA52" s="52"/>
      <c r="AB52" s="52"/>
      <c r="AC52" s="52"/>
      <c r="AD52" s="52"/>
      <c r="AE52" s="53"/>
    </row>
    <row r="53" spans="1:31" x14ac:dyDescent="0.25">
      <c r="A53" s="1" t="s">
        <v>0</v>
      </c>
      <c r="B53" s="1" t="s">
        <v>4</v>
      </c>
      <c r="C53" s="1" t="s">
        <v>7</v>
      </c>
      <c r="D53" s="1">
        <v>18</v>
      </c>
      <c r="E53" s="1">
        <v>35.625</v>
      </c>
      <c r="F53" s="1">
        <v>0</v>
      </c>
      <c r="G53" s="7">
        <f t="shared" si="0"/>
        <v>1</v>
      </c>
      <c r="H53" s="7">
        <f t="shared" si="4"/>
        <v>0</v>
      </c>
      <c r="I53" s="7">
        <f t="shared" si="5"/>
        <v>0</v>
      </c>
      <c r="J53" s="7">
        <f t="shared" si="5"/>
        <v>0</v>
      </c>
      <c r="K53" s="7">
        <f t="shared" si="5"/>
        <v>1</v>
      </c>
      <c r="L53" s="11">
        <v>2211.1307499999998</v>
      </c>
      <c r="M53" s="12" cm="1">
        <f t="array" ref="M53">IF(($R$34+SUMPRODUCT(TRANSPOSE(D53:K53),$R$35:$R$42))&lt;0,"-",$R$34+SUMPRODUCT(TRANSPOSE(D53:K53),$R$35:$R$42))</f>
        <v>4768.6425543912337</v>
      </c>
      <c r="N53" s="13" t="str">
        <f t="shared" si="2"/>
        <v>-</v>
      </c>
      <c r="O53" s="13">
        <f t="shared" si="3"/>
        <v>16892.847131426359</v>
      </c>
      <c r="Q53" s="60"/>
      <c r="R53" s="61"/>
      <c r="S53" s="61"/>
      <c r="T53" s="61"/>
      <c r="U53" s="61"/>
      <c r="V53" s="61"/>
      <c r="W53" s="62"/>
      <c r="X53" s="51"/>
      <c r="Y53" s="52"/>
      <c r="Z53" s="52"/>
      <c r="AA53" s="52"/>
      <c r="AB53" s="52"/>
      <c r="AC53" s="52"/>
      <c r="AD53" s="52"/>
      <c r="AE53" s="53"/>
    </row>
    <row r="54" spans="1:31" x14ac:dyDescent="0.25">
      <c r="A54" s="1" t="s">
        <v>0</v>
      </c>
      <c r="B54" s="1" t="s">
        <v>4</v>
      </c>
      <c r="C54" s="1" t="s">
        <v>6</v>
      </c>
      <c r="D54" s="1">
        <v>21</v>
      </c>
      <c r="E54" s="1">
        <v>33.630000000000003</v>
      </c>
      <c r="F54" s="1">
        <v>2</v>
      </c>
      <c r="G54" s="7">
        <f t="shared" si="0"/>
        <v>1</v>
      </c>
      <c r="H54" s="7">
        <f t="shared" si="4"/>
        <v>0</v>
      </c>
      <c r="I54" s="7">
        <f t="shared" si="5"/>
        <v>0</v>
      </c>
      <c r="J54" s="7">
        <f t="shared" si="5"/>
        <v>1</v>
      </c>
      <c r="K54" s="7">
        <f t="shared" si="5"/>
        <v>0</v>
      </c>
      <c r="L54" s="11">
        <v>3579.8287</v>
      </c>
      <c r="M54" s="12" cm="1">
        <f t="array" ref="M54">IF(($R$34+SUMPRODUCT(TRANSPOSE(D54:K54),$R$35:$R$42))&lt;0,"-",$R$34+SUMPRODUCT(TRANSPOSE(D54:K54),$R$35:$R$42))</f>
        <v>5460.5578629232732</v>
      </c>
      <c r="N54" s="13" t="str">
        <f t="shared" si="2"/>
        <v>-</v>
      </c>
      <c r="O54" s="13">
        <f t="shared" si="3"/>
        <v>17584.762439958395</v>
      </c>
      <c r="Q54" s="60"/>
      <c r="R54" s="61"/>
      <c r="S54" s="61"/>
      <c r="T54" s="61"/>
      <c r="U54" s="61"/>
      <c r="V54" s="61"/>
      <c r="W54" s="62"/>
      <c r="X54" s="51"/>
      <c r="Y54" s="52"/>
      <c r="Z54" s="52"/>
      <c r="AA54" s="52"/>
      <c r="AB54" s="52"/>
      <c r="AC54" s="52"/>
      <c r="AD54" s="52"/>
      <c r="AE54" s="53"/>
    </row>
    <row r="55" spans="1:31" x14ac:dyDescent="0.25">
      <c r="A55" s="1" t="s">
        <v>3</v>
      </c>
      <c r="B55" s="1" t="s">
        <v>1</v>
      </c>
      <c r="C55" s="1" t="s">
        <v>2</v>
      </c>
      <c r="D55" s="1">
        <v>48</v>
      </c>
      <c r="E55" s="1">
        <v>28</v>
      </c>
      <c r="F55" s="1">
        <v>1</v>
      </c>
      <c r="G55" s="7">
        <f t="shared" si="0"/>
        <v>0</v>
      </c>
      <c r="H55" s="7">
        <f t="shared" si="4"/>
        <v>1</v>
      </c>
      <c r="I55" s="7">
        <f t="shared" si="5"/>
        <v>0</v>
      </c>
      <c r="J55" s="7">
        <f t="shared" si="5"/>
        <v>0</v>
      </c>
      <c r="K55" s="7">
        <f t="shared" si="5"/>
        <v>0</v>
      </c>
      <c r="L55" s="11">
        <v>23568.272000000001</v>
      </c>
      <c r="M55" s="12" cm="1">
        <f t="array" ref="M55">IF(($R$34+SUMPRODUCT(TRANSPOSE(D55:K55),$R$35:$R$42))&lt;0,"-",$R$34+SUMPRODUCT(TRANSPOSE(D55:K55),$R$35:$R$42))</f>
        <v>33120.652783095007</v>
      </c>
      <c r="N55" s="13">
        <f t="shared" si="2"/>
        <v>20996.448206059882</v>
      </c>
      <c r="O55" s="13">
        <f t="shared" si="3"/>
        <v>45244.857360130132</v>
      </c>
      <c r="Q55" s="60"/>
      <c r="R55" s="61"/>
      <c r="S55" s="61"/>
      <c r="T55" s="61"/>
      <c r="U55" s="61"/>
      <c r="V55" s="61"/>
      <c r="W55" s="62"/>
      <c r="X55" s="51"/>
      <c r="Y55" s="52"/>
      <c r="Z55" s="52"/>
      <c r="AA55" s="52"/>
      <c r="AB55" s="52"/>
      <c r="AC55" s="52"/>
      <c r="AD55" s="52"/>
      <c r="AE55" s="53"/>
    </row>
    <row r="56" spans="1:31" x14ac:dyDescent="0.25">
      <c r="A56" s="1" t="s">
        <v>3</v>
      </c>
      <c r="B56" s="1" t="s">
        <v>1</v>
      </c>
      <c r="C56" s="1" t="s">
        <v>5</v>
      </c>
      <c r="D56" s="1">
        <v>36</v>
      </c>
      <c r="E56" s="1">
        <v>34.43</v>
      </c>
      <c r="F56" s="1">
        <v>0</v>
      </c>
      <c r="G56" s="7">
        <f t="shared" si="0"/>
        <v>0</v>
      </c>
      <c r="H56" s="7">
        <f t="shared" si="4"/>
        <v>1</v>
      </c>
      <c r="I56" s="7">
        <f t="shared" si="5"/>
        <v>1</v>
      </c>
      <c r="J56" s="7">
        <f t="shared" si="5"/>
        <v>0</v>
      </c>
      <c r="K56" s="7">
        <f t="shared" si="5"/>
        <v>0</v>
      </c>
      <c r="L56" s="11">
        <v>37742.575700000001</v>
      </c>
      <c r="M56" s="12" cm="1">
        <f t="array" ref="M56">IF(($R$34+SUMPRODUCT(TRANSPOSE(D56:K56),$R$35:$R$42))&lt;0,"-",$R$34+SUMPRODUCT(TRANSPOSE(D56:K56),$R$35:$R$42))</f>
        <v>31668.91885612841</v>
      </c>
      <c r="N56" s="13">
        <f t="shared" si="2"/>
        <v>19544.714279093285</v>
      </c>
      <c r="O56" s="13">
        <f t="shared" si="3"/>
        <v>43793.123433163535</v>
      </c>
      <c r="Q56" s="60"/>
      <c r="R56" s="61"/>
      <c r="S56" s="61"/>
      <c r="T56" s="61"/>
      <c r="U56" s="61"/>
      <c r="V56" s="61"/>
      <c r="W56" s="62"/>
      <c r="X56" s="51"/>
      <c r="Y56" s="52"/>
      <c r="Z56" s="52"/>
      <c r="AA56" s="52"/>
      <c r="AB56" s="52"/>
      <c r="AC56" s="52"/>
      <c r="AD56" s="52"/>
      <c r="AE56" s="53"/>
    </row>
    <row r="57" spans="1:31" x14ac:dyDescent="0.25">
      <c r="A57" s="1" t="s">
        <v>0</v>
      </c>
      <c r="B57" s="1" t="s">
        <v>4</v>
      </c>
      <c r="C57" s="1" t="s">
        <v>6</v>
      </c>
      <c r="D57" s="1">
        <v>40</v>
      </c>
      <c r="E57" s="1">
        <v>28.69</v>
      </c>
      <c r="F57" s="1">
        <v>3</v>
      </c>
      <c r="G57" s="7">
        <f t="shared" si="0"/>
        <v>1</v>
      </c>
      <c r="H57" s="7">
        <f t="shared" si="4"/>
        <v>0</v>
      </c>
      <c r="I57" s="7">
        <f t="shared" si="5"/>
        <v>0</v>
      </c>
      <c r="J57" s="7">
        <f t="shared" si="5"/>
        <v>1</v>
      </c>
      <c r="K57" s="7">
        <f t="shared" si="5"/>
        <v>0</v>
      </c>
      <c r="L57" s="11">
        <v>8059.6791000000003</v>
      </c>
      <c r="M57" s="12" cm="1">
        <f t="array" ref="M57">IF(($R$34+SUMPRODUCT(TRANSPOSE(D57:K57),$R$35:$R$42))&lt;0,"-",$R$34+SUMPRODUCT(TRANSPOSE(D57:K57),$R$35:$R$42))</f>
        <v>9140.7134454444677</v>
      </c>
      <c r="N57" s="13" t="str">
        <f t="shared" si="2"/>
        <v>-</v>
      </c>
      <c r="O57" s="13">
        <f t="shared" si="3"/>
        <v>21264.918022479593</v>
      </c>
      <c r="Q57" s="60"/>
      <c r="R57" s="61"/>
      <c r="S57" s="61"/>
      <c r="T57" s="61"/>
      <c r="U57" s="61"/>
      <c r="V57" s="61"/>
      <c r="W57" s="62"/>
      <c r="X57" s="51"/>
      <c r="Y57" s="52"/>
      <c r="Z57" s="52"/>
      <c r="AA57" s="52"/>
      <c r="AB57" s="52"/>
      <c r="AC57" s="52"/>
      <c r="AD57" s="52"/>
      <c r="AE57" s="53"/>
    </row>
    <row r="58" spans="1:31" x14ac:dyDescent="0.25">
      <c r="A58" s="1" t="s">
        <v>3</v>
      </c>
      <c r="B58" s="1" t="s">
        <v>1</v>
      </c>
      <c r="C58" s="1" t="s">
        <v>6</v>
      </c>
      <c r="D58" s="1">
        <v>58</v>
      </c>
      <c r="E58" s="1">
        <v>36.954999999999998</v>
      </c>
      <c r="F58" s="1">
        <v>2</v>
      </c>
      <c r="G58" s="7">
        <f t="shared" si="0"/>
        <v>0</v>
      </c>
      <c r="H58" s="7">
        <f t="shared" si="4"/>
        <v>1</v>
      </c>
      <c r="I58" s="7">
        <f t="shared" si="5"/>
        <v>0</v>
      </c>
      <c r="J58" s="7">
        <f t="shared" si="5"/>
        <v>1</v>
      </c>
      <c r="K58" s="7">
        <f t="shared" si="5"/>
        <v>0</v>
      </c>
      <c r="L58" s="11">
        <v>47496.494449999998</v>
      </c>
      <c r="M58" s="12" cm="1">
        <f t="array" ref="M58">IF(($R$34+SUMPRODUCT(TRANSPOSE(D58:K58),$R$35:$R$42))&lt;0,"-",$R$34+SUMPRODUCT(TRANSPOSE(D58:K58),$R$35:$R$42))</f>
        <v>39809.281322578878</v>
      </c>
      <c r="N58" s="13">
        <f t="shared" si="2"/>
        <v>27685.076745543753</v>
      </c>
      <c r="O58" s="13">
        <f t="shared" si="3"/>
        <v>51933.485899614003</v>
      </c>
      <c r="Q58" s="60"/>
      <c r="R58" s="61"/>
      <c r="S58" s="61"/>
      <c r="T58" s="61"/>
      <c r="U58" s="61"/>
      <c r="V58" s="61"/>
      <c r="W58" s="62"/>
      <c r="X58" s="51"/>
      <c r="Y58" s="52"/>
      <c r="Z58" s="52"/>
      <c r="AA58" s="52"/>
      <c r="AB58" s="52"/>
      <c r="AC58" s="52"/>
      <c r="AD58" s="52"/>
      <c r="AE58" s="53"/>
    </row>
    <row r="59" spans="1:31" x14ac:dyDescent="0.25">
      <c r="A59" s="1" t="s">
        <v>0</v>
      </c>
      <c r="B59" s="1" t="s">
        <v>4</v>
      </c>
      <c r="C59" s="1" t="s">
        <v>7</v>
      </c>
      <c r="D59" s="1">
        <v>58</v>
      </c>
      <c r="E59" s="1">
        <v>31.824999999999999</v>
      </c>
      <c r="F59" s="1">
        <v>2</v>
      </c>
      <c r="G59" s="7">
        <f t="shared" si="0"/>
        <v>1</v>
      </c>
      <c r="H59" s="7">
        <f t="shared" si="4"/>
        <v>0</v>
      </c>
      <c r="I59" s="7">
        <f t="shared" si="5"/>
        <v>0</v>
      </c>
      <c r="J59" s="7">
        <f t="shared" si="5"/>
        <v>0</v>
      </c>
      <c r="K59" s="7">
        <f t="shared" si="5"/>
        <v>1</v>
      </c>
      <c r="L59" s="11">
        <v>13607.36875</v>
      </c>
      <c r="M59" s="12" cm="1">
        <f t="array" ref="M59">IF(($R$34+SUMPRODUCT(TRANSPOSE(D59:K59),$R$35:$R$42))&lt;0,"-",$R$34+SUMPRODUCT(TRANSPOSE(D59:K59),$R$35:$R$42))</f>
        <v>14704.962622462222</v>
      </c>
      <c r="N59" s="13">
        <f t="shared" si="2"/>
        <v>2580.7580454270992</v>
      </c>
      <c r="O59" s="13">
        <f t="shared" si="3"/>
        <v>26829.167199497344</v>
      </c>
      <c r="Q59" s="60"/>
      <c r="R59" s="61"/>
      <c r="S59" s="61"/>
      <c r="T59" s="61"/>
      <c r="U59" s="61"/>
      <c r="V59" s="61"/>
      <c r="W59" s="62"/>
      <c r="X59" s="51"/>
      <c r="Y59" s="52"/>
      <c r="Z59" s="52"/>
      <c r="AA59" s="52"/>
      <c r="AB59" s="52"/>
      <c r="AC59" s="52"/>
      <c r="AD59" s="52"/>
      <c r="AE59" s="53"/>
    </row>
    <row r="60" spans="1:31" x14ac:dyDescent="0.25">
      <c r="A60" s="1" t="s">
        <v>3</v>
      </c>
      <c r="B60" s="1" t="s">
        <v>1</v>
      </c>
      <c r="C60" s="1" t="s">
        <v>5</v>
      </c>
      <c r="D60" s="1">
        <v>18</v>
      </c>
      <c r="E60" s="1">
        <v>31.68</v>
      </c>
      <c r="F60" s="1">
        <v>2</v>
      </c>
      <c r="G60" s="7">
        <f t="shared" si="0"/>
        <v>0</v>
      </c>
      <c r="H60" s="7">
        <f t="shared" si="4"/>
        <v>1</v>
      </c>
      <c r="I60" s="7">
        <f t="shared" si="5"/>
        <v>1</v>
      </c>
      <c r="J60" s="7">
        <f t="shared" si="5"/>
        <v>0</v>
      </c>
      <c r="K60" s="7">
        <f t="shared" si="5"/>
        <v>0</v>
      </c>
      <c r="L60" s="11">
        <v>34303.167200000004</v>
      </c>
      <c r="M60" s="12" cm="1">
        <f t="array" ref="M60">IF(($R$34+SUMPRODUCT(TRANSPOSE(D60:K60),$R$35:$R$42))&lt;0,"-",$R$34+SUMPRODUCT(TRANSPOSE(D60:K60),$R$35:$R$42))</f>
        <v>27063.723603324601</v>
      </c>
      <c r="N60" s="13">
        <f t="shared" si="2"/>
        <v>14939.519026289478</v>
      </c>
      <c r="O60" s="13">
        <f t="shared" si="3"/>
        <v>39187.928180359726</v>
      </c>
      <c r="Q60" s="63"/>
      <c r="R60" s="64"/>
      <c r="S60" s="64"/>
      <c r="T60" s="64"/>
      <c r="U60" s="64"/>
      <c r="V60" s="64"/>
      <c r="W60" s="65"/>
      <c r="X60" s="54"/>
      <c r="Y60" s="55"/>
      <c r="Z60" s="55"/>
      <c r="AA60" s="55"/>
      <c r="AB60" s="55"/>
      <c r="AC60" s="55"/>
      <c r="AD60" s="55"/>
      <c r="AE60" s="56"/>
    </row>
    <row r="61" spans="1:31" x14ac:dyDescent="0.25">
      <c r="A61" s="1" t="s">
        <v>0</v>
      </c>
      <c r="B61" s="1" t="s">
        <v>1</v>
      </c>
      <c r="C61" s="1" t="s">
        <v>5</v>
      </c>
      <c r="D61" s="1">
        <v>53</v>
      </c>
      <c r="E61" s="1">
        <v>22.88</v>
      </c>
      <c r="F61" s="1">
        <v>1</v>
      </c>
      <c r="G61" s="7">
        <f t="shared" si="0"/>
        <v>1</v>
      </c>
      <c r="H61" s="7">
        <f t="shared" si="4"/>
        <v>1</v>
      </c>
      <c r="I61" s="7">
        <f t="shared" si="5"/>
        <v>1</v>
      </c>
      <c r="J61" s="7">
        <f t="shared" si="5"/>
        <v>0</v>
      </c>
      <c r="K61" s="7">
        <f t="shared" si="5"/>
        <v>0</v>
      </c>
      <c r="L61" s="11">
        <v>23244.790199999999</v>
      </c>
      <c r="M61" s="12" cm="1">
        <f t="array" ref="M61">IF(($R$34+SUMPRODUCT(TRANSPOSE(D61:K61),$R$35:$R$42))&lt;0,"-",$R$34+SUMPRODUCT(TRANSPOSE(D61:K61),$R$35:$R$42))</f>
        <v>32724.607364602365</v>
      </c>
      <c r="N61" s="13">
        <f t="shared" si="2"/>
        <v>20600.40278756724</v>
      </c>
      <c r="O61" s="13">
        <f t="shared" si="3"/>
        <v>44848.81194163749</v>
      </c>
      <c r="T61" s="49"/>
      <c r="U61" s="49"/>
      <c r="V61" s="49"/>
      <c r="W61" s="49"/>
      <c r="X61" s="49"/>
      <c r="Y61" s="49"/>
      <c r="Z61" s="49"/>
      <c r="AA61" s="49"/>
    </row>
    <row r="62" spans="1:31" x14ac:dyDescent="0.25">
      <c r="A62" s="1" t="s">
        <v>0</v>
      </c>
      <c r="B62" s="1" t="s">
        <v>4</v>
      </c>
      <c r="C62" s="1" t="s">
        <v>6</v>
      </c>
      <c r="D62" s="1">
        <v>34</v>
      </c>
      <c r="E62" s="1">
        <v>37.335000000000001</v>
      </c>
      <c r="F62" s="1">
        <v>2</v>
      </c>
      <c r="G62" s="7">
        <f t="shared" si="0"/>
        <v>1</v>
      </c>
      <c r="H62" s="7">
        <f t="shared" si="4"/>
        <v>0</v>
      </c>
      <c r="I62" s="7">
        <f t="shared" si="5"/>
        <v>0</v>
      </c>
      <c r="J62" s="7">
        <f t="shared" si="5"/>
        <v>1</v>
      </c>
      <c r="K62" s="7">
        <f t="shared" si="5"/>
        <v>0</v>
      </c>
      <c r="L62" s="11">
        <v>5989.5236500000001</v>
      </c>
      <c r="M62" s="12" cm="1">
        <f t="array" ref="M62">IF(($R$34+SUMPRODUCT(TRANSPOSE(D62:K62),$R$35:$R$42))&lt;0,"-",$R$34+SUMPRODUCT(TRANSPOSE(D62:K62),$R$35:$R$42))</f>
        <v>10056.402191536959</v>
      </c>
      <c r="N62" s="13" t="str">
        <f t="shared" si="2"/>
        <v>-</v>
      </c>
      <c r="O62" s="13">
        <f t="shared" si="3"/>
        <v>22180.606768572085</v>
      </c>
      <c r="Q62" s="2" t="s">
        <v>62</v>
      </c>
      <c r="R62" s="2" t="s">
        <v>61</v>
      </c>
      <c r="T62" s="52"/>
      <c r="U62" s="52"/>
      <c r="V62" s="52"/>
      <c r="W62" s="52"/>
      <c r="X62" s="52"/>
      <c r="Y62" s="52"/>
      <c r="Z62" s="52"/>
      <c r="AA62" s="52"/>
      <c r="AD62" s="18" t="s">
        <v>63</v>
      </c>
      <c r="AE62" s="18" t="s">
        <v>61</v>
      </c>
    </row>
    <row r="63" spans="1:31" x14ac:dyDescent="0.25">
      <c r="A63" s="1" t="s">
        <v>3</v>
      </c>
      <c r="B63" s="1" t="s">
        <v>4</v>
      </c>
      <c r="C63" s="1" t="s">
        <v>7</v>
      </c>
      <c r="D63" s="1">
        <v>43</v>
      </c>
      <c r="E63" s="1">
        <v>27.36</v>
      </c>
      <c r="F63" s="1">
        <v>3</v>
      </c>
      <c r="G63" s="7">
        <f t="shared" si="0"/>
        <v>0</v>
      </c>
      <c r="H63" s="7">
        <f t="shared" si="4"/>
        <v>0</v>
      </c>
      <c r="I63" s="7">
        <f t="shared" si="5"/>
        <v>0</v>
      </c>
      <c r="J63" s="7">
        <f t="shared" si="5"/>
        <v>0</v>
      </c>
      <c r="K63" s="7">
        <f t="shared" si="5"/>
        <v>1</v>
      </c>
      <c r="L63" s="11">
        <v>8606.2173999999995</v>
      </c>
      <c r="M63" s="12" cm="1">
        <f t="array" ref="M63">IF(($R$34+SUMPRODUCT(TRANSPOSE(D63:K63),$R$35:$R$42))&lt;0,"-",$R$34+SUMPRODUCT(TRANSPOSE(D63:K63),$R$35:$R$42))</f>
        <v>9681.8047497836305</v>
      </c>
      <c r="N63" s="13" t="str">
        <f t="shared" si="2"/>
        <v>-</v>
      </c>
      <c r="O63" s="13">
        <f t="shared" si="3"/>
        <v>21806.009326818756</v>
      </c>
      <c r="Q63" s="2" t="s">
        <v>1</v>
      </c>
      <c r="R63" s="16">
        <f>AVERAGEIFS($L$3:$L$1340,$B$3:$B$1340,$Q63)</f>
        <v>32050.231831532848</v>
      </c>
      <c r="T63" s="52"/>
      <c r="U63" s="52"/>
      <c r="V63" s="52"/>
      <c r="W63" s="52"/>
      <c r="X63" s="52"/>
      <c r="Y63" s="52"/>
      <c r="Z63" s="52"/>
      <c r="AA63" s="52"/>
      <c r="AD63" s="18" t="s">
        <v>64</v>
      </c>
      <c r="AE63" s="20">
        <f>AVERAGEIFS($L$3:$L$1340,$D$3:$D$1340, "&lt;31")</f>
        <v>9397.5520514842319</v>
      </c>
    </row>
    <row r="64" spans="1:31" x14ac:dyDescent="0.25">
      <c r="A64" s="1" t="s">
        <v>3</v>
      </c>
      <c r="B64" s="1" t="s">
        <v>4</v>
      </c>
      <c r="C64" s="1" t="s">
        <v>5</v>
      </c>
      <c r="D64" s="1">
        <v>25</v>
      </c>
      <c r="E64" s="1">
        <v>33.659999999999997</v>
      </c>
      <c r="F64" s="1">
        <v>4</v>
      </c>
      <c r="G64" s="7">
        <f t="shared" si="0"/>
        <v>0</v>
      </c>
      <c r="H64" s="7">
        <f t="shared" si="4"/>
        <v>0</v>
      </c>
      <c r="I64" s="7">
        <f t="shared" si="5"/>
        <v>1</v>
      </c>
      <c r="J64" s="7">
        <f t="shared" si="5"/>
        <v>0</v>
      </c>
      <c r="K64" s="7">
        <f t="shared" si="5"/>
        <v>0</v>
      </c>
      <c r="L64" s="11">
        <v>4504.6624000000002</v>
      </c>
      <c r="M64" s="12" cm="1">
        <f t="array" ref="M64">IF(($R$34+SUMPRODUCT(TRANSPOSE(D64:K64),$R$35:$R$42))&lt;0,"-",$R$34+SUMPRODUCT(TRANSPOSE(D64:K64),$R$35:$R$42))</f>
        <v>6635.787657620971</v>
      </c>
      <c r="N64" s="13" t="str">
        <f t="shared" si="2"/>
        <v>-</v>
      </c>
      <c r="O64" s="13">
        <f t="shared" si="3"/>
        <v>18759.992234656092</v>
      </c>
      <c r="Q64" s="2" t="s">
        <v>4</v>
      </c>
      <c r="R64" s="16">
        <f>AVERAGEIFS($L$3:$L$1340,$B$3:$B$1340,$Q64)</f>
        <v>8434.2682978561988</v>
      </c>
      <c r="T64" s="52"/>
      <c r="U64" s="52"/>
      <c r="V64" s="52"/>
      <c r="W64" s="52"/>
      <c r="X64" s="52"/>
      <c r="Y64" s="52"/>
      <c r="Z64" s="52"/>
      <c r="AA64" s="52"/>
      <c r="AD64" s="18" t="s">
        <v>65</v>
      </c>
      <c r="AE64" s="20">
        <f>AVERAGEIFS($L$3:$L$1340,$D$3:$D$1340,"&lt;41",$D$3:$D$1340,"&gt;=31")</f>
        <v>11639.308653151753</v>
      </c>
    </row>
    <row r="65" spans="1:31" x14ac:dyDescent="0.25">
      <c r="A65" s="1" t="s">
        <v>3</v>
      </c>
      <c r="B65" s="1" t="s">
        <v>4</v>
      </c>
      <c r="C65" s="1" t="s">
        <v>6</v>
      </c>
      <c r="D65" s="1">
        <v>64</v>
      </c>
      <c r="E65" s="1">
        <v>24.7</v>
      </c>
      <c r="F65" s="1">
        <v>1</v>
      </c>
      <c r="G65" s="7">
        <f t="shared" si="0"/>
        <v>0</v>
      </c>
      <c r="H65" s="7">
        <f t="shared" si="4"/>
        <v>0</v>
      </c>
      <c r="I65" s="7">
        <f t="shared" si="5"/>
        <v>0</v>
      </c>
      <c r="J65" s="7">
        <f t="shared" si="5"/>
        <v>1</v>
      </c>
      <c r="K65" s="7">
        <f t="shared" si="5"/>
        <v>0</v>
      </c>
      <c r="L65" s="11">
        <v>30166.618170000002</v>
      </c>
      <c r="M65" s="12" cm="1">
        <f t="array" ref="M65">IF(($R$34+SUMPRODUCT(TRANSPOSE(D65:K65),$R$35:$R$42))&lt;0,"-",$R$34+SUMPRODUCT(TRANSPOSE(D65:K65),$R$35:$R$42))</f>
        <v>12869.568576740196</v>
      </c>
      <c r="N65" s="13">
        <f t="shared" si="2"/>
        <v>745.36399970507227</v>
      </c>
      <c r="O65" s="13">
        <f t="shared" si="3"/>
        <v>24993.773153775321</v>
      </c>
      <c r="T65" s="52"/>
      <c r="U65" s="52"/>
      <c r="V65" s="52"/>
      <c r="W65" s="52"/>
      <c r="X65" s="52"/>
      <c r="Y65" s="52"/>
      <c r="Z65" s="52"/>
      <c r="AA65" s="52"/>
      <c r="AD65" s="18" t="s">
        <v>66</v>
      </c>
      <c r="AE65" s="20">
        <f>AVERAGEIFS($L$3:$L$1340,$D$3:$D$1340,"&lt;51",$D$3:$D$1340,"&gt;=41")</f>
        <v>14782.043077117436</v>
      </c>
    </row>
    <row r="66" spans="1:31" x14ac:dyDescent="0.25">
      <c r="A66" s="1" t="s">
        <v>0</v>
      </c>
      <c r="B66" s="1" t="s">
        <v>4</v>
      </c>
      <c r="C66" s="1" t="s">
        <v>6</v>
      </c>
      <c r="D66" s="1">
        <v>28</v>
      </c>
      <c r="E66" s="1">
        <v>25.934999999999999</v>
      </c>
      <c r="F66" s="1">
        <v>1</v>
      </c>
      <c r="G66" s="7">
        <f t="shared" si="0"/>
        <v>1</v>
      </c>
      <c r="H66" s="7">
        <f t="shared" si="4"/>
        <v>0</v>
      </c>
      <c r="I66" s="7">
        <f t="shared" si="5"/>
        <v>0</v>
      </c>
      <c r="J66" s="7">
        <f t="shared" si="5"/>
        <v>1</v>
      </c>
      <c r="K66" s="7">
        <f t="shared" si="5"/>
        <v>0</v>
      </c>
      <c r="L66" s="11">
        <v>4133.6416499999996</v>
      </c>
      <c r="M66" s="12" cm="1">
        <f t="array" ref="M66">IF(($R$34+SUMPRODUCT(TRANSPOSE(D66:K66),$R$35:$R$42))&lt;0,"-",$R$34+SUMPRODUCT(TRANSPOSE(D66:K66),$R$35:$R$42))</f>
        <v>4172.958160000162</v>
      </c>
      <c r="N66" s="13" t="str">
        <f t="shared" si="2"/>
        <v>-</v>
      </c>
      <c r="O66" s="13">
        <f t="shared" si="3"/>
        <v>16297.162737035285</v>
      </c>
      <c r="T66" s="52"/>
      <c r="U66" s="52"/>
      <c r="V66" s="52"/>
      <c r="W66" s="52"/>
      <c r="X66" s="52"/>
      <c r="Y66" s="52"/>
      <c r="Z66" s="52"/>
      <c r="AA66" s="52"/>
      <c r="AD66" s="18" t="s">
        <v>67</v>
      </c>
      <c r="AE66" s="20">
        <f>AVERAGEIFS($L$3:$L$1340,$D$3:$D$1340,"&lt;61",$D$3:$D$1340,"&gt;=51")</f>
        <v>17062.292762867921</v>
      </c>
    </row>
    <row r="67" spans="1:31" x14ac:dyDescent="0.25">
      <c r="A67" s="1" t="s">
        <v>0</v>
      </c>
      <c r="B67" s="1" t="s">
        <v>1</v>
      </c>
      <c r="C67" s="1" t="s">
        <v>6</v>
      </c>
      <c r="D67" s="1">
        <v>20</v>
      </c>
      <c r="E67" s="1">
        <v>22.42</v>
      </c>
      <c r="F67" s="1">
        <v>0</v>
      </c>
      <c r="G67" s="7">
        <f t="shared" ref="G67:G130" si="8">IF($A67=G$2,1,0)</f>
        <v>1</v>
      </c>
      <c r="H67" s="7">
        <f t="shared" si="4"/>
        <v>1</v>
      </c>
      <c r="I67" s="7">
        <f t="shared" si="5"/>
        <v>0</v>
      </c>
      <c r="J67" s="7">
        <f t="shared" si="5"/>
        <v>1</v>
      </c>
      <c r="K67" s="7">
        <f t="shared" si="5"/>
        <v>0</v>
      </c>
      <c r="L67" s="11">
        <v>14711.7438</v>
      </c>
      <c r="M67" s="12" cm="1">
        <f t="array" ref="M67">IF(($R$34+SUMPRODUCT(TRANSPOSE(D67:K67),$R$35:$R$42))&lt;0,"-",$R$34+SUMPRODUCT(TRANSPOSE(D67:K67),$R$35:$R$42))</f>
        <v>24298.876347022939</v>
      </c>
      <c r="N67" s="13">
        <f t="shared" ref="N67:N130" si="9">IFERROR(IF($M67-(2*$R$24)&lt;0,"-",($M67-(2*$R$24))),"-")</f>
        <v>12174.671769987815</v>
      </c>
      <c r="O67" s="13">
        <f t="shared" ref="O67:O130" si="10">IFERROR(IF($L67+(2*$R$24)&lt;0,"-",($M67+(2*$R$24))),"-")</f>
        <v>36423.080924058064</v>
      </c>
      <c r="T67" s="52"/>
      <c r="U67" s="52"/>
      <c r="V67" s="52"/>
      <c r="W67" s="52"/>
      <c r="X67" s="52"/>
      <c r="Y67" s="52"/>
      <c r="Z67" s="52"/>
      <c r="AA67" s="52"/>
      <c r="AD67" s="18" t="s">
        <v>68</v>
      </c>
      <c r="AE67" s="20">
        <f>AVERAGEIFS($L$3:$L$1340,$D$3:$D$1340,"&gt;60")</f>
        <v>21063.163397912085</v>
      </c>
    </row>
    <row r="68" spans="1:31" x14ac:dyDescent="0.25">
      <c r="A68" s="1" t="s">
        <v>0</v>
      </c>
      <c r="B68" s="1" t="s">
        <v>4</v>
      </c>
      <c r="C68" s="1" t="s">
        <v>2</v>
      </c>
      <c r="D68" s="1">
        <v>19</v>
      </c>
      <c r="E68" s="1">
        <v>28.9</v>
      </c>
      <c r="F68" s="1">
        <v>0</v>
      </c>
      <c r="G68" s="7">
        <f t="shared" si="8"/>
        <v>1</v>
      </c>
      <c r="H68" s="7">
        <f t="shared" ref="H68:H131" si="11">IF(B68="yes",1,0)</f>
        <v>0</v>
      </c>
      <c r="I68" s="7">
        <f t="shared" ref="I68:K131" si="12">IF($C68=I$2,1,0)</f>
        <v>0</v>
      </c>
      <c r="J68" s="7">
        <f t="shared" si="12"/>
        <v>0</v>
      </c>
      <c r="K68" s="7">
        <f t="shared" si="12"/>
        <v>0</v>
      </c>
      <c r="L68" s="11">
        <v>1743.2139999999999</v>
      </c>
      <c r="M68" s="12" cm="1">
        <f t="array" ref="M68">IF(($R$34+SUMPRODUCT(TRANSPOSE(D68:K68),$R$35:$R$42))&lt;0,"-",$R$34+SUMPRODUCT(TRANSPOSE(D68:K68),$R$35:$R$42))</f>
        <v>1784.3719400948485</v>
      </c>
      <c r="N68" s="13" t="str">
        <f t="shared" si="9"/>
        <v>-</v>
      </c>
      <c r="O68" s="13">
        <f t="shared" si="10"/>
        <v>13908.576517129972</v>
      </c>
      <c r="T68" s="52"/>
      <c r="U68" s="52"/>
      <c r="V68" s="52"/>
      <c r="W68" s="52"/>
      <c r="X68" s="52"/>
      <c r="Y68" s="52"/>
      <c r="Z68" s="52"/>
      <c r="AA68" s="52"/>
    </row>
    <row r="69" spans="1:31" x14ac:dyDescent="0.25">
      <c r="A69" s="1" t="s">
        <v>0</v>
      </c>
      <c r="B69" s="1" t="s">
        <v>4</v>
      </c>
      <c r="C69" s="1" t="s">
        <v>2</v>
      </c>
      <c r="D69" s="1">
        <v>61</v>
      </c>
      <c r="E69" s="1">
        <v>39.1</v>
      </c>
      <c r="F69" s="1">
        <v>2</v>
      </c>
      <c r="G69" s="7">
        <f t="shared" si="8"/>
        <v>1</v>
      </c>
      <c r="H69" s="7">
        <f t="shared" si="11"/>
        <v>0</v>
      </c>
      <c r="I69" s="7">
        <f t="shared" si="12"/>
        <v>0</v>
      </c>
      <c r="J69" s="7">
        <f t="shared" si="12"/>
        <v>0</v>
      </c>
      <c r="K69" s="7">
        <f t="shared" si="12"/>
        <v>0</v>
      </c>
      <c r="L69" s="11">
        <v>14235.072</v>
      </c>
      <c r="M69" s="12" cm="1">
        <f t="array" ref="M69">IF(($R$34+SUMPRODUCT(TRANSPOSE(D69:K69),$R$35:$R$42))&lt;0,"-",$R$34+SUMPRODUCT(TRANSPOSE(D69:K69),$R$35:$R$42))</f>
        <v>16983.113063792298</v>
      </c>
      <c r="N69" s="13">
        <f t="shared" si="9"/>
        <v>4858.9084867571746</v>
      </c>
      <c r="O69" s="13">
        <f t="shared" si="10"/>
        <v>29107.317640827423</v>
      </c>
      <c r="T69" s="52"/>
      <c r="U69" s="52"/>
      <c r="V69" s="52"/>
      <c r="W69" s="52"/>
      <c r="X69" s="52"/>
      <c r="Y69" s="52"/>
      <c r="Z69" s="52"/>
      <c r="AA69" s="52"/>
    </row>
    <row r="70" spans="1:31" x14ac:dyDescent="0.25">
      <c r="A70" s="1" t="s">
        <v>3</v>
      </c>
      <c r="B70" s="1" t="s">
        <v>4</v>
      </c>
      <c r="C70" s="1" t="s">
        <v>6</v>
      </c>
      <c r="D70" s="1">
        <v>40</v>
      </c>
      <c r="E70" s="1">
        <v>26.315000000000001</v>
      </c>
      <c r="F70" s="1">
        <v>1</v>
      </c>
      <c r="G70" s="7">
        <f t="shared" si="8"/>
        <v>0</v>
      </c>
      <c r="H70" s="7">
        <f t="shared" si="11"/>
        <v>0</v>
      </c>
      <c r="I70" s="7">
        <f t="shared" si="12"/>
        <v>0</v>
      </c>
      <c r="J70" s="7">
        <f t="shared" si="12"/>
        <v>1</v>
      </c>
      <c r="K70" s="7">
        <f t="shared" si="12"/>
        <v>0</v>
      </c>
      <c r="L70" s="11">
        <v>6389.3778499999999</v>
      </c>
      <c r="M70" s="12" cm="1">
        <f t="array" ref="M70">IF(($R$34+SUMPRODUCT(TRANSPOSE(D70:K70),$R$35:$R$42))&lt;0,"-",$R$34+SUMPRODUCT(TRANSPOSE(D70:K70),$R$35:$R$42))</f>
        <v>7252.8135434253527</v>
      </c>
      <c r="N70" s="13" t="str">
        <f t="shared" si="9"/>
        <v>-</v>
      </c>
      <c r="O70" s="13">
        <f t="shared" si="10"/>
        <v>19377.018120460474</v>
      </c>
      <c r="T70" s="52"/>
      <c r="U70" s="52"/>
      <c r="V70" s="52"/>
      <c r="W70" s="52"/>
      <c r="X70" s="52"/>
      <c r="Y70" s="52"/>
      <c r="Z70" s="52"/>
      <c r="AA70" s="52"/>
    </row>
    <row r="71" spans="1:31" x14ac:dyDescent="0.25">
      <c r="A71" s="1" t="s">
        <v>0</v>
      </c>
      <c r="B71" s="1" t="s">
        <v>4</v>
      </c>
      <c r="C71" s="1" t="s">
        <v>5</v>
      </c>
      <c r="D71" s="1">
        <v>40</v>
      </c>
      <c r="E71" s="1">
        <v>36.19</v>
      </c>
      <c r="F71" s="1">
        <v>0</v>
      </c>
      <c r="G71" s="7">
        <f t="shared" si="8"/>
        <v>1</v>
      </c>
      <c r="H71" s="7">
        <f t="shared" si="11"/>
        <v>0</v>
      </c>
      <c r="I71" s="7">
        <f t="shared" si="12"/>
        <v>1</v>
      </c>
      <c r="J71" s="7">
        <f t="shared" si="12"/>
        <v>0</v>
      </c>
      <c r="K71" s="7">
        <f t="shared" si="12"/>
        <v>0</v>
      </c>
      <c r="L71" s="11">
        <v>5920.1040999999996</v>
      </c>
      <c r="M71" s="12" cm="1">
        <f t="array" ref="M71">IF(($R$34+SUMPRODUCT(TRANSPOSE(D71:K71),$R$35:$R$42))&lt;0,"-",$R$34+SUMPRODUCT(TRANSPOSE(D71:K71),$R$35:$R$42))</f>
        <v>9576.1045621151898</v>
      </c>
      <c r="N71" s="13" t="str">
        <f t="shared" si="9"/>
        <v>-</v>
      </c>
      <c r="O71" s="13">
        <f t="shared" si="10"/>
        <v>21700.309139150311</v>
      </c>
      <c r="T71" s="52"/>
      <c r="U71" s="52"/>
      <c r="V71" s="52"/>
      <c r="W71" s="52"/>
      <c r="X71" s="52"/>
      <c r="Y71" s="52"/>
      <c r="Z71" s="52"/>
      <c r="AA71" s="52"/>
    </row>
    <row r="72" spans="1:31" x14ac:dyDescent="0.25">
      <c r="A72" s="1" t="s">
        <v>3</v>
      </c>
      <c r="B72" s="1" t="s">
        <v>1</v>
      </c>
      <c r="C72" s="1" t="s">
        <v>5</v>
      </c>
      <c r="D72" s="1">
        <v>28</v>
      </c>
      <c r="E72" s="1">
        <v>23.98</v>
      </c>
      <c r="F72" s="1">
        <v>3</v>
      </c>
      <c r="G72" s="7">
        <f t="shared" si="8"/>
        <v>0</v>
      </c>
      <c r="H72" s="7">
        <f t="shared" si="11"/>
        <v>1</v>
      </c>
      <c r="I72" s="7">
        <f t="shared" si="12"/>
        <v>1</v>
      </c>
      <c r="J72" s="7">
        <f t="shared" si="12"/>
        <v>0</v>
      </c>
      <c r="K72" s="7">
        <f t="shared" si="12"/>
        <v>0</v>
      </c>
      <c r="L72" s="11">
        <v>17663.144199999999</v>
      </c>
      <c r="M72" s="12" cm="1">
        <f t="array" ref="M72">IF(($R$34+SUMPRODUCT(TRANSPOSE(D72:K72),$R$35:$R$42))&lt;0,"-",$R$34+SUMPRODUCT(TRANSPOSE(D72:K72),$R$35:$R$42))</f>
        <v>27495.998081043748</v>
      </c>
      <c r="N72" s="13">
        <f t="shared" si="9"/>
        <v>15371.793504008625</v>
      </c>
      <c r="O72" s="13">
        <f t="shared" si="10"/>
        <v>39620.202658078873</v>
      </c>
      <c r="T72" s="52"/>
      <c r="U72" s="52"/>
      <c r="V72" s="52"/>
      <c r="W72" s="52"/>
      <c r="X72" s="52"/>
      <c r="Y72" s="52"/>
      <c r="Z72" s="52"/>
      <c r="AA72" s="52"/>
    </row>
    <row r="73" spans="1:31" x14ac:dyDescent="0.25">
      <c r="A73" s="1" t="s">
        <v>0</v>
      </c>
      <c r="B73" s="1" t="s">
        <v>1</v>
      </c>
      <c r="C73" s="1" t="s">
        <v>5</v>
      </c>
      <c r="D73" s="1">
        <v>27</v>
      </c>
      <c r="E73" s="1">
        <v>24.75</v>
      </c>
      <c r="F73" s="1">
        <v>0</v>
      </c>
      <c r="G73" s="7">
        <f t="shared" si="8"/>
        <v>1</v>
      </c>
      <c r="H73" s="7">
        <f t="shared" si="11"/>
        <v>1</v>
      </c>
      <c r="I73" s="7">
        <f t="shared" si="12"/>
        <v>1</v>
      </c>
      <c r="J73" s="7">
        <f t="shared" si="12"/>
        <v>0</v>
      </c>
      <c r="K73" s="7">
        <f t="shared" si="12"/>
        <v>0</v>
      </c>
      <c r="L73" s="11">
        <v>16577.779500000001</v>
      </c>
      <c r="M73" s="12" cm="1">
        <f t="array" ref="M73">IF(($R$34+SUMPRODUCT(TRANSPOSE(D73:K73),$R$35:$R$42))&lt;0,"-",$R$34+SUMPRODUCT(TRANSPOSE(D73:K73),$R$35:$R$42))</f>
        <v>26205.133411734452</v>
      </c>
      <c r="N73" s="13">
        <f t="shared" si="9"/>
        <v>14080.928834699329</v>
      </c>
      <c r="O73" s="13">
        <f t="shared" si="10"/>
        <v>38329.337988769577</v>
      </c>
      <c r="T73" s="52"/>
      <c r="U73" s="52"/>
      <c r="V73" s="52"/>
      <c r="W73" s="52"/>
      <c r="X73" s="52"/>
      <c r="Y73" s="52"/>
      <c r="Z73" s="52"/>
      <c r="AA73" s="52"/>
    </row>
    <row r="74" spans="1:31" x14ac:dyDescent="0.25">
      <c r="A74" s="1" t="s">
        <v>3</v>
      </c>
      <c r="B74" s="1" t="s">
        <v>4</v>
      </c>
      <c r="C74" s="1" t="s">
        <v>7</v>
      </c>
      <c r="D74" s="1">
        <v>31</v>
      </c>
      <c r="E74" s="1">
        <v>28.5</v>
      </c>
      <c r="F74" s="1">
        <v>5</v>
      </c>
      <c r="G74" s="7">
        <f t="shared" si="8"/>
        <v>0</v>
      </c>
      <c r="H74" s="7">
        <f t="shared" si="11"/>
        <v>0</v>
      </c>
      <c r="I74" s="7">
        <f t="shared" si="12"/>
        <v>0</v>
      </c>
      <c r="J74" s="7">
        <f t="shared" si="12"/>
        <v>0</v>
      </c>
      <c r="K74" s="7">
        <f t="shared" si="12"/>
        <v>1</v>
      </c>
      <c r="L74" s="11">
        <v>6799.4579999999996</v>
      </c>
      <c r="M74" s="12" cm="1">
        <f t="array" ref="M74">IF(($R$34+SUMPRODUCT(TRANSPOSE(D74:K74),$R$35:$R$42))&lt;0,"-",$R$34+SUMPRODUCT(TRANSPOSE(D74:K74),$R$35:$R$42))</f>
        <v>7937.2101467500761</v>
      </c>
      <c r="N74" s="13" t="str">
        <f t="shared" si="9"/>
        <v>-</v>
      </c>
      <c r="O74" s="13">
        <f t="shared" si="10"/>
        <v>20061.414723785201</v>
      </c>
      <c r="T74" s="52"/>
      <c r="U74" s="52"/>
      <c r="V74" s="52"/>
      <c r="W74" s="52"/>
      <c r="X74" s="52"/>
      <c r="Y74" s="52"/>
      <c r="Z74" s="52"/>
      <c r="AA74" s="52"/>
    </row>
    <row r="75" spans="1:31" x14ac:dyDescent="0.25">
      <c r="A75" s="1" t="s">
        <v>0</v>
      </c>
      <c r="B75" s="1" t="s">
        <v>4</v>
      </c>
      <c r="C75" s="1" t="s">
        <v>2</v>
      </c>
      <c r="D75" s="1">
        <v>53</v>
      </c>
      <c r="E75" s="1">
        <v>28.1</v>
      </c>
      <c r="F75" s="1">
        <v>3</v>
      </c>
      <c r="G75" s="7">
        <f t="shared" si="8"/>
        <v>1</v>
      </c>
      <c r="H75" s="7">
        <f t="shared" si="11"/>
        <v>0</v>
      </c>
      <c r="I75" s="7">
        <f t="shared" si="12"/>
        <v>0</v>
      </c>
      <c r="J75" s="7">
        <f t="shared" si="12"/>
        <v>0</v>
      </c>
      <c r="K75" s="7">
        <f t="shared" si="12"/>
        <v>0</v>
      </c>
      <c r="L75" s="11">
        <v>11741.726000000001</v>
      </c>
      <c r="M75" s="12" cm="1">
        <f t="array" ref="M75">IF(($R$34+SUMPRODUCT(TRANSPOSE(D75:K75),$R$35:$R$42))&lt;0,"-",$R$34+SUMPRODUCT(TRANSPOSE(D75:K75),$R$35:$R$42))</f>
        <v>11672.634798923405</v>
      </c>
      <c r="N75" s="13" t="str">
        <f t="shared" si="9"/>
        <v>-</v>
      </c>
      <c r="O75" s="13">
        <f t="shared" si="10"/>
        <v>23796.839375958531</v>
      </c>
      <c r="T75" s="52"/>
      <c r="U75" s="52"/>
      <c r="V75" s="52"/>
      <c r="W75" s="52"/>
      <c r="X75" s="52"/>
      <c r="Y75" s="52"/>
      <c r="Z75" s="52"/>
      <c r="AA75" s="52"/>
    </row>
    <row r="76" spans="1:31" x14ac:dyDescent="0.25">
      <c r="A76" s="1" t="s">
        <v>3</v>
      </c>
      <c r="B76" s="1" t="s">
        <v>4</v>
      </c>
      <c r="C76" s="1" t="s">
        <v>5</v>
      </c>
      <c r="D76" s="1">
        <v>58</v>
      </c>
      <c r="E76" s="1">
        <v>32.01</v>
      </c>
      <c r="F76" s="1">
        <v>1</v>
      </c>
      <c r="G76" s="7">
        <f t="shared" si="8"/>
        <v>0</v>
      </c>
      <c r="H76" s="7">
        <f t="shared" si="11"/>
        <v>0</v>
      </c>
      <c r="I76" s="7">
        <f t="shared" si="12"/>
        <v>1</v>
      </c>
      <c r="J76" s="7">
        <f t="shared" si="12"/>
        <v>0</v>
      </c>
      <c r="K76" s="7">
        <f t="shared" si="12"/>
        <v>0</v>
      </c>
      <c r="L76" s="11">
        <v>11946.625899999999</v>
      </c>
      <c r="M76" s="12" cm="1">
        <f t="array" ref="M76">IF(($R$34+SUMPRODUCT(TRANSPOSE(D76:K76),$R$35:$R$42))&lt;0,"-",$R$34+SUMPRODUCT(TRANSPOSE(D76:K76),$R$35:$R$42))</f>
        <v>13125.876457448172</v>
      </c>
      <c r="N76" s="13">
        <f t="shared" si="9"/>
        <v>1001.6718804130487</v>
      </c>
      <c r="O76" s="13">
        <f t="shared" si="10"/>
        <v>25250.081034483293</v>
      </c>
    </row>
    <row r="77" spans="1:31" x14ac:dyDescent="0.25">
      <c r="A77" s="1" t="s">
        <v>3</v>
      </c>
      <c r="B77" s="1" t="s">
        <v>4</v>
      </c>
      <c r="C77" s="1" t="s">
        <v>2</v>
      </c>
      <c r="D77" s="1">
        <v>44</v>
      </c>
      <c r="E77" s="1">
        <v>27.4</v>
      </c>
      <c r="F77" s="1">
        <v>2</v>
      </c>
      <c r="G77" s="7">
        <f t="shared" si="8"/>
        <v>0</v>
      </c>
      <c r="H77" s="7">
        <f t="shared" si="11"/>
        <v>0</v>
      </c>
      <c r="I77" s="7">
        <f t="shared" si="12"/>
        <v>0</v>
      </c>
      <c r="J77" s="7">
        <f t="shared" si="12"/>
        <v>0</v>
      </c>
      <c r="K77" s="7">
        <f t="shared" si="12"/>
        <v>0</v>
      </c>
      <c r="L77" s="11">
        <v>7726.8540000000003</v>
      </c>
      <c r="M77" s="12" cm="1">
        <f t="array" ref="M77">IF(($R$34+SUMPRODUCT(TRANSPOSE(D77:K77),$R$35:$R$42))&lt;0,"-",$R$34+SUMPRODUCT(TRANSPOSE(D77:K77),$R$35:$R$42))</f>
        <v>8516.6773040154476</v>
      </c>
      <c r="N77" s="13" t="str">
        <f t="shared" si="9"/>
        <v>-</v>
      </c>
      <c r="O77" s="13">
        <f t="shared" si="10"/>
        <v>20640.881881050569</v>
      </c>
      <c r="W77" s="18" t="s">
        <v>10</v>
      </c>
      <c r="X77" s="18" t="s">
        <v>61</v>
      </c>
    </row>
    <row r="78" spans="1:31" x14ac:dyDescent="0.25">
      <c r="A78" s="1" t="s">
        <v>3</v>
      </c>
      <c r="B78" s="1" t="s">
        <v>4</v>
      </c>
      <c r="C78" s="1" t="s">
        <v>6</v>
      </c>
      <c r="D78" s="1">
        <v>57</v>
      </c>
      <c r="E78" s="1">
        <v>34.01</v>
      </c>
      <c r="F78" s="1">
        <v>0</v>
      </c>
      <c r="G78" s="7">
        <f t="shared" si="8"/>
        <v>0</v>
      </c>
      <c r="H78" s="7">
        <f t="shared" si="11"/>
        <v>0</v>
      </c>
      <c r="I78" s="7">
        <f t="shared" si="12"/>
        <v>0</v>
      </c>
      <c r="J78" s="7">
        <f t="shared" si="12"/>
        <v>1</v>
      </c>
      <c r="K78" s="7">
        <f t="shared" si="12"/>
        <v>0</v>
      </c>
      <c r="L78" s="11">
        <v>11356.660900000001</v>
      </c>
      <c r="M78" s="12" cm="1">
        <f t="array" ref="M78">IF(($R$34+SUMPRODUCT(TRANSPOSE(D78:K78),$R$35:$R$42))&lt;0,"-",$R$34+SUMPRODUCT(TRANSPOSE(D78:K78),$R$35:$R$42))</f>
        <v>13753.964616946549</v>
      </c>
      <c r="N78" s="13">
        <f t="shared" si="9"/>
        <v>1629.7600399114253</v>
      </c>
      <c r="O78" s="13">
        <f t="shared" si="10"/>
        <v>25878.169193981674</v>
      </c>
      <c r="W78" s="18" t="s">
        <v>69</v>
      </c>
      <c r="X78" s="19">
        <f>AVERAGEIFS($L$3:$L$1340,$E$3:$E$1340, "&lt;21")</f>
        <v>8427.0116209374992</v>
      </c>
    </row>
    <row r="79" spans="1:31" x14ac:dyDescent="0.25">
      <c r="A79" s="1" t="s">
        <v>0</v>
      </c>
      <c r="B79" s="1" t="s">
        <v>4</v>
      </c>
      <c r="C79" s="1" t="s">
        <v>5</v>
      </c>
      <c r="D79" s="1">
        <v>29</v>
      </c>
      <c r="E79" s="1">
        <v>29.59</v>
      </c>
      <c r="F79" s="1">
        <v>1</v>
      </c>
      <c r="G79" s="7">
        <f t="shared" si="8"/>
        <v>1</v>
      </c>
      <c r="H79" s="7">
        <f t="shared" si="11"/>
        <v>0</v>
      </c>
      <c r="I79" s="7">
        <f t="shared" si="12"/>
        <v>1</v>
      </c>
      <c r="J79" s="7">
        <f t="shared" si="12"/>
        <v>0</v>
      </c>
      <c r="K79" s="7">
        <f t="shared" si="12"/>
        <v>0</v>
      </c>
      <c r="L79" s="11">
        <v>3947.4131000000002</v>
      </c>
      <c r="M79" s="12" cm="1">
        <f t="array" ref="M79">IF(($R$34+SUMPRODUCT(TRANSPOSE(D79:K79),$R$35:$R$42))&lt;0,"-",$R$34+SUMPRODUCT(TRANSPOSE(D79:K79),$R$35:$R$42))</f>
        <v>4987.5084355219551</v>
      </c>
      <c r="N79" s="13" t="str">
        <f t="shared" si="9"/>
        <v>-</v>
      </c>
      <c r="O79" s="13">
        <f t="shared" si="10"/>
        <v>17111.713012557077</v>
      </c>
      <c r="W79" s="18" t="s">
        <v>74</v>
      </c>
      <c r="X79" s="19">
        <f>AVERAGEIFS($L$3:$L$1340,$E$3:$E$1340,"&lt;26",$E$3:$E$1340,"&gt;=11")</f>
        <v>10368.051867728705</v>
      </c>
    </row>
    <row r="80" spans="1:31" x14ac:dyDescent="0.25">
      <c r="A80" s="1" t="s">
        <v>3</v>
      </c>
      <c r="B80" s="1" t="s">
        <v>4</v>
      </c>
      <c r="C80" s="1" t="s">
        <v>5</v>
      </c>
      <c r="D80" s="1">
        <v>21</v>
      </c>
      <c r="E80" s="1">
        <v>35.53</v>
      </c>
      <c r="F80" s="1">
        <v>0</v>
      </c>
      <c r="G80" s="7">
        <f t="shared" si="8"/>
        <v>0</v>
      </c>
      <c r="H80" s="7">
        <f t="shared" si="11"/>
        <v>0</v>
      </c>
      <c r="I80" s="7">
        <f t="shared" si="12"/>
        <v>1</v>
      </c>
      <c r="J80" s="7">
        <f t="shared" si="12"/>
        <v>0</v>
      </c>
      <c r="K80" s="7">
        <f t="shared" si="12"/>
        <v>0</v>
      </c>
      <c r="L80" s="11">
        <v>1532.4697000000001</v>
      </c>
      <c r="M80" s="12" cm="1">
        <f t="array" ref="M80">IF(($R$34+SUMPRODUCT(TRANSPOSE(D80:K80),$R$35:$R$42))&lt;0,"-",$R$34+SUMPRODUCT(TRANSPOSE(D80:K80),$R$35:$R$42))</f>
        <v>4340.6518251273228</v>
      </c>
      <c r="N80" s="13" t="str">
        <f t="shared" si="9"/>
        <v>-</v>
      </c>
      <c r="O80" s="13">
        <f t="shared" si="10"/>
        <v>16464.856402162448</v>
      </c>
      <c r="W80" s="18" t="s">
        <v>73</v>
      </c>
      <c r="X80" s="19">
        <f>AVERAGEIFS($L$3:$L$1340,$E$3:$E$1340,"&lt;31",$E$3:$E$1340,"&gt;=26")</f>
        <v>11753.739033182716</v>
      </c>
    </row>
    <row r="81" spans="1:31" x14ac:dyDescent="0.25">
      <c r="A81" s="1" t="s">
        <v>0</v>
      </c>
      <c r="B81" s="1" t="s">
        <v>4</v>
      </c>
      <c r="C81" s="1" t="s">
        <v>7</v>
      </c>
      <c r="D81" s="1">
        <v>22</v>
      </c>
      <c r="E81" s="1">
        <v>39.805</v>
      </c>
      <c r="F81" s="1">
        <v>0</v>
      </c>
      <c r="G81" s="7">
        <f t="shared" si="8"/>
        <v>1</v>
      </c>
      <c r="H81" s="7">
        <f t="shared" si="11"/>
        <v>0</v>
      </c>
      <c r="I81" s="7">
        <f t="shared" si="12"/>
        <v>0</v>
      </c>
      <c r="J81" s="7">
        <f t="shared" si="12"/>
        <v>0</v>
      </c>
      <c r="K81" s="7">
        <f t="shared" si="12"/>
        <v>1</v>
      </c>
      <c r="L81" s="11">
        <v>2755.0209500000001</v>
      </c>
      <c r="M81" s="12" cm="1">
        <f t="array" ref="M81">IF(($R$34+SUMPRODUCT(TRANSPOSE(D81:K81),$R$35:$R$42))&lt;0,"-",$R$34+SUMPRODUCT(TRANSPOSE(D81:K81),$R$35:$R$42))</f>
        <v>7213.8966006339324</v>
      </c>
      <c r="N81" s="13" t="str">
        <f t="shared" si="9"/>
        <v>-</v>
      </c>
      <c r="O81" s="13">
        <f t="shared" si="10"/>
        <v>19338.101177669058</v>
      </c>
      <c r="W81" s="18" t="s">
        <v>72</v>
      </c>
      <c r="X81" s="19">
        <f>AVERAGEIFS($L$3:$L$1340,$E$3:$E$1340,"&lt;36",$E$3:$E$1340,"&gt;=31")</f>
        <v>14941.04807591037</v>
      </c>
    </row>
    <row r="82" spans="1:31" x14ac:dyDescent="0.25">
      <c r="A82" s="1" t="s">
        <v>0</v>
      </c>
      <c r="B82" s="1" t="s">
        <v>4</v>
      </c>
      <c r="C82" s="1" t="s">
        <v>6</v>
      </c>
      <c r="D82" s="1">
        <v>41</v>
      </c>
      <c r="E82" s="1">
        <v>32.965000000000003</v>
      </c>
      <c r="F82" s="1">
        <v>0</v>
      </c>
      <c r="G82" s="7">
        <f t="shared" si="8"/>
        <v>1</v>
      </c>
      <c r="H82" s="7">
        <f t="shared" si="11"/>
        <v>0</v>
      </c>
      <c r="I82" s="7">
        <f t="shared" si="12"/>
        <v>0</v>
      </c>
      <c r="J82" s="7">
        <f t="shared" si="12"/>
        <v>1</v>
      </c>
      <c r="K82" s="7">
        <f t="shared" si="12"/>
        <v>0</v>
      </c>
      <c r="L82" s="11">
        <v>6571.0243499999997</v>
      </c>
      <c r="M82" s="12" cm="1">
        <f t="array" ref="M82">IF(($R$34+SUMPRODUCT(TRANSPOSE(D82:K82),$R$35:$R$42))&lt;0,"-",$R$34+SUMPRODUCT(TRANSPOSE(D82:K82),$R$35:$R$42))</f>
        <v>9421.1201767207604</v>
      </c>
      <c r="N82" s="13" t="str">
        <f t="shared" si="9"/>
        <v>-</v>
      </c>
      <c r="O82" s="13">
        <f t="shared" si="10"/>
        <v>21545.324753755885</v>
      </c>
      <c r="W82" s="18" t="s">
        <v>71</v>
      </c>
      <c r="X82" s="19">
        <f>AVERAGEIFS($L$3:$L$1340,$E$3:$E$1340,"&lt;41",$E$3:$E$1340,"&gt;=36")</f>
        <v>16804.031521518307</v>
      </c>
    </row>
    <row r="83" spans="1:31" x14ac:dyDescent="0.25">
      <c r="A83" s="1" t="s">
        <v>3</v>
      </c>
      <c r="B83" s="1" t="s">
        <v>4</v>
      </c>
      <c r="C83" s="1" t="s">
        <v>7</v>
      </c>
      <c r="D83" s="1">
        <v>31</v>
      </c>
      <c r="E83" s="1">
        <v>26.885000000000002</v>
      </c>
      <c r="F83" s="1">
        <v>1</v>
      </c>
      <c r="G83" s="7">
        <f t="shared" si="8"/>
        <v>0</v>
      </c>
      <c r="H83" s="7">
        <f t="shared" si="11"/>
        <v>0</v>
      </c>
      <c r="I83" s="7">
        <f t="shared" si="12"/>
        <v>0</v>
      </c>
      <c r="J83" s="7">
        <f t="shared" si="12"/>
        <v>0</v>
      </c>
      <c r="K83" s="7">
        <f t="shared" si="12"/>
        <v>1</v>
      </c>
      <c r="L83" s="11">
        <v>4441.2131499999996</v>
      </c>
      <c r="M83" s="12" cm="1">
        <f t="array" ref="M83">IF(($R$34+SUMPRODUCT(TRANSPOSE(D83:K83),$R$35:$R$42))&lt;0,"-",$R$34+SUMPRODUCT(TRANSPOSE(D83:K83),$R$35:$R$42))</f>
        <v>5487.4105385720395</v>
      </c>
      <c r="N83" s="13" t="str">
        <f t="shared" si="9"/>
        <v>-</v>
      </c>
      <c r="O83" s="13">
        <f t="shared" si="10"/>
        <v>17611.615115607165</v>
      </c>
      <c r="W83" s="18" t="s">
        <v>70</v>
      </c>
      <c r="X83" s="19">
        <f>AVERAGEIFS($L$3:$L$1340,$E$3:$E$1340,"&gt;=41")</f>
        <v>17137.706713823532</v>
      </c>
    </row>
    <row r="84" spans="1:31" x14ac:dyDescent="0.25">
      <c r="A84" s="1" t="s">
        <v>0</v>
      </c>
      <c r="B84" s="1" t="s">
        <v>4</v>
      </c>
      <c r="C84" s="1" t="s">
        <v>7</v>
      </c>
      <c r="D84" s="1">
        <v>45</v>
      </c>
      <c r="E84" s="1">
        <v>38.284999999999997</v>
      </c>
      <c r="F84" s="1">
        <v>0</v>
      </c>
      <c r="G84" s="7">
        <f t="shared" si="8"/>
        <v>1</v>
      </c>
      <c r="H84" s="7">
        <f t="shared" si="11"/>
        <v>0</v>
      </c>
      <c r="I84" s="7">
        <f t="shared" si="12"/>
        <v>0</v>
      </c>
      <c r="J84" s="7">
        <f t="shared" si="12"/>
        <v>0</v>
      </c>
      <c r="K84" s="7">
        <f t="shared" si="12"/>
        <v>1</v>
      </c>
      <c r="L84" s="11">
        <v>7935.29115</v>
      </c>
      <c r="M84" s="12" cm="1">
        <f t="array" ref="M84">IF(($R$34+SUMPRODUCT(TRANSPOSE(D84:K84),$R$35:$R$42))&lt;0,"-",$R$34+SUMPRODUCT(TRANSPOSE(D84:K84),$R$35:$R$42))</f>
        <v>12606.018659504458</v>
      </c>
      <c r="N84" s="13">
        <f t="shared" si="9"/>
        <v>481.81408246933461</v>
      </c>
      <c r="O84" s="13">
        <f t="shared" si="10"/>
        <v>24730.223236539583</v>
      </c>
    </row>
    <row r="85" spans="1:31" x14ac:dyDescent="0.25">
      <c r="A85" s="1" t="s">
        <v>3</v>
      </c>
      <c r="B85" s="1" t="s">
        <v>1</v>
      </c>
      <c r="C85" s="1" t="s">
        <v>5</v>
      </c>
      <c r="D85" s="1">
        <v>22</v>
      </c>
      <c r="E85" s="1">
        <v>37.619999999999997</v>
      </c>
      <c r="F85" s="1">
        <v>1</v>
      </c>
      <c r="G85" s="7">
        <f t="shared" si="8"/>
        <v>0</v>
      </c>
      <c r="H85" s="7">
        <f t="shared" si="11"/>
        <v>1</v>
      </c>
      <c r="I85" s="7">
        <f t="shared" si="12"/>
        <v>1</v>
      </c>
      <c r="J85" s="7">
        <f t="shared" si="12"/>
        <v>0</v>
      </c>
      <c r="K85" s="7">
        <f t="shared" si="12"/>
        <v>0</v>
      </c>
      <c r="L85" s="11">
        <v>37165.163800000002</v>
      </c>
      <c r="M85" s="12" cm="1">
        <f t="array" ref="M85">IF(($R$34+SUMPRODUCT(TRANSPOSE(D85:K85),$R$35:$R$42))&lt;0,"-",$R$34+SUMPRODUCT(TRANSPOSE(D85:K85),$R$35:$R$42))</f>
        <v>29630.457582773255</v>
      </c>
      <c r="N85" s="13">
        <f t="shared" si="9"/>
        <v>17506.25300573813</v>
      </c>
      <c r="O85" s="13">
        <f t="shared" si="10"/>
        <v>41754.66215980838</v>
      </c>
    </row>
    <row r="86" spans="1:31" x14ac:dyDescent="0.25">
      <c r="A86" s="1" t="s">
        <v>0</v>
      </c>
      <c r="B86" s="1" t="s">
        <v>4</v>
      </c>
      <c r="C86" s="1" t="s">
        <v>6</v>
      </c>
      <c r="D86" s="1">
        <v>48</v>
      </c>
      <c r="E86" s="1">
        <v>41.23</v>
      </c>
      <c r="F86" s="1">
        <v>4</v>
      </c>
      <c r="G86" s="7">
        <f t="shared" si="8"/>
        <v>1</v>
      </c>
      <c r="H86" s="7">
        <f t="shared" si="11"/>
        <v>0</v>
      </c>
      <c r="I86" s="7">
        <f t="shared" si="12"/>
        <v>0</v>
      </c>
      <c r="J86" s="7">
        <f t="shared" si="12"/>
        <v>1</v>
      </c>
      <c r="K86" s="7">
        <f t="shared" si="12"/>
        <v>0</v>
      </c>
      <c r="L86" s="11">
        <v>11033.661700000001</v>
      </c>
      <c r="M86" s="12" cm="1">
        <f t="array" ref="M86">IF(($R$34+SUMPRODUCT(TRANSPOSE(D86:K86),$R$35:$R$42))&lt;0,"-",$R$34+SUMPRODUCT(TRANSPOSE(D86:K86),$R$35:$R$42))</f>
        <v>15924.550719172315</v>
      </c>
      <c r="N86" s="13">
        <f t="shared" si="9"/>
        <v>3800.3461421371921</v>
      </c>
      <c r="O86" s="13">
        <f t="shared" si="10"/>
        <v>28048.755296207441</v>
      </c>
    </row>
    <row r="87" spans="1:31" ht="15.75" thickBot="1" x14ac:dyDescent="0.3">
      <c r="A87" s="1" t="s">
        <v>0</v>
      </c>
      <c r="B87" s="1" t="s">
        <v>1</v>
      </c>
      <c r="C87" s="1" t="s">
        <v>2</v>
      </c>
      <c r="D87" s="1">
        <v>37</v>
      </c>
      <c r="E87" s="1">
        <v>34.799999999999997</v>
      </c>
      <c r="F87" s="1">
        <v>2</v>
      </c>
      <c r="G87" s="7">
        <f t="shared" si="8"/>
        <v>1</v>
      </c>
      <c r="H87" s="7">
        <f t="shared" si="11"/>
        <v>1</v>
      </c>
      <c r="I87" s="7">
        <f t="shared" si="12"/>
        <v>0</v>
      </c>
      <c r="J87" s="7">
        <f t="shared" si="12"/>
        <v>0</v>
      </c>
      <c r="K87" s="7">
        <f t="shared" si="12"/>
        <v>0</v>
      </c>
      <c r="L87" s="11">
        <v>39836.519</v>
      </c>
      <c r="M87" s="12" cm="1">
        <f t="array" ref="M87">IF(($R$34+SUMPRODUCT(TRANSPOSE(D87:K87),$R$35:$R$42))&lt;0,"-",$R$34+SUMPRODUCT(TRANSPOSE(D87:K87),$R$35:$R$42))</f>
        <v>33208.563294282125</v>
      </c>
      <c r="N87" s="13">
        <f t="shared" si="9"/>
        <v>21084.358717247</v>
      </c>
      <c r="O87" s="13">
        <f t="shared" si="10"/>
        <v>45332.76787131725</v>
      </c>
    </row>
    <row r="88" spans="1:31" x14ac:dyDescent="0.25">
      <c r="A88" s="1" t="s">
        <v>3</v>
      </c>
      <c r="B88" s="1" t="s">
        <v>1</v>
      </c>
      <c r="C88" s="1" t="s">
        <v>6</v>
      </c>
      <c r="D88" s="1">
        <v>45</v>
      </c>
      <c r="E88" s="1">
        <v>22.895</v>
      </c>
      <c r="F88" s="1">
        <v>2</v>
      </c>
      <c r="G88" s="7">
        <f t="shared" si="8"/>
        <v>0</v>
      </c>
      <c r="H88" s="7">
        <f t="shared" si="11"/>
        <v>1</v>
      </c>
      <c r="I88" s="7">
        <f t="shared" si="12"/>
        <v>0</v>
      </c>
      <c r="J88" s="7">
        <f t="shared" si="12"/>
        <v>1</v>
      </c>
      <c r="K88" s="7">
        <f t="shared" si="12"/>
        <v>0</v>
      </c>
      <c r="L88" s="11">
        <v>21098.554049999999</v>
      </c>
      <c r="M88" s="12" cm="1">
        <f t="array" ref="M88">IF(($R$34+SUMPRODUCT(TRANSPOSE(D88:K88),$R$35:$R$42))&lt;0,"-",$R$34+SUMPRODUCT(TRANSPOSE(D88:K88),$R$35:$R$42))</f>
        <v>31701.088781824939</v>
      </c>
      <c r="N88" s="13">
        <f t="shared" si="9"/>
        <v>19576.884204789814</v>
      </c>
      <c r="O88" s="13">
        <f t="shared" si="10"/>
        <v>43825.293358860064</v>
      </c>
      <c r="Q88" s="35" t="s">
        <v>82</v>
      </c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7"/>
    </row>
    <row r="89" spans="1:31" x14ac:dyDescent="0.25">
      <c r="A89" s="1" t="s">
        <v>0</v>
      </c>
      <c r="B89" s="1" t="s">
        <v>1</v>
      </c>
      <c r="C89" s="1" t="s">
        <v>6</v>
      </c>
      <c r="D89" s="1">
        <v>57</v>
      </c>
      <c r="E89" s="1">
        <v>31.16</v>
      </c>
      <c r="F89" s="1">
        <v>0</v>
      </c>
      <c r="G89" s="7">
        <f t="shared" si="8"/>
        <v>1</v>
      </c>
      <c r="H89" s="7">
        <f t="shared" si="11"/>
        <v>1</v>
      </c>
      <c r="I89" s="7">
        <f t="shared" si="12"/>
        <v>0</v>
      </c>
      <c r="J89" s="7">
        <f t="shared" si="12"/>
        <v>1</v>
      </c>
      <c r="K89" s="7">
        <f t="shared" si="12"/>
        <v>0</v>
      </c>
      <c r="L89" s="11">
        <v>43578.939400000003</v>
      </c>
      <c r="M89" s="12" cm="1">
        <f t="array" ref="M89">IF(($R$34+SUMPRODUCT(TRANSPOSE(D89:K89),$R$35:$R$42))&lt;0,"-",$R$34+SUMPRODUCT(TRANSPOSE(D89:K89),$R$35:$R$42))</f>
        <v>36767.112175463553</v>
      </c>
      <c r="N89" s="13">
        <f t="shared" si="9"/>
        <v>24642.907598428428</v>
      </c>
      <c r="O89" s="13">
        <f t="shared" si="10"/>
        <v>48891.316752498678</v>
      </c>
      <c r="Q89" s="38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40"/>
    </row>
    <row r="90" spans="1:31" ht="15.75" thickBot="1" x14ac:dyDescent="0.3">
      <c r="A90" s="1" t="s">
        <v>0</v>
      </c>
      <c r="B90" s="1" t="s">
        <v>4</v>
      </c>
      <c r="C90" s="1" t="s">
        <v>2</v>
      </c>
      <c r="D90" s="1">
        <v>56</v>
      </c>
      <c r="E90" s="1">
        <v>27.2</v>
      </c>
      <c r="F90" s="1">
        <v>0</v>
      </c>
      <c r="G90" s="7">
        <f t="shared" si="8"/>
        <v>1</v>
      </c>
      <c r="H90" s="7">
        <f t="shared" si="11"/>
        <v>0</v>
      </c>
      <c r="I90" s="7">
        <f t="shared" si="12"/>
        <v>0</v>
      </c>
      <c r="J90" s="7">
        <f t="shared" si="12"/>
        <v>0</v>
      </c>
      <c r="K90" s="7">
        <f t="shared" si="12"/>
        <v>0</v>
      </c>
      <c r="L90" s="11">
        <v>11073.175999999999</v>
      </c>
      <c r="M90" s="12" cm="1">
        <f t="array" ref="M90">IF(($R$34+SUMPRODUCT(TRANSPOSE(D90:K90),$R$35:$R$42))&lt;0,"-",$R$34+SUMPRODUCT(TRANSPOSE(D90:K90),$R$35:$R$42))</f>
        <v>10711.428112838297</v>
      </c>
      <c r="N90" s="13" t="str">
        <f t="shared" si="9"/>
        <v>-</v>
      </c>
      <c r="O90" s="13">
        <f t="shared" si="10"/>
        <v>22835.632689873419</v>
      </c>
      <c r="Q90" s="41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3"/>
    </row>
    <row r="91" spans="1:31" x14ac:dyDescent="0.25">
      <c r="A91" s="1" t="s">
        <v>0</v>
      </c>
      <c r="B91" s="1" t="s">
        <v>4</v>
      </c>
      <c r="C91" s="1" t="s">
        <v>6</v>
      </c>
      <c r="D91" s="1">
        <v>46</v>
      </c>
      <c r="E91" s="1">
        <v>27.74</v>
      </c>
      <c r="F91" s="1">
        <v>0</v>
      </c>
      <c r="G91" s="7">
        <f t="shared" si="8"/>
        <v>1</v>
      </c>
      <c r="H91" s="7">
        <f t="shared" si="11"/>
        <v>0</v>
      </c>
      <c r="I91" s="7">
        <f t="shared" si="12"/>
        <v>0</v>
      </c>
      <c r="J91" s="7">
        <f t="shared" si="12"/>
        <v>1</v>
      </c>
      <c r="K91" s="7">
        <f t="shared" si="12"/>
        <v>0</v>
      </c>
      <c r="L91" s="11">
        <v>8026.6665999999996</v>
      </c>
      <c r="M91" s="12" cm="1">
        <f t="array" ref="M91">IF(($R$34+SUMPRODUCT(TRANSPOSE(D91:K91),$R$35:$R$42))&lt;0,"-",$R$34+SUMPRODUCT(TRANSPOSE(D91:K91),$R$35:$R$42))</f>
        <v>8933.1161442908597</v>
      </c>
      <c r="N91" s="13" t="str">
        <f t="shared" si="9"/>
        <v>-</v>
      </c>
      <c r="O91" s="13">
        <f t="shared" si="10"/>
        <v>21057.320721325981</v>
      </c>
    </row>
    <row r="92" spans="1:31" x14ac:dyDescent="0.25">
      <c r="A92" s="1" t="s">
        <v>0</v>
      </c>
      <c r="B92" s="1" t="s">
        <v>4</v>
      </c>
      <c r="C92" s="1" t="s">
        <v>6</v>
      </c>
      <c r="D92" s="1">
        <v>55</v>
      </c>
      <c r="E92" s="1">
        <v>26.98</v>
      </c>
      <c r="F92" s="1">
        <v>0</v>
      </c>
      <c r="G92" s="7">
        <f t="shared" si="8"/>
        <v>1</v>
      </c>
      <c r="H92" s="7">
        <f t="shared" si="11"/>
        <v>0</v>
      </c>
      <c r="I92" s="7">
        <f t="shared" si="12"/>
        <v>0</v>
      </c>
      <c r="J92" s="7">
        <f t="shared" si="12"/>
        <v>1</v>
      </c>
      <c r="K92" s="7">
        <f t="shared" si="12"/>
        <v>0</v>
      </c>
      <c r="L92" s="11">
        <v>11082.5772</v>
      </c>
      <c r="M92" s="12" cm="1">
        <f t="array" ref="M92">IF(($R$34+SUMPRODUCT(TRANSPOSE(D92:K92),$R$35:$R$42))&lt;0,"-",$R$34+SUMPRODUCT(TRANSPOSE(D92:K92),$R$35:$R$42))</f>
        <v>10987.036292382752</v>
      </c>
      <c r="N92" s="13" t="str">
        <f t="shared" si="9"/>
        <v>-</v>
      </c>
      <c r="O92" s="13">
        <f t="shared" si="10"/>
        <v>23111.240869417874</v>
      </c>
    </row>
    <row r="93" spans="1:31" x14ac:dyDescent="0.25">
      <c r="A93" s="1" t="s">
        <v>0</v>
      </c>
      <c r="B93" s="1" t="s">
        <v>4</v>
      </c>
      <c r="C93" s="1" t="s">
        <v>5</v>
      </c>
      <c r="D93" s="1">
        <v>21</v>
      </c>
      <c r="E93" s="1">
        <v>39.49</v>
      </c>
      <c r="F93" s="1">
        <v>0</v>
      </c>
      <c r="G93" s="7">
        <f t="shared" si="8"/>
        <v>1</v>
      </c>
      <c r="H93" s="7">
        <f t="shared" si="11"/>
        <v>0</v>
      </c>
      <c r="I93" s="7">
        <f t="shared" si="12"/>
        <v>1</v>
      </c>
      <c r="J93" s="7">
        <f t="shared" si="12"/>
        <v>0</v>
      </c>
      <c r="K93" s="7">
        <f t="shared" si="12"/>
        <v>0</v>
      </c>
      <c r="L93" s="11">
        <v>2026.9740999999999</v>
      </c>
      <c r="M93" s="12" cm="1">
        <f t="array" ref="M93">IF(($R$34+SUMPRODUCT(TRANSPOSE(D93:K93),$R$35:$R$42))&lt;0,"-",$R$34+SUMPRODUCT(TRANSPOSE(D93:K93),$R$35:$R$42))</f>
        <v>5815.1722608213531</v>
      </c>
      <c r="N93" s="13" t="str">
        <f t="shared" si="9"/>
        <v>-</v>
      </c>
      <c r="O93" s="13">
        <f t="shared" si="10"/>
        <v>17939.376837856478</v>
      </c>
      <c r="U93" s="1" t="str">
        <f>D2</f>
        <v>Age</v>
      </c>
      <c r="V93" s="1" t="str">
        <f t="shared" ref="V93:AB93" si="13">E2</f>
        <v>BMI</v>
      </c>
      <c r="W93" s="1" t="str">
        <f t="shared" si="13"/>
        <v>Children</v>
      </c>
      <c r="X93" s="1" t="str">
        <f t="shared" si="13"/>
        <v>Female</v>
      </c>
      <c r="Y93" s="1" t="str">
        <f t="shared" si="13"/>
        <v>SmokerYes</v>
      </c>
      <c r="Z93" s="1" t="str">
        <f t="shared" si="13"/>
        <v>Southeast</v>
      </c>
      <c r="AA93" s="1" t="str">
        <f t="shared" si="13"/>
        <v>Northwest</v>
      </c>
      <c r="AB93" s="1" t="str">
        <f t="shared" si="13"/>
        <v>Northeast</v>
      </c>
    </row>
    <row r="94" spans="1:31" x14ac:dyDescent="0.25">
      <c r="A94" s="1" t="s">
        <v>0</v>
      </c>
      <c r="B94" s="1" t="s">
        <v>4</v>
      </c>
      <c r="C94" s="1" t="s">
        <v>6</v>
      </c>
      <c r="D94" s="1">
        <v>53</v>
      </c>
      <c r="E94" s="1">
        <v>24.795000000000002</v>
      </c>
      <c r="F94" s="1">
        <v>1</v>
      </c>
      <c r="G94" s="7">
        <f t="shared" si="8"/>
        <v>1</v>
      </c>
      <c r="H94" s="7">
        <f t="shared" si="11"/>
        <v>0</v>
      </c>
      <c r="I94" s="7">
        <f t="shared" si="12"/>
        <v>0</v>
      </c>
      <c r="J94" s="7">
        <f t="shared" si="12"/>
        <v>1</v>
      </c>
      <c r="K94" s="7">
        <f t="shared" si="12"/>
        <v>0</v>
      </c>
      <c r="L94" s="11">
        <v>10942.13205</v>
      </c>
      <c r="M94" s="12" cm="1">
        <f t="array" ref="M94">IF(($R$34+SUMPRODUCT(TRANSPOSE(D94:K94),$R$35:$R$42))&lt;0,"-",$R$34+SUMPRODUCT(TRANSPOSE(D94:K94),$R$35:$R$42))</f>
        <v>10207.686436317505</v>
      </c>
      <c r="N94" s="13" t="str">
        <f t="shared" si="9"/>
        <v>-</v>
      </c>
      <c r="O94" s="13">
        <f t="shared" si="10"/>
        <v>22331.89101335263</v>
      </c>
      <c r="Q94" s="1" t="s">
        <v>80</v>
      </c>
      <c r="R94" s="1" t="s">
        <v>75</v>
      </c>
      <c r="T94" s="17" t="s">
        <v>75</v>
      </c>
      <c r="U94" s="21">
        <f t="shared" ref="U94:AB94" si="14">MIN(D3:D1340)</f>
        <v>18</v>
      </c>
      <c r="V94" s="21">
        <f t="shared" si="14"/>
        <v>15.96</v>
      </c>
      <c r="W94" s="21">
        <f t="shared" si="14"/>
        <v>0</v>
      </c>
      <c r="X94" s="21">
        <f t="shared" si="14"/>
        <v>0</v>
      </c>
      <c r="Y94" s="21">
        <f t="shared" si="14"/>
        <v>0</v>
      </c>
      <c r="Z94" s="21">
        <f t="shared" si="14"/>
        <v>0</v>
      </c>
      <c r="AA94" s="21">
        <f t="shared" si="14"/>
        <v>0</v>
      </c>
      <c r="AB94" s="21">
        <f t="shared" si="14"/>
        <v>0</v>
      </c>
    </row>
    <row r="95" spans="1:31" x14ac:dyDescent="0.25">
      <c r="A95" s="1" t="s">
        <v>3</v>
      </c>
      <c r="B95" s="1" t="s">
        <v>1</v>
      </c>
      <c r="C95" s="1" t="s">
        <v>7</v>
      </c>
      <c r="D95" s="1">
        <v>59</v>
      </c>
      <c r="E95" s="1">
        <v>29.83</v>
      </c>
      <c r="F95" s="1">
        <v>3</v>
      </c>
      <c r="G95" s="7">
        <f t="shared" si="8"/>
        <v>0</v>
      </c>
      <c r="H95" s="7">
        <f t="shared" si="11"/>
        <v>1</v>
      </c>
      <c r="I95" s="7">
        <f t="shared" si="12"/>
        <v>0</v>
      </c>
      <c r="J95" s="7">
        <f t="shared" si="12"/>
        <v>0</v>
      </c>
      <c r="K95" s="7">
        <f t="shared" si="12"/>
        <v>1</v>
      </c>
      <c r="L95" s="11">
        <v>30184.936699999998</v>
      </c>
      <c r="M95" s="12" cm="1">
        <f t="array" ref="M95">IF(($R$34+SUMPRODUCT(TRANSPOSE(D95:K95),$R$35:$R$42))&lt;0,"-",$R$34+SUMPRODUCT(TRANSPOSE(D95:K95),$R$35:$R$42))</f>
        <v>38477.848762712762</v>
      </c>
      <c r="N95" s="13">
        <f t="shared" si="9"/>
        <v>26353.644185677636</v>
      </c>
      <c r="O95" s="13">
        <f t="shared" si="10"/>
        <v>50602.053339747887</v>
      </c>
      <c r="Q95" s="1" t="s">
        <v>44</v>
      </c>
      <c r="R95" s="24">
        <f>$R$34</f>
        <v>-13029.903926863146</v>
      </c>
      <c r="T95" s="17" t="s">
        <v>76</v>
      </c>
      <c r="U95" s="1" t="s">
        <v>78</v>
      </c>
      <c r="V95" s="1" t="s">
        <v>78</v>
      </c>
      <c r="W95" s="1" t="s">
        <v>78</v>
      </c>
      <c r="X95" s="1" t="s">
        <v>78</v>
      </c>
      <c r="Y95" s="1" t="s">
        <v>78</v>
      </c>
      <c r="Z95" s="1" t="s">
        <v>78</v>
      </c>
      <c r="AA95" s="1" t="s">
        <v>78</v>
      </c>
      <c r="AB95" s="1" t="s">
        <v>78</v>
      </c>
      <c r="AC95" s="2" t="s">
        <v>83</v>
      </c>
      <c r="AD95" s="2" t="s">
        <v>76</v>
      </c>
      <c r="AE95" s="2" t="s">
        <v>77</v>
      </c>
    </row>
    <row r="96" spans="1:31" x14ac:dyDescent="0.25">
      <c r="A96" s="1" t="s">
        <v>3</v>
      </c>
      <c r="B96" s="1" t="s">
        <v>4</v>
      </c>
      <c r="C96" s="1" t="s">
        <v>6</v>
      </c>
      <c r="D96" s="1">
        <v>35</v>
      </c>
      <c r="E96" s="1">
        <v>34.770000000000003</v>
      </c>
      <c r="F96" s="1">
        <v>2</v>
      </c>
      <c r="G96" s="7">
        <f t="shared" si="8"/>
        <v>0</v>
      </c>
      <c r="H96" s="7">
        <f t="shared" si="11"/>
        <v>0</v>
      </c>
      <c r="I96" s="7">
        <f t="shared" si="12"/>
        <v>0</v>
      </c>
      <c r="J96" s="7">
        <f t="shared" si="12"/>
        <v>1</v>
      </c>
      <c r="K96" s="7">
        <f t="shared" si="12"/>
        <v>0</v>
      </c>
      <c r="L96" s="11">
        <v>5729.0052999999998</v>
      </c>
      <c r="M96" s="12" cm="1">
        <f t="array" ref="M96">IF(($R$34+SUMPRODUCT(TRANSPOSE(D96:K96),$R$35:$R$42))&lt;0,"-",$R$34+SUMPRODUCT(TRANSPOSE(D96:K96),$R$35:$R$42))</f>
        <v>9311.9129761673976</v>
      </c>
      <c r="N96" s="13" t="str">
        <f t="shared" si="9"/>
        <v>-</v>
      </c>
      <c r="O96" s="13">
        <f t="shared" si="10"/>
        <v>21436.117553202523</v>
      </c>
      <c r="Q96" s="1" t="s">
        <v>84</v>
      </c>
      <c r="R96" s="15">
        <f>SUMPRODUCT(U96:AB96,U99:AB99)</f>
        <v>13029.90428964127</v>
      </c>
      <c r="T96" s="17" t="s">
        <v>79</v>
      </c>
      <c r="U96" s="22">
        <v>18</v>
      </c>
      <c r="V96" s="22">
        <v>21.59210983873076</v>
      </c>
      <c r="W96" s="22">
        <v>1</v>
      </c>
      <c r="X96" s="22">
        <v>0</v>
      </c>
      <c r="Y96" s="22">
        <v>0</v>
      </c>
      <c r="Z96" s="22">
        <v>0</v>
      </c>
      <c r="AA96" s="22">
        <v>1</v>
      </c>
      <c r="AB96" s="22">
        <v>0</v>
      </c>
      <c r="AC96" s="15">
        <f>SUM(Z96:AB96)</f>
        <v>1</v>
      </c>
      <c r="AD96" s="1" t="s">
        <v>78</v>
      </c>
      <c r="AE96" s="23">
        <v>1</v>
      </c>
    </row>
    <row r="97" spans="1:31" x14ac:dyDescent="0.25">
      <c r="A97" s="1" t="s">
        <v>0</v>
      </c>
      <c r="B97" s="1" t="s">
        <v>1</v>
      </c>
      <c r="C97" s="1" t="s">
        <v>2</v>
      </c>
      <c r="D97" s="1">
        <v>64</v>
      </c>
      <c r="E97" s="1">
        <v>31.3</v>
      </c>
      <c r="F97" s="1">
        <v>2</v>
      </c>
      <c r="G97" s="7">
        <f t="shared" si="8"/>
        <v>1</v>
      </c>
      <c r="H97" s="7">
        <f t="shared" si="11"/>
        <v>1</v>
      </c>
      <c r="I97" s="7">
        <f t="shared" si="12"/>
        <v>0</v>
      </c>
      <c r="J97" s="7">
        <f t="shared" si="12"/>
        <v>0</v>
      </c>
      <c r="K97" s="7">
        <f t="shared" si="12"/>
        <v>0</v>
      </c>
      <c r="L97" s="11">
        <v>47291.055</v>
      </c>
      <c r="M97" s="12" cm="1">
        <f t="array" ref="M97">IF(($R$34+SUMPRODUCT(TRANSPOSE(D97:K97),$R$35:$R$42))&lt;0,"-",$R$34+SUMPRODUCT(TRANSPOSE(D97:K97),$R$35:$R$42))</f>
        <v>38956.50772515258</v>
      </c>
      <c r="N97" s="13">
        <f t="shared" si="9"/>
        <v>26832.303148117455</v>
      </c>
      <c r="O97" s="13">
        <f t="shared" si="10"/>
        <v>51080.712302187705</v>
      </c>
      <c r="Q97" s="1" t="s">
        <v>81</v>
      </c>
      <c r="R97" s="33">
        <f>R96+R95</f>
        <v>3.6277812432672363E-4</v>
      </c>
      <c r="T97" s="17" t="s">
        <v>76</v>
      </c>
      <c r="U97" s="1" t="s">
        <v>78</v>
      </c>
      <c r="V97" s="1" t="s">
        <v>78</v>
      </c>
      <c r="W97" s="1" t="s">
        <v>78</v>
      </c>
      <c r="X97" s="1" t="s">
        <v>78</v>
      </c>
      <c r="Y97" s="1" t="s">
        <v>78</v>
      </c>
      <c r="Z97" s="1" t="s">
        <v>78</v>
      </c>
      <c r="AA97" s="1" t="s">
        <v>78</v>
      </c>
      <c r="AB97" s="1" t="s">
        <v>78</v>
      </c>
    </row>
    <row r="98" spans="1:31" x14ac:dyDescent="0.25">
      <c r="A98" s="1" t="s">
        <v>0</v>
      </c>
      <c r="B98" s="1" t="s">
        <v>4</v>
      </c>
      <c r="C98" s="1" t="s">
        <v>5</v>
      </c>
      <c r="D98" s="1">
        <v>28</v>
      </c>
      <c r="E98" s="1">
        <v>37.619999999999997</v>
      </c>
      <c r="F98" s="1">
        <v>1</v>
      </c>
      <c r="G98" s="7">
        <f t="shared" si="8"/>
        <v>1</v>
      </c>
      <c r="H98" s="7">
        <f t="shared" si="11"/>
        <v>0</v>
      </c>
      <c r="I98" s="7">
        <f t="shared" si="12"/>
        <v>1</v>
      </c>
      <c r="J98" s="7">
        <f t="shared" si="12"/>
        <v>0</v>
      </c>
      <c r="K98" s="7">
        <f t="shared" si="12"/>
        <v>0</v>
      </c>
      <c r="L98" s="11">
        <v>3766.8838000000001</v>
      </c>
      <c r="M98" s="12" cm="1">
        <f t="array" ref="M98">IF(($R$34+SUMPRODUCT(TRANSPOSE(D98:K98),$R$35:$R$42))&lt;0,"-",$R$34+SUMPRODUCT(TRANSPOSE(D98:K98),$R$35:$R$42))</f>
        <v>7454.3755154796527</v>
      </c>
      <c r="N98" s="13" t="str">
        <f t="shared" si="9"/>
        <v>-</v>
      </c>
      <c r="O98" s="13">
        <f t="shared" si="10"/>
        <v>19578.580092514778</v>
      </c>
      <c r="Q98" s="1" t="s">
        <v>76</v>
      </c>
      <c r="R98" s="1" t="s">
        <v>89</v>
      </c>
      <c r="T98" s="17" t="s">
        <v>77</v>
      </c>
      <c r="U98" s="21">
        <f t="shared" ref="U98:AB98" si="15">MAX(D3:D1340)</f>
        <v>64</v>
      </c>
      <c r="V98" s="21">
        <f t="shared" si="15"/>
        <v>53.13</v>
      </c>
      <c r="W98" s="21">
        <f t="shared" si="15"/>
        <v>5</v>
      </c>
      <c r="X98" s="21">
        <f t="shared" si="15"/>
        <v>1</v>
      </c>
      <c r="Y98" s="21">
        <f t="shared" si="15"/>
        <v>1</v>
      </c>
      <c r="Z98" s="21">
        <f t="shared" si="15"/>
        <v>1</v>
      </c>
      <c r="AA98" s="21">
        <f t="shared" si="15"/>
        <v>1</v>
      </c>
      <c r="AB98" s="21">
        <f t="shared" si="15"/>
        <v>1</v>
      </c>
    </row>
    <row r="99" spans="1:31" x14ac:dyDescent="0.25">
      <c r="A99" s="1" t="s">
        <v>0</v>
      </c>
      <c r="B99" s="1" t="s">
        <v>4</v>
      </c>
      <c r="C99" s="1" t="s">
        <v>2</v>
      </c>
      <c r="D99" s="1">
        <v>54</v>
      </c>
      <c r="E99" s="1">
        <v>30.8</v>
      </c>
      <c r="F99" s="1">
        <v>3</v>
      </c>
      <c r="G99" s="7">
        <f t="shared" si="8"/>
        <v>1</v>
      </c>
      <c r="H99" s="7">
        <f t="shared" si="11"/>
        <v>0</v>
      </c>
      <c r="I99" s="7">
        <f t="shared" si="12"/>
        <v>0</v>
      </c>
      <c r="J99" s="7">
        <f t="shared" si="12"/>
        <v>0</v>
      </c>
      <c r="K99" s="7">
        <f t="shared" si="12"/>
        <v>0</v>
      </c>
      <c r="L99" s="11">
        <v>12105.32</v>
      </c>
      <c r="M99" s="12" cm="1">
        <f t="array" ref="M99">IF(($R$34+SUMPRODUCT(TRANSPOSE(D99:K99),$R$35:$R$42))&lt;0,"-",$R$34+SUMPRODUCT(TRANSPOSE(D99:K99),$R$35:$R$42))</f>
        <v>12845.31347621002</v>
      </c>
      <c r="N99" s="13">
        <f t="shared" si="9"/>
        <v>721.10889917489658</v>
      </c>
      <c r="O99" s="13">
        <f t="shared" si="10"/>
        <v>24969.518053245141</v>
      </c>
      <c r="Q99" s="1" t="s">
        <v>90</v>
      </c>
      <c r="R99" s="34">
        <v>0</v>
      </c>
      <c r="T99" s="1" t="s">
        <v>50</v>
      </c>
      <c r="U99" s="14">
        <v>256.85635253734796</v>
      </c>
      <c r="V99" s="14">
        <v>339.19345361084004</v>
      </c>
      <c r="W99" s="14">
        <v>475.50054514913273</v>
      </c>
      <c r="X99" s="14">
        <v>131.31435939510598</v>
      </c>
      <c r="Y99" s="14">
        <v>23848.534541912795</v>
      </c>
      <c r="Z99" s="14">
        <v>-74.971058086987497</v>
      </c>
      <c r="AA99" s="14">
        <v>607.08709187618956</v>
      </c>
      <c r="AB99" s="14">
        <v>960.05099130083136</v>
      </c>
    </row>
    <row r="100" spans="1:31" ht="15.75" thickBot="1" x14ac:dyDescent="0.3">
      <c r="A100" s="1" t="s">
        <v>3</v>
      </c>
      <c r="B100" s="1" t="s">
        <v>4</v>
      </c>
      <c r="C100" s="1" t="s">
        <v>5</v>
      </c>
      <c r="D100" s="1">
        <v>55</v>
      </c>
      <c r="E100" s="1">
        <v>38.28</v>
      </c>
      <c r="F100" s="1">
        <v>0</v>
      </c>
      <c r="G100" s="7">
        <f t="shared" si="8"/>
        <v>0</v>
      </c>
      <c r="H100" s="7">
        <f t="shared" si="11"/>
        <v>0</v>
      </c>
      <c r="I100" s="7">
        <f t="shared" si="12"/>
        <v>1</v>
      </c>
      <c r="J100" s="7">
        <f t="shared" si="12"/>
        <v>0</v>
      </c>
      <c r="K100" s="7">
        <f t="shared" si="12"/>
        <v>0</v>
      </c>
      <c r="L100" s="11">
        <v>10226.2842</v>
      </c>
      <c r="M100" s="12" cm="1">
        <f t="array" ref="M100">IF(($R$34+SUMPRODUCT(TRANSPOSE(D100:K100),$R$35:$R$42))&lt;0,"-",$R$34+SUMPRODUCT(TRANSPOSE(D100:K100),$R$35:$R$42))</f>
        <v>14006.54980882696</v>
      </c>
      <c r="N100" s="13">
        <f t="shared" si="9"/>
        <v>1882.3452317918363</v>
      </c>
      <c r="O100" s="13">
        <f t="shared" si="10"/>
        <v>26130.754385862085</v>
      </c>
    </row>
    <row r="101" spans="1:31" x14ac:dyDescent="0.25">
      <c r="A101" s="1" t="s">
        <v>3</v>
      </c>
      <c r="B101" s="1" t="s">
        <v>1</v>
      </c>
      <c r="C101" s="1" t="s">
        <v>7</v>
      </c>
      <c r="D101" s="1">
        <v>56</v>
      </c>
      <c r="E101" s="1">
        <v>19.95</v>
      </c>
      <c r="F101" s="1">
        <v>0</v>
      </c>
      <c r="G101" s="7">
        <f t="shared" si="8"/>
        <v>0</v>
      </c>
      <c r="H101" s="7">
        <f t="shared" si="11"/>
        <v>1</v>
      </c>
      <c r="I101" s="7">
        <f t="shared" si="12"/>
        <v>0</v>
      </c>
      <c r="J101" s="7">
        <f t="shared" si="12"/>
        <v>0</v>
      </c>
      <c r="K101" s="7">
        <f t="shared" si="12"/>
        <v>1</v>
      </c>
      <c r="L101" s="11">
        <v>22412.648499999999</v>
      </c>
      <c r="M101" s="12" cm="1">
        <f t="array" ref="M101">IF(($R$34+SUMPRODUCT(TRANSPOSE(D101:K101),$R$35:$R$42))&lt;0,"-",$R$34+SUMPRODUCT(TRANSPOSE(D101:K101),$R$35:$R$42))</f>
        <v>32929.546747978224</v>
      </c>
      <c r="N101" s="13">
        <f t="shared" si="9"/>
        <v>20805.342170943099</v>
      </c>
      <c r="O101" s="13">
        <f t="shared" si="10"/>
        <v>45053.751325013349</v>
      </c>
      <c r="Q101" s="35" t="s">
        <v>92</v>
      </c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7"/>
    </row>
    <row r="102" spans="1:31" x14ac:dyDescent="0.25">
      <c r="A102" s="1" t="s">
        <v>3</v>
      </c>
      <c r="B102" s="1" t="s">
        <v>1</v>
      </c>
      <c r="C102" s="1" t="s">
        <v>2</v>
      </c>
      <c r="D102" s="1">
        <v>38</v>
      </c>
      <c r="E102" s="1">
        <v>19.3</v>
      </c>
      <c r="F102" s="1">
        <v>0</v>
      </c>
      <c r="G102" s="7">
        <f t="shared" si="8"/>
        <v>0</v>
      </c>
      <c r="H102" s="7">
        <f t="shared" si="11"/>
        <v>1</v>
      </c>
      <c r="I102" s="7">
        <f t="shared" si="12"/>
        <v>0</v>
      </c>
      <c r="J102" s="7">
        <f t="shared" si="12"/>
        <v>0</v>
      </c>
      <c r="K102" s="7">
        <f t="shared" si="12"/>
        <v>0</v>
      </c>
      <c r="L102" s="11">
        <v>15820.699000000001</v>
      </c>
      <c r="M102" s="12" cm="1">
        <f t="array" ref="M102">IF(($R$34+SUMPRODUCT(TRANSPOSE(D102:K102),$R$35:$R$42))&lt;0,"-",$R$34+SUMPRODUCT(TRANSPOSE(D102:K102),$R$35:$R$42))</f>
        <v>27125.605666158081</v>
      </c>
      <c r="N102" s="13">
        <f t="shared" si="9"/>
        <v>15001.401089122957</v>
      </c>
      <c r="O102" s="13">
        <f t="shared" si="10"/>
        <v>39249.810243193206</v>
      </c>
      <c r="Q102" s="38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40"/>
    </row>
    <row r="103" spans="1:31" ht="15.75" thickBot="1" x14ac:dyDescent="0.3">
      <c r="A103" s="1" t="s">
        <v>0</v>
      </c>
      <c r="B103" s="1" t="s">
        <v>4</v>
      </c>
      <c r="C103" s="1" t="s">
        <v>2</v>
      </c>
      <c r="D103" s="1">
        <v>41</v>
      </c>
      <c r="E103" s="1">
        <v>31.6</v>
      </c>
      <c r="F103" s="1">
        <v>0</v>
      </c>
      <c r="G103" s="7">
        <f t="shared" si="8"/>
        <v>1</v>
      </c>
      <c r="H103" s="7">
        <f t="shared" si="11"/>
        <v>0</v>
      </c>
      <c r="I103" s="7">
        <f t="shared" si="12"/>
        <v>0</v>
      </c>
      <c r="J103" s="7">
        <f t="shared" si="12"/>
        <v>0</v>
      </c>
      <c r="K103" s="7">
        <f t="shared" si="12"/>
        <v>0</v>
      </c>
      <c r="L103" s="11">
        <v>6186.1270000000004</v>
      </c>
      <c r="M103" s="12" cm="1">
        <f t="array" ref="M103">IF(($R$34+SUMPRODUCT(TRANSPOSE(D103:K103),$R$35:$R$42))&lt;0,"-",$R$34+SUMPRODUCT(TRANSPOSE(D103:K103),$R$35:$R$42))</f>
        <v>8351.0340206657747</v>
      </c>
      <c r="N103" s="13" t="str">
        <f t="shared" si="9"/>
        <v>-</v>
      </c>
      <c r="O103" s="13">
        <f t="shared" si="10"/>
        <v>20475.238597700896</v>
      </c>
      <c r="Q103" s="41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3"/>
    </row>
    <row r="104" spans="1:31" x14ac:dyDescent="0.25">
      <c r="A104" s="1" t="s">
        <v>3</v>
      </c>
      <c r="B104" s="1" t="s">
        <v>4</v>
      </c>
      <c r="C104" s="1" t="s">
        <v>7</v>
      </c>
      <c r="D104" s="1">
        <v>30</v>
      </c>
      <c r="E104" s="1">
        <v>25.46</v>
      </c>
      <c r="F104" s="1">
        <v>0</v>
      </c>
      <c r="G104" s="7">
        <f t="shared" si="8"/>
        <v>0</v>
      </c>
      <c r="H104" s="7">
        <f t="shared" si="11"/>
        <v>0</v>
      </c>
      <c r="I104" s="7">
        <f t="shared" si="12"/>
        <v>0</v>
      </c>
      <c r="J104" s="7">
        <f t="shared" si="12"/>
        <v>0</v>
      </c>
      <c r="K104" s="7">
        <f t="shared" si="12"/>
        <v>1</v>
      </c>
      <c r="L104" s="11">
        <v>3645.0893999999998</v>
      </c>
      <c r="M104" s="12" cm="1">
        <f t="array" ref="M104">IF(($R$34+SUMPRODUCT(TRANSPOSE(D104:K104),$R$35:$R$42))&lt;0,"-",$R$34+SUMPRODUCT(TRANSPOSE(D104:K104),$R$35:$R$42))</f>
        <v>4271.7029694901139</v>
      </c>
      <c r="N104" s="13" t="str">
        <f t="shared" si="9"/>
        <v>-</v>
      </c>
      <c r="O104" s="13">
        <f t="shared" si="10"/>
        <v>16395.907546525239</v>
      </c>
    </row>
    <row r="105" spans="1:31" x14ac:dyDescent="0.25">
      <c r="A105" s="1" t="s">
        <v>0</v>
      </c>
      <c r="B105" s="1" t="s">
        <v>4</v>
      </c>
      <c r="C105" s="1" t="s">
        <v>7</v>
      </c>
      <c r="D105" s="1">
        <v>18</v>
      </c>
      <c r="E105" s="1">
        <v>30.114999999999998</v>
      </c>
      <c r="F105" s="1">
        <v>0</v>
      </c>
      <c r="G105" s="7">
        <f t="shared" si="8"/>
        <v>1</v>
      </c>
      <c r="H105" s="7">
        <f t="shared" si="11"/>
        <v>0</v>
      </c>
      <c r="I105" s="7">
        <f t="shared" si="12"/>
        <v>0</v>
      </c>
      <c r="J105" s="7">
        <f t="shared" si="12"/>
        <v>0</v>
      </c>
      <c r="K105" s="7">
        <f t="shared" si="12"/>
        <v>1</v>
      </c>
      <c r="L105" s="11">
        <v>21344.846699999998</v>
      </c>
      <c r="M105" s="12" cm="1">
        <f t="array" ref="M105">IF(($R$34+SUMPRODUCT(TRANSPOSE(D105:K105),$R$35:$R$42))&lt;0,"-",$R$34+SUMPRODUCT(TRANSPOSE(D105:K105),$R$35:$R$42))</f>
        <v>2899.6866249955019</v>
      </c>
      <c r="N105" s="13" t="str">
        <f t="shared" si="9"/>
        <v>-</v>
      </c>
      <c r="O105" s="13">
        <f t="shared" si="10"/>
        <v>15023.891202030625</v>
      </c>
    </row>
    <row r="106" spans="1:31" x14ac:dyDescent="0.25">
      <c r="A106" s="1" t="s">
        <v>0</v>
      </c>
      <c r="B106" s="1" t="s">
        <v>1</v>
      </c>
      <c r="C106" s="1" t="s">
        <v>5</v>
      </c>
      <c r="D106" s="1">
        <v>61</v>
      </c>
      <c r="E106" s="1">
        <v>29.92</v>
      </c>
      <c r="F106" s="1">
        <v>3</v>
      </c>
      <c r="G106" s="7">
        <f t="shared" si="8"/>
        <v>1</v>
      </c>
      <c r="H106" s="7">
        <f t="shared" si="11"/>
        <v>1</v>
      </c>
      <c r="I106" s="7">
        <f t="shared" si="12"/>
        <v>1</v>
      </c>
      <c r="J106" s="7">
        <f t="shared" si="12"/>
        <v>0</v>
      </c>
      <c r="K106" s="7">
        <f t="shared" si="12"/>
        <v>0</v>
      </c>
      <c r="L106" s="11">
        <v>30942.191800000001</v>
      </c>
      <c r="M106" s="12" cm="1">
        <f t="array" ref="M106">IF(($R$34+SUMPRODUCT(TRANSPOSE(D106:K106),$R$35:$R$42))&lt;0,"-",$R$34+SUMPRODUCT(TRANSPOSE(D106:K106),$R$35:$R$42))</f>
        <v>38118.381188619729</v>
      </c>
      <c r="N106" s="13">
        <f t="shared" si="9"/>
        <v>25994.176611584604</v>
      </c>
      <c r="O106" s="13">
        <f t="shared" si="10"/>
        <v>50242.585765654854</v>
      </c>
      <c r="U106" s="1" t="str">
        <f>U93</f>
        <v>Age</v>
      </c>
      <c r="V106" s="1" t="str">
        <f t="shared" ref="V106:AB106" si="16">V93</f>
        <v>BMI</v>
      </c>
      <c r="W106" s="1" t="str">
        <f t="shared" si="16"/>
        <v>Children</v>
      </c>
      <c r="X106" s="1" t="str">
        <f t="shared" si="16"/>
        <v>Female</v>
      </c>
      <c r="Y106" s="1" t="str">
        <f t="shared" si="16"/>
        <v>SmokerYes</v>
      </c>
      <c r="Z106" s="1" t="str">
        <f t="shared" si="16"/>
        <v>Southeast</v>
      </c>
      <c r="AA106" s="1" t="str">
        <f t="shared" si="16"/>
        <v>Northwest</v>
      </c>
      <c r="AB106" s="1" t="str">
        <f t="shared" si="16"/>
        <v>Northeast</v>
      </c>
    </row>
    <row r="107" spans="1:31" x14ac:dyDescent="0.25">
      <c r="A107" s="1" t="s">
        <v>0</v>
      </c>
      <c r="B107" s="1" t="s">
        <v>4</v>
      </c>
      <c r="C107" s="1" t="s">
        <v>2</v>
      </c>
      <c r="D107" s="1">
        <v>34</v>
      </c>
      <c r="E107" s="1">
        <v>27.5</v>
      </c>
      <c r="F107" s="1">
        <v>1</v>
      </c>
      <c r="G107" s="7">
        <f t="shared" si="8"/>
        <v>1</v>
      </c>
      <c r="H107" s="7">
        <f t="shared" si="11"/>
        <v>0</v>
      </c>
      <c r="I107" s="7">
        <f t="shared" si="12"/>
        <v>0</v>
      </c>
      <c r="J107" s="7">
        <f t="shared" si="12"/>
        <v>0</v>
      </c>
      <c r="K107" s="7">
        <f t="shared" si="12"/>
        <v>0</v>
      </c>
      <c r="L107" s="11">
        <v>5003.8530000000001</v>
      </c>
      <c r="M107" s="12" cm="1">
        <f t="array" ref="M107">IF(($R$34+SUMPRODUCT(TRANSPOSE(D107:K107),$R$35:$R$42))&lt;0,"-",$R$34+SUMPRODUCT(TRANSPOSE(D107:K107),$R$35:$R$42))</f>
        <v>5637.8469382490293</v>
      </c>
      <c r="N107" s="13" t="str">
        <f t="shared" si="9"/>
        <v>-</v>
      </c>
      <c r="O107" s="13">
        <f t="shared" si="10"/>
        <v>17762.051515284154</v>
      </c>
      <c r="Q107" s="1" t="s">
        <v>80</v>
      </c>
      <c r="R107" s="1" t="s">
        <v>77</v>
      </c>
      <c r="T107" s="17" t="s">
        <v>75</v>
      </c>
      <c r="U107" s="21">
        <f>MIN(D3:D1340)</f>
        <v>18</v>
      </c>
      <c r="V107" s="21">
        <f t="shared" ref="V107:AB107" si="17">MIN(E3:E1340)</f>
        <v>15.96</v>
      </c>
      <c r="W107" s="21">
        <f t="shared" si="17"/>
        <v>0</v>
      </c>
      <c r="X107" s="21">
        <f t="shared" si="17"/>
        <v>0</v>
      </c>
      <c r="Y107" s="21">
        <f t="shared" si="17"/>
        <v>0</v>
      </c>
      <c r="Z107" s="21">
        <f t="shared" si="17"/>
        <v>0</v>
      </c>
      <c r="AA107" s="21">
        <f t="shared" si="17"/>
        <v>0</v>
      </c>
      <c r="AB107" s="21">
        <f t="shared" si="17"/>
        <v>0</v>
      </c>
    </row>
    <row r="108" spans="1:31" x14ac:dyDescent="0.25">
      <c r="A108" s="1" t="s">
        <v>3</v>
      </c>
      <c r="B108" s="1" t="s">
        <v>1</v>
      </c>
      <c r="C108" s="1" t="s">
        <v>6</v>
      </c>
      <c r="D108" s="1">
        <v>20</v>
      </c>
      <c r="E108" s="1">
        <v>28.024999999999999</v>
      </c>
      <c r="F108" s="1">
        <v>1</v>
      </c>
      <c r="G108" s="7">
        <f t="shared" si="8"/>
        <v>0</v>
      </c>
      <c r="H108" s="7">
        <f t="shared" si="11"/>
        <v>1</v>
      </c>
      <c r="I108" s="7">
        <f t="shared" si="12"/>
        <v>0</v>
      </c>
      <c r="J108" s="7">
        <f t="shared" si="12"/>
        <v>1</v>
      </c>
      <c r="K108" s="7">
        <f t="shared" si="12"/>
        <v>0</v>
      </c>
      <c r="L108" s="11">
        <v>17560.37975</v>
      </c>
      <c r="M108" s="12" cm="1">
        <f t="array" ref="M108">IF(($R$34+SUMPRODUCT(TRANSPOSE(D108:K108),$R$35:$R$42))&lt;0,"-",$R$34+SUMPRODUCT(TRANSPOSE(D108:K108),$R$35:$R$42))</f>
        <v>26544.24184026572</v>
      </c>
      <c r="N108" s="13">
        <f t="shared" si="9"/>
        <v>14420.037263230597</v>
      </c>
      <c r="O108" s="13">
        <f t="shared" si="10"/>
        <v>38668.446417300845</v>
      </c>
      <c r="Q108" s="1" t="s">
        <v>44</v>
      </c>
      <c r="R108" s="24">
        <f>$R$34</f>
        <v>-13029.903926863146</v>
      </c>
      <c r="T108" s="17" t="s">
        <v>76</v>
      </c>
      <c r="U108" s="1" t="s">
        <v>78</v>
      </c>
      <c r="V108" s="1" t="s">
        <v>78</v>
      </c>
      <c r="W108" s="1" t="s">
        <v>78</v>
      </c>
      <c r="X108" s="1" t="s">
        <v>78</v>
      </c>
      <c r="Y108" s="1" t="s">
        <v>78</v>
      </c>
      <c r="Z108" s="1" t="s">
        <v>78</v>
      </c>
      <c r="AA108" s="1" t="s">
        <v>78</v>
      </c>
      <c r="AB108" s="1" t="s">
        <v>78</v>
      </c>
      <c r="AC108" s="2" t="s">
        <v>83</v>
      </c>
      <c r="AD108" s="2" t="s">
        <v>76</v>
      </c>
      <c r="AE108" s="2" t="s">
        <v>77</v>
      </c>
    </row>
    <row r="109" spans="1:31" x14ac:dyDescent="0.25">
      <c r="A109" s="1" t="s">
        <v>0</v>
      </c>
      <c r="B109" s="1" t="s">
        <v>4</v>
      </c>
      <c r="C109" s="1" t="s">
        <v>2</v>
      </c>
      <c r="D109" s="1">
        <v>19</v>
      </c>
      <c r="E109" s="1">
        <v>28.4</v>
      </c>
      <c r="F109" s="1">
        <v>1</v>
      </c>
      <c r="G109" s="7">
        <f t="shared" si="8"/>
        <v>1</v>
      </c>
      <c r="H109" s="7">
        <f t="shared" si="11"/>
        <v>0</v>
      </c>
      <c r="I109" s="7">
        <f t="shared" si="12"/>
        <v>0</v>
      </c>
      <c r="J109" s="7">
        <f t="shared" si="12"/>
        <v>0</v>
      </c>
      <c r="K109" s="7">
        <f t="shared" si="12"/>
        <v>0</v>
      </c>
      <c r="L109" s="11">
        <v>2331.5189999999998</v>
      </c>
      <c r="M109" s="12" cm="1">
        <f t="array" ref="M109">IF(($R$34+SUMPRODUCT(TRANSPOSE(D109:K109),$R$35:$R$42))&lt;0,"-",$R$34+SUMPRODUCT(TRANSPOSE(D109:K109),$R$35:$R$42))</f>
        <v>2090.2757584385618</v>
      </c>
      <c r="N109" s="13" t="str">
        <f t="shared" si="9"/>
        <v>-</v>
      </c>
      <c r="O109" s="13">
        <f t="shared" si="10"/>
        <v>14214.480335473685</v>
      </c>
      <c r="Q109" s="1" t="s">
        <v>84</v>
      </c>
      <c r="R109" s="15">
        <f>SUMPRODUCT(U109:AB109,U112:AB112)</f>
        <v>53864.71265140154</v>
      </c>
      <c r="T109" s="17" t="s">
        <v>79</v>
      </c>
      <c r="U109" s="22">
        <v>41</v>
      </c>
      <c r="V109" s="22">
        <v>52.8517849694435</v>
      </c>
      <c r="W109" s="22">
        <v>2</v>
      </c>
      <c r="X109" s="22">
        <v>0</v>
      </c>
      <c r="Y109" s="22">
        <v>1</v>
      </c>
      <c r="Z109" s="22">
        <v>0</v>
      </c>
      <c r="AA109" s="22">
        <v>1</v>
      </c>
      <c r="AB109" s="22">
        <v>0</v>
      </c>
      <c r="AC109" s="15">
        <f>SUM(Z109:AB109)</f>
        <v>1</v>
      </c>
      <c r="AD109" s="1" t="s">
        <v>78</v>
      </c>
      <c r="AE109" s="23">
        <v>1</v>
      </c>
    </row>
    <row r="110" spans="1:31" x14ac:dyDescent="0.25">
      <c r="A110" s="1" t="s">
        <v>3</v>
      </c>
      <c r="B110" s="1" t="s">
        <v>4</v>
      </c>
      <c r="C110" s="1" t="s">
        <v>6</v>
      </c>
      <c r="D110" s="1">
        <v>26</v>
      </c>
      <c r="E110" s="1">
        <v>30.875</v>
      </c>
      <c r="F110" s="1">
        <v>2</v>
      </c>
      <c r="G110" s="7">
        <f t="shared" si="8"/>
        <v>0</v>
      </c>
      <c r="H110" s="7">
        <f t="shared" si="11"/>
        <v>0</v>
      </c>
      <c r="I110" s="7">
        <f t="shared" si="12"/>
        <v>0</v>
      </c>
      <c r="J110" s="7">
        <f t="shared" si="12"/>
        <v>1</v>
      </c>
      <c r="K110" s="7">
        <f t="shared" si="12"/>
        <v>0</v>
      </c>
      <c r="L110" s="11">
        <v>3877.3042500000001</v>
      </c>
      <c r="M110" s="12" cm="1">
        <f t="array" ref="M110">IF(($R$34+SUMPRODUCT(TRANSPOSE(D110:K110),$R$35:$R$42))&lt;0,"-",$R$34+SUMPRODUCT(TRANSPOSE(D110:K110),$R$35:$R$42))</f>
        <v>5679.0473015170428</v>
      </c>
      <c r="N110" s="13" t="str">
        <f t="shared" si="9"/>
        <v>-</v>
      </c>
      <c r="O110" s="13">
        <f t="shared" si="10"/>
        <v>17803.251878552168</v>
      </c>
      <c r="Q110" s="1" t="s">
        <v>81</v>
      </c>
      <c r="R110" s="33">
        <f>R109+R108</f>
        <v>40834.808724538394</v>
      </c>
      <c r="T110" s="17" t="s">
        <v>76</v>
      </c>
      <c r="U110" s="1" t="s">
        <v>78</v>
      </c>
      <c r="V110" s="1" t="s">
        <v>78</v>
      </c>
      <c r="W110" s="1" t="s">
        <v>78</v>
      </c>
      <c r="X110" s="1" t="s">
        <v>78</v>
      </c>
      <c r="Y110" s="1" t="s">
        <v>78</v>
      </c>
      <c r="Z110" s="1" t="s">
        <v>78</v>
      </c>
      <c r="AA110" s="1" t="s">
        <v>78</v>
      </c>
      <c r="AB110" s="1" t="s">
        <v>78</v>
      </c>
    </row>
    <row r="111" spans="1:31" x14ac:dyDescent="0.25">
      <c r="A111" s="1" t="s">
        <v>3</v>
      </c>
      <c r="B111" s="1" t="s">
        <v>4</v>
      </c>
      <c r="C111" s="1" t="s">
        <v>5</v>
      </c>
      <c r="D111" s="1">
        <v>29</v>
      </c>
      <c r="E111" s="1">
        <v>27.94</v>
      </c>
      <c r="F111" s="1">
        <v>0</v>
      </c>
      <c r="G111" s="7">
        <f t="shared" si="8"/>
        <v>0</v>
      </c>
      <c r="H111" s="7">
        <f t="shared" si="11"/>
        <v>0</v>
      </c>
      <c r="I111" s="7">
        <f t="shared" si="12"/>
        <v>1</v>
      </c>
      <c r="J111" s="7">
        <f t="shared" si="12"/>
        <v>0</v>
      </c>
      <c r="K111" s="7">
        <f t="shared" si="12"/>
        <v>0</v>
      </c>
      <c r="L111" s="11">
        <v>2867.1196</v>
      </c>
      <c r="M111" s="12" cm="1">
        <f t="array" ref="M111">IF(($R$34+SUMPRODUCT(TRANSPOSE(D111:K111),$R$35:$R$42))&lt;0,"-",$R$34+SUMPRODUCT(TRANSPOSE(D111:K111),$R$35:$R$42))</f>
        <v>3821.024332519828</v>
      </c>
      <c r="N111" s="13" t="str">
        <f t="shared" si="9"/>
        <v>-</v>
      </c>
      <c r="O111" s="13">
        <f t="shared" si="10"/>
        <v>15945.228909554951</v>
      </c>
      <c r="Q111" s="1" t="s">
        <v>76</v>
      </c>
      <c r="R111" s="1" t="s">
        <v>78</v>
      </c>
      <c r="T111" s="17" t="s">
        <v>77</v>
      </c>
      <c r="U111" s="21">
        <f>MAX(D3:D1340)</f>
        <v>64</v>
      </c>
      <c r="V111" s="21">
        <f t="shared" ref="V111:AB111" si="18">MAX(E3:E1340)</f>
        <v>53.13</v>
      </c>
      <c r="W111" s="21">
        <f t="shared" si="18"/>
        <v>5</v>
      </c>
      <c r="X111" s="21">
        <f t="shared" si="18"/>
        <v>1</v>
      </c>
      <c r="Y111" s="21">
        <f t="shared" si="18"/>
        <v>1</v>
      </c>
      <c r="Z111" s="21">
        <f t="shared" si="18"/>
        <v>1</v>
      </c>
      <c r="AA111" s="21">
        <f t="shared" si="18"/>
        <v>1</v>
      </c>
      <c r="AB111" s="21">
        <f t="shared" si="18"/>
        <v>1</v>
      </c>
    </row>
    <row r="112" spans="1:31" x14ac:dyDescent="0.25">
      <c r="A112" s="1" t="s">
        <v>3</v>
      </c>
      <c r="B112" s="1" t="s">
        <v>1</v>
      </c>
      <c r="C112" s="1" t="s">
        <v>5</v>
      </c>
      <c r="D112" s="1">
        <v>63</v>
      </c>
      <c r="E112" s="1">
        <v>35.090000000000003</v>
      </c>
      <c r="F112" s="1">
        <v>0</v>
      </c>
      <c r="G112" s="7">
        <f t="shared" si="8"/>
        <v>0</v>
      </c>
      <c r="H112" s="7">
        <f t="shared" si="11"/>
        <v>1</v>
      </c>
      <c r="I112" s="7">
        <f t="shared" si="12"/>
        <v>1</v>
      </c>
      <c r="J112" s="7">
        <f t="shared" si="12"/>
        <v>0</v>
      </c>
      <c r="K112" s="7">
        <f t="shared" si="12"/>
        <v>0</v>
      </c>
      <c r="L112" s="11">
        <v>47055.532099999997</v>
      </c>
      <c r="M112" s="12" cm="1">
        <f t="array" ref="M112">IF(($R$34+SUMPRODUCT(TRANSPOSE(D112:K112),$R$35:$R$42))&lt;0,"-",$R$34+SUMPRODUCT(TRANSPOSE(D112:K112),$R$35:$R$42))</f>
        <v>38827.908054019965</v>
      </c>
      <c r="N112" s="13">
        <f t="shared" si="9"/>
        <v>26703.70347698484</v>
      </c>
      <c r="O112" s="13">
        <f t="shared" si="10"/>
        <v>50952.11263105509</v>
      </c>
      <c r="Q112" s="1" t="s">
        <v>91</v>
      </c>
      <c r="R112" s="32">
        <f>MAX(M3:M1340)</f>
        <v>40834.808724538394</v>
      </c>
      <c r="T112" s="1" t="s">
        <v>50</v>
      </c>
      <c r="U112" s="14">
        <v>256.85635253734796</v>
      </c>
      <c r="V112" s="14">
        <v>339.19345361084004</v>
      </c>
      <c r="W112" s="14">
        <v>475.50054514913273</v>
      </c>
      <c r="X112" s="14">
        <v>131.31435939510598</v>
      </c>
      <c r="Y112" s="14">
        <v>23848.534541912795</v>
      </c>
      <c r="Z112" s="14">
        <v>-74.971058086987497</v>
      </c>
      <c r="AA112" s="14">
        <v>607.08709187618956</v>
      </c>
      <c r="AB112" s="14">
        <v>960.05099130083136</v>
      </c>
    </row>
    <row r="113" spans="1:15" x14ac:dyDescent="0.25">
      <c r="A113" s="1" t="s">
        <v>3</v>
      </c>
      <c r="B113" s="1" t="s">
        <v>4</v>
      </c>
      <c r="C113" s="1" t="s">
        <v>6</v>
      </c>
      <c r="D113" s="1">
        <v>54</v>
      </c>
      <c r="E113" s="1">
        <v>33.630000000000003</v>
      </c>
      <c r="F113" s="1">
        <v>1</v>
      </c>
      <c r="G113" s="7">
        <f t="shared" si="8"/>
        <v>0</v>
      </c>
      <c r="H113" s="7">
        <f t="shared" si="11"/>
        <v>0</v>
      </c>
      <c r="I113" s="7">
        <f t="shared" si="12"/>
        <v>0</v>
      </c>
      <c r="J113" s="7">
        <f t="shared" si="12"/>
        <v>1</v>
      </c>
      <c r="K113" s="7">
        <f t="shared" si="12"/>
        <v>0</v>
      </c>
      <c r="L113" s="11">
        <v>10825.253699999999</v>
      </c>
      <c r="M113" s="12" cm="1">
        <f t="array" ref="M113">IF(($R$34+SUMPRODUCT(TRANSPOSE(D113:K113),$R$35:$R$42))&lt;0,"-",$R$34+SUMPRODUCT(TRANSPOSE(D113:K113),$R$35:$R$42))</f>
        <v>13330.002592111519</v>
      </c>
      <c r="N113" s="13">
        <f t="shared" si="9"/>
        <v>1205.798015076396</v>
      </c>
      <c r="O113" s="13">
        <f t="shared" si="10"/>
        <v>25454.207169146641</v>
      </c>
    </row>
    <row r="114" spans="1:15" x14ac:dyDescent="0.25">
      <c r="A114" s="1" t="s">
        <v>0</v>
      </c>
      <c r="B114" s="1" t="s">
        <v>4</v>
      </c>
      <c r="C114" s="1" t="s">
        <v>2</v>
      </c>
      <c r="D114" s="1">
        <v>55</v>
      </c>
      <c r="E114" s="1">
        <v>29.7</v>
      </c>
      <c r="F114" s="1">
        <v>2</v>
      </c>
      <c r="G114" s="7">
        <f t="shared" si="8"/>
        <v>1</v>
      </c>
      <c r="H114" s="7">
        <f t="shared" si="11"/>
        <v>0</v>
      </c>
      <c r="I114" s="7">
        <f t="shared" si="12"/>
        <v>0</v>
      </c>
      <c r="J114" s="7">
        <f t="shared" si="12"/>
        <v>0</v>
      </c>
      <c r="K114" s="7">
        <f t="shared" si="12"/>
        <v>0</v>
      </c>
      <c r="L114" s="11">
        <v>11881.358</v>
      </c>
      <c r="M114" s="12" cm="1">
        <f t="array" ref="M114">IF(($R$34+SUMPRODUCT(TRANSPOSE(D114:K114),$R$35:$R$42))&lt;0,"-",$R$34+SUMPRODUCT(TRANSPOSE(D114:K114),$R$35:$R$42))</f>
        <v>12253.556484626311</v>
      </c>
      <c r="N114" s="13">
        <f t="shared" si="9"/>
        <v>129.35190759118814</v>
      </c>
      <c r="O114" s="13">
        <f t="shared" si="10"/>
        <v>24377.761061661433</v>
      </c>
    </row>
    <row r="115" spans="1:15" x14ac:dyDescent="0.25">
      <c r="A115" s="1" t="s">
        <v>3</v>
      </c>
      <c r="B115" s="1" t="s">
        <v>4</v>
      </c>
      <c r="C115" s="1" t="s">
        <v>2</v>
      </c>
      <c r="D115" s="1">
        <v>37</v>
      </c>
      <c r="E115" s="1">
        <v>30.8</v>
      </c>
      <c r="F115" s="1">
        <v>0</v>
      </c>
      <c r="G115" s="7">
        <f t="shared" si="8"/>
        <v>0</v>
      </c>
      <c r="H115" s="7">
        <f t="shared" si="11"/>
        <v>0</v>
      </c>
      <c r="I115" s="7">
        <f t="shared" si="12"/>
        <v>0</v>
      </c>
      <c r="J115" s="7">
        <f t="shared" si="12"/>
        <v>0</v>
      </c>
      <c r="K115" s="7">
        <f t="shared" si="12"/>
        <v>0</v>
      </c>
      <c r="L115" s="11">
        <v>4646.759</v>
      </c>
      <c r="M115" s="12" cm="1">
        <f t="array" ref="M115">IF(($R$34+SUMPRODUCT(TRANSPOSE(D115:K115),$R$35:$R$42))&lt;0,"-",$R$34+SUMPRODUCT(TRANSPOSE(D115:K115),$R$35:$R$42))</f>
        <v>6920.9394882326014</v>
      </c>
      <c r="N115" s="13" t="str">
        <f t="shared" si="9"/>
        <v>-</v>
      </c>
      <c r="O115" s="13">
        <f t="shared" si="10"/>
        <v>19045.144065267727</v>
      </c>
    </row>
    <row r="116" spans="1:15" x14ac:dyDescent="0.25">
      <c r="A116" s="1" t="s">
        <v>0</v>
      </c>
      <c r="B116" s="1" t="s">
        <v>4</v>
      </c>
      <c r="C116" s="1" t="s">
        <v>6</v>
      </c>
      <c r="D116" s="1">
        <v>21</v>
      </c>
      <c r="E116" s="1">
        <v>35.72</v>
      </c>
      <c r="F116" s="1">
        <v>0</v>
      </c>
      <c r="G116" s="7">
        <f t="shared" si="8"/>
        <v>1</v>
      </c>
      <c r="H116" s="7">
        <f t="shared" si="11"/>
        <v>0</v>
      </c>
      <c r="I116" s="7">
        <f t="shared" si="12"/>
        <v>0</v>
      </c>
      <c r="J116" s="7">
        <f t="shared" si="12"/>
        <v>1</v>
      </c>
      <c r="K116" s="7">
        <f t="shared" si="12"/>
        <v>0</v>
      </c>
      <c r="L116" s="11">
        <v>2404.7338</v>
      </c>
      <c r="M116" s="12" cm="1">
        <f t="array" ref="M116">IF(($R$34+SUMPRODUCT(TRANSPOSE(D116:K116),$R$35:$R$42))&lt;0,"-",$R$34+SUMPRODUCT(TRANSPOSE(D116:K116),$R$35:$R$42))</f>
        <v>5218.4710906716646</v>
      </c>
      <c r="N116" s="13" t="str">
        <f t="shared" si="9"/>
        <v>-</v>
      </c>
      <c r="O116" s="13">
        <f t="shared" si="10"/>
        <v>17342.67566770679</v>
      </c>
    </row>
    <row r="117" spans="1:15" x14ac:dyDescent="0.25">
      <c r="A117" s="1" t="s">
        <v>3</v>
      </c>
      <c r="B117" s="1" t="s">
        <v>4</v>
      </c>
      <c r="C117" s="1" t="s">
        <v>7</v>
      </c>
      <c r="D117" s="1">
        <v>52</v>
      </c>
      <c r="E117" s="1">
        <v>32.204999999999998</v>
      </c>
      <c r="F117" s="1">
        <v>3</v>
      </c>
      <c r="G117" s="7">
        <f t="shared" si="8"/>
        <v>0</v>
      </c>
      <c r="H117" s="7">
        <f t="shared" si="11"/>
        <v>0</v>
      </c>
      <c r="I117" s="7">
        <f t="shared" si="12"/>
        <v>0</v>
      </c>
      <c r="J117" s="7">
        <f t="shared" si="12"/>
        <v>0</v>
      </c>
      <c r="K117" s="7">
        <f t="shared" si="12"/>
        <v>1</v>
      </c>
      <c r="L117" s="11">
        <v>11488.31695</v>
      </c>
      <c r="M117" s="12" cm="1">
        <f t="array" ref="M117">IF(($R$34+SUMPRODUCT(TRANSPOSE(D117:K117),$R$35:$R$42))&lt;0,"-",$R$34+SUMPRODUCT(TRANSPOSE(D117:K117),$R$35:$R$42))</f>
        <v>13636.904205364281</v>
      </c>
      <c r="N117" s="13">
        <f t="shared" si="9"/>
        <v>1512.6996283291573</v>
      </c>
      <c r="O117" s="13">
        <f t="shared" si="10"/>
        <v>25761.108782399402</v>
      </c>
    </row>
    <row r="118" spans="1:15" x14ac:dyDescent="0.25">
      <c r="A118" s="1" t="s">
        <v>3</v>
      </c>
      <c r="B118" s="1" t="s">
        <v>4</v>
      </c>
      <c r="C118" s="1" t="s">
        <v>7</v>
      </c>
      <c r="D118" s="1">
        <v>60</v>
      </c>
      <c r="E118" s="1">
        <v>28.594999999999999</v>
      </c>
      <c r="F118" s="1">
        <v>0</v>
      </c>
      <c r="G118" s="7">
        <f t="shared" si="8"/>
        <v>0</v>
      </c>
      <c r="H118" s="7">
        <f t="shared" si="11"/>
        <v>0</v>
      </c>
      <c r="I118" s="7">
        <f t="shared" si="12"/>
        <v>0</v>
      </c>
      <c r="J118" s="7">
        <f t="shared" si="12"/>
        <v>0</v>
      </c>
      <c r="K118" s="7">
        <f t="shared" si="12"/>
        <v>1</v>
      </c>
      <c r="L118" s="11">
        <v>30259.995559999999</v>
      </c>
      <c r="M118" s="12" cm="1">
        <f t="array" ref="M118">IF(($R$34+SUMPRODUCT(TRANSPOSE(D118:K118),$R$35:$R$42))&lt;0,"-",$R$34+SUMPRODUCT(TRANSPOSE(D118:K118),$R$35:$R$42))</f>
        <v>13040.765022680534</v>
      </c>
      <c r="N118" s="13">
        <f t="shared" si="9"/>
        <v>916.56044564541116</v>
      </c>
      <c r="O118" s="13">
        <f t="shared" si="10"/>
        <v>25164.96959971566</v>
      </c>
    </row>
    <row r="119" spans="1:15" x14ac:dyDescent="0.25">
      <c r="A119" s="1" t="s">
        <v>3</v>
      </c>
      <c r="B119" s="1" t="s">
        <v>4</v>
      </c>
      <c r="C119" s="1" t="s">
        <v>5</v>
      </c>
      <c r="D119" s="1">
        <v>58</v>
      </c>
      <c r="E119" s="1">
        <v>49.06</v>
      </c>
      <c r="F119" s="1">
        <v>0</v>
      </c>
      <c r="G119" s="7">
        <f t="shared" si="8"/>
        <v>0</v>
      </c>
      <c r="H119" s="7">
        <f t="shared" si="11"/>
        <v>0</v>
      </c>
      <c r="I119" s="7">
        <f t="shared" si="12"/>
        <v>1</v>
      </c>
      <c r="J119" s="7">
        <f t="shared" si="12"/>
        <v>0</v>
      </c>
      <c r="K119" s="7">
        <f t="shared" si="12"/>
        <v>0</v>
      </c>
      <c r="L119" s="11">
        <v>11381.3254</v>
      </c>
      <c r="M119" s="12" cm="1">
        <f t="array" ref="M119">IF(($R$34+SUMPRODUCT(TRANSPOSE(D119:K119),$R$35:$R$42))&lt;0,"-",$R$34+SUMPRODUCT(TRANSPOSE(D119:K119),$R$35:$R$42))</f>
        <v>18433.624296363858</v>
      </c>
      <c r="N119" s="13">
        <f t="shared" si="9"/>
        <v>6309.4197193287346</v>
      </c>
      <c r="O119" s="13">
        <f t="shared" si="10"/>
        <v>30557.828873398983</v>
      </c>
    </row>
    <row r="120" spans="1:15" x14ac:dyDescent="0.25">
      <c r="A120" s="1" t="s">
        <v>0</v>
      </c>
      <c r="B120" s="1" t="s">
        <v>1</v>
      </c>
      <c r="C120" s="1" t="s">
        <v>5</v>
      </c>
      <c r="D120" s="1">
        <v>29</v>
      </c>
      <c r="E120" s="1">
        <v>27.94</v>
      </c>
      <c r="F120" s="1">
        <v>1</v>
      </c>
      <c r="G120" s="7">
        <f t="shared" si="8"/>
        <v>1</v>
      </c>
      <c r="H120" s="7">
        <f t="shared" si="11"/>
        <v>1</v>
      </c>
      <c r="I120" s="7">
        <f t="shared" si="12"/>
        <v>1</v>
      </c>
      <c r="J120" s="7">
        <f t="shared" si="12"/>
        <v>0</v>
      </c>
      <c r="K120" s="7">
        <f t="shared" si="12"/>
        <v>0</v>
      </c>
      <c r="L120" s="11">
        <v>19107.779600000002</v>
      </c>
      <c r="M120" s="12" cm="1">
        <f t="array" ref="M120">IF(($R$34+SUMPRODUCT(TRANSPOSE(D120:K120),$R$35:$R$42))&lt;0,"-",$R$34+SUMPRODUCT(TRANSPOSE(D120:K120),$R$35:$R$42))</f>
        <v>28276.373778976864</v>
      </c>
      <c r="N120" s="13">
        <f t="shared" si="9"/>
        <v>16152.169201941741</v>
      </c>
      <c r="O120" s="13">
        <f t="shared" si="10"/>
        <v>40400.578356011989</v>
      </c>
    </row>
    <row r="121" spans="1:15" x14ac:dyDescent="0.25">
      <c r="A121" s="1" t="s">
        <v>0</v>
      </c>
      <c r="B121" s="1" t="s">
        <v>4</v>
      </c>
      <c r="C121" s="1" t="s">
        <v>5</v>
      </c>
      <c r="D121" s="1">
        <v>49</v>
      </c>
      <c r="E121" s="1">
        <v>27.17</v>
      </c>
      <c r="F121" s="1">
        <v>0</v>
      </c>
      <c r="G121" s="7">
        <f t="shared" si="8"/>
        <v>1</v>
      </c>
      <c r="H121" s="7">
        <f t="shared" si="11"/>
        <v>0</v>
      </c>
      <c r="I121" s="7">
        <f t="shared" si="12"/>
        <v>1</v>
      </c>
      <c r="J121" s="7">
        <f t="shared" si="12"/>
        <v>0</v>
      </c>
      <c r="K121" s="7">
        <f t="shared" si="12"/>
        <v>0</v>
      </c>
      <c r="L121" s="11">
        <v>8601.3292999999994</v>
      </c>
      <c r="M121" s="12" cm="1">
        <f t="array" ref="M121">IF(($R$34+SUMPRODUCT(TRANSPOSE(D121:K121),$R$35:$R$42))&lt;0,"-",$R$34+SUMPRODUCT(TRANSPOSE(D121:K121),$R$35:$R$42))</f>
        <v>8828.2867833815471</v>
      </c>
      <c r="N121" s="13" t="str">
        <f t="shared" si="9"/>
        <v>-</v>
      </c>
      <c r="O121" s="13">
        <f t="shared" si="10"/>
        <v>20952.491360416672</v>
      </c>
    </row>
    <row r="122" spans="1:15" x14ac:dyDescent="0.25">
      <c r="A122" s="1" t="s">
        <v>0</v>
      </c>
      <c r="B122" s="1" t="s">
        <v>4</v>
      </c>
      <c r="C122" s="1" t="s">
        <v>6</v>
      </c>
      <c r="D122" s="1">
        <v>37</v>
      </c>
      <c r="E122" s="1">
        <v>23.37</v>
      </c>
      <c r="F122" s="1">
        <v>2</v>
      </c>
      <c r="G122" s="7">
        <f t="shared" si="8"/>
        <v>1</v>
      </c>
      <c r="H122" s="7">
        <f t="shared" si="11"/>
        <v>0</v>
      </c>
      <c r="I122" s="7">
        <f t="shared" si="12"/>
        <v>0</v>
      </c>
      <c r="J122" s="7">
        <f t="shared" si="12"/>
        <v>1</v>
      </c>
      <c r="K122" s="7">
        <f t="shared" si="12"/>
        <v>0</v>
      </c>
      <c r="L122" s="11">
        <v>6686.4313000000002</v>
      </c>
      <c r="M122" s="12" cm="1">
        <f t="array" ref="M122">IF(($R$34+SUMPRODUCT(TRANSPOSE(D122:K122),$R$35:$R$42))&lt;0,"-",$R$34+SUMPRODUCT(TRANSPOSE(D122:K122),$R$35:$R$42))</f>
        <v>6090.1346694736239</v>
      </c>
      <c r="N122" s="13" t="str">
        <f t="shared" si="9"/>
        <v>-</v>
      </c>
      <c r="O122" s="13">
        <f t="shared" si="10"/>
        <v>18214.339246508745</v>
      </c>
    </row>
    <row r="123" spans="1:15" x14ac:dyDescent="0.25">
      <c r="A123" s="1" t="s">
        <v>3</v>
      </c>
      <c r="B123" s="1" t="s">
        <v>4</v>
      </c>
      <c r="C123" s="1" t="s">
        <v>2</v>
      </c>
      <c r="D123" s="1">
        <v>44</v>
      </c>
      <c r="E123" s="1">
        <v>37.1</v>
      </c>
      <c r="F123" s="1">
        <v>2</v>
      </c>
      <c r="G123" s="7">
        <f t="shared" si="8"/>
        <v>0</v>
      </c>
      <c r="H123" s="7">
        <f t="shared" si="11"/>
        <v>0</v>
      </c>
      <c r="I123" s="7">
        <f t="shared" si="12"/>
        <v>0</v>
      </c>
      <c r="J123" s="7">
        <f t="shared" si="12"/>
        <v>0</v>
      </c>
      <c r="K123" s="7">
        <f t="shared" si="12"/>
        <v>0</v>
      </c>
      <c r="L123" s="11">
        <v>7740.3370000000004</v>
      </c>
      <c r="M123" s="12" cm="1">
        <f t="array" ref="M123">IF(($R$34+SUMPRODUCT(TRANSPOSE(D123:K123),$R$35:$R$42))&lt;0,"-",$R$34+SUMPRODUCT(TRANSPOSE(D123:K123),$R$35:$R$42))</f>
        <v>11806.853804040595</v>
      </c>
      <c r="N123" s="13" t="str">
        <f t="shared" si="9"/>
        <v>-</v>
      </c>
      <c r="O123" s="13">
        <f t="shared" si="10"/>
        <v>23931.058381075716</v>
      </c>
    </row>
    <row r="124" spans="1:15" x14ac:dyDescent="0.25">
      <c r="A124" s="1" t="s">
        <v>3</v>
      </c>
      <c r="B124" s="1" t="s">
        <v>4</v>
      </c>
      <c r="C124" s="1" t="s">
        <v>7</v>
      </c>
      <c r="D124" s="1">
        <v>18</v>
      </c>
      <c r="E124" s="1">
        <v>23.75</v>
      </c>
      <c r="F124" s="1">
        <v>0</v>
      </c>
      <c r="G124" s="7">
        <f t="shared" si="8"/>
        <v>0</v>
      </c>
      <c r="H124" s="7">
        <f t="shared" si="11"/>
        <v>0</v>
      </c>
      <c r="I124" s="7">
        <f t="shared" si="12"/>
        <v>0</v>
      </c>
      <c r="J124" s="7">
        <f t="shared" si="12"/>
        <v>0</v>
      </c>
      <c r="K124" s="7">
        <f t="shared" si="12"/>
        <v>1</v>
      </c>
      <c r="L124" s="11">
        <v>1705.6244999999999</v>
      </c>
      <c r="M124" s="12" cm="1">
        <f t="array" ref="M124">IF(($R$34+SUMPRODUCT(TRANSPOSE(D124:K124),$R$35:$R$42))&lt;0,"-",$R$34+SUMPRODUCT(TRANSPOSE(D124:K124),$R$35:$R$42))</f>
        <v>609.4059333674013</v>
      </c>
      <c r="N124" s="13" t="str">
        <f t="shared" si="9"/>
        <v>-</v>
      </c>
      <c r="O124" s="13">
        <f t="shared" si="10"/>
        <v>12733.610510402525</v>
      </c>
    </row>
    <row r="125" spans="1:15" x14ac:dyDescent="0.25">
      <c r="A125" s="1" t="s">
        <v>0</v>
      </c>
      <c r="B125" s="1" t="s">
        <v>4</v>
      </c>
      <c r="C125" s="1" t="s">
        <v>6</v>
      </c>
      <c r="D125" s="1">
        <v>20</v>
      </c>
      <c r="E125" s="1">
        <v>28.975000000000001</v>
      </c>
      <c r="F125" s="1">
        <v>0</v>
      </c>
      <c r="G125" s="7">
        <f t="shared" si="8"/>
        <v>1</v>
      </c>
      <c r="H125" s="7">
        <f t="shared" si="11"/>
        <v>0</v>
      </c>
      <c r="I125" s="7">
        <f t="shared" si="12"/>
        <v>0</v>
      </c>
      <c r="J125" s="7">
        <f t="shared" si="12"/>
        <v>1</v>
      </c>
      <c r="K125" s="7">
        <f t="shared" si="12"/>
        <v>0</v>
      </c>
      <c r="L125" s="11">
        <v>2257.47525</v>
      </c>
      <c r="M125" s="12" cm="1">
        <f t="array" ref="M125">IF(($R$34+SUMPRODUCT(TRANSPOSE(D125:K125),$R$35:$R$42))&lt;0,"-",$R$34+SUMPRODUCT(TRANSPOSE(D125:K125),$R$35:$R$42))</f>
        <v>2673.7548935291998</v>
      </c>
      <c r="N125" s="13" t="str">
        <f t="shared" si="9"/>
        <v>-</v>
      </c>
      <c r="O125" s="13">
        <f t="shared" si="10"/>
        <v>14797.959470564323</v>
      </c>
    </row>
    <row r="126" spans="1:15" x14ac:dyDescent="0.25">
      <c r="A126" s="1" t="s">
        <v>3</v>
      </c>
      <c r="B126" s="1" t="s">
        <v>1</v>
      </c>
      <c r="C126" s="1" t="s">
        <v>7</v>
      </c>
      <c r="D126" s="1">
        <v>44</v>
      </c>
      <c r="E126" s="1">
        <v>31.35</v>
      </c>
      <c r="F126" s="1">
        <v>1</v>
      </c>
      <c r="G126" s="7">
        <f t="shared" si="8"/>
        <v>0</v>
      </c>
      <c r="H126" s="7">
        <f t="shared" si="11"/>
        <v>1</v>
      </c>
      <c r="I126" s="7">
        <f t="shared" si="12"/>
        <v>0</v>
      </c>
      <c r="J126" s="7">
        <f t="shared" si="12"/>
        <v>0</v>
      </c>
      <c r="K126" s="7">
        <f t="shared" si="12"/>
        <v>1</v>
      </c>
      <c r="L126" s="11">
        <v>39556.494500000001</v>
      </c>
      <c r="M126" s="12" cm="1">
        <f t="array" ref="M126">IF(($R$34+SUMPRODUCT(TRANSPOSE(D126:K126),$R$35:$R$42))&lt;0,"-",$R$34+SUMPRODUCT(TRANSPOSE(D126:K126),$R$35:$R$42))</f>
        <v>34189.576433842754</v>
      </c>
      <c r="N126" s="13">
        <f t="shared" si="9"/>
        <v>22065.371856807629</v>
      </c>
      <c r="O126" s="13">
        <f t="shared" si="10"/>
        <v>46313.781010877879</v>
      </c>
    </row>
    <row r="127" spans="1:15" x14ac:dyDescent="0.25">
      <c r="A127" s="1" t="s">
        <v>0</v>
      </c>
      <c r="B127" s="1" t="s">
        <v>4</v>
      </c>
      <c r="C127" s="1" t="s">
        <v>6</v>
      </c>
      <c r="D127" s="1">
        <v>47</v>
      </c>
      <c r="E127" s="1">
        <v>33.914999999999999</v>
      </c>
      <c r="F127" s="1">
        <v>3</v>
      </c>
      <c r="G127" s="7">
        <f t="shared" si="8"/>
        <v>1</v>
      </c>
      <c r="H127" s="7">
        <f t="shared" si="11"/>
        <v>0</v>
      </c>
      <c r="I127" s="7">
        <f t="shared" si="12"/>
        <v>0</v>
      </c>
      <c r="J127" s="7">
        <f t="shared" si="12"/>
        <v>1</v>
      </c>
      <c r="K127" s="7">
        <f t="shared" si="12"/>
        <v>0</v>
      </c>
      <c r="L127" s="11">
        <v>10115.00885</v>
      </c>
      <c r="M127" s="12" cm="1">
        <f t="array" ref="M127">IF(($R$34+SUMPRODUCT(TRANSPOSE(D127:K127),$R$35:$R$42))&lt;0,"-",$R$34+SUMPRODUCT(TRANSPOSE(D127:K127),$R$35:$R$42))</f>
        <v>12710.993708322545</v>
      </c>
      <c r="N127" s="13">
        <f t="shared" si="9"/>
        <v>586.7891312874217</v>
      </c>
      <c r="O127" s="13">
        <f t="shared" si="10"/>
        <v>24835.19828535767</v>
      </c>
    </row>
    <row r="128" spans="1:15" x14ac:dyDescent="0.25">
      <c r="A128" s="1" t="s">
        <v>0</v>
      </c>
      <c r="B128" s="1" t="s">
        <v>4</v>
      </c>
      <c r="C128" s="1" t="s">
        <v>7</v>
      </c>
      <c r="D128" s="1">
        <v>26</v>
      </c>
      <c r="E128" s="1">
        <v>28.785</v>
      </c>
      <c r="F128" s="1">
        <v>0</v>
      </c>
      <c r="G128" s="7">
        <f t="shared" si="8"/>
        <v>1</v>
      </c>
      <c r="H128" s="7">
        <f t="shared" si="11"/>
        <v>0</v>
      </c>
      <c r="I128" s="7">
        <f t="shared" si="12"/>
        <v>0</v>
      </c>
      <c r="J128" s="7">
        <f t="shared" si="12"/>
        <v>0</v>
      </c>
      <c r="K128" s="7">
        <f t="shared" si="12"/>
        <v>1</v>
      </c>
      <c r="L128" s="11">
        <v>3385.3991500000002</v>
      </c>
      <c r="M128" s="12" cm="1">
        <f t="array" ref="M128">IF(($R$34+SUMPRODUCT(TRANSPOSE(D128:K128),$R$35:$R$42))&lt;0,"-",$R$34+SUMPRODUCT(TRANSPOSE(D128:K128),$R$35:$R$42))</f>
        <v>4503.4101519918695</v>
      </c>
      <c r="N128" s="13" t="str">
        <f t="shared" si="9"/>
        <v>-</v>
      </c>
      <c r="O128" s="13">
        <f t="shared" si="10"/>
        <v>16627.614729026995</v>
      </c>
    </row>
    <row r="129" spans="1:15" x14ac:dyDescent="0.25">
      <c r="A129" s="1" t="s">
        <v>0</v>
      </c>
      <c r="B129" s="1" t="s">
        <v>1</v>
      </c>
      <c r="C129" s="1" t="s">
        <v>2</v>
      </c>
      <c r="D129" s="1">
        <v>19</v>
      </c>
      <c r="E129" s="1">
        <v>28.3</v>
      </c>
      <c r="F129" s="1">
        <v>0</v>
      </c>
      <c r="G129" s="7">
        <f t="shared" si="8"/>
        <v>1</v>
      </c>
      <c r="H129" s="7">
        <f t="shared" si="11"/>
        <v>1</v>
      </c>
      <c r="I129" s="7">
        <f t="shared" si="12"/>
        <v>0</v>
      </c>
      <c r="J129" s="7">
        <f t="shared" si="12"/>
        <v>0</v>
      </c>
      <c r="K129" s="7">
        <f t="shared" si="12"/>
        <v>0</v>
      </c>
      <c r="L129" s="11">
        <v>17081.080000000002</v>
      </c>
      <c r="M129" s="12" cm="1">
        <f t="array" ref="M129">IF(($R$34+SUMPRODUCT(TRANSPOSE(D129:K129),$R$35:$R$42))&lt;0,"-",$R$34+SUMPRODUCT(TRANSPOSE(D129:K129),$R$35:$R$42))</f>
        <v>25429.390409841144</v>
      </c>
      <c r="N129" s="13">
        <f t="shared" si="9"/>
        <v>13305.185832806021</v>
      </c>
      <c r="O129" s="13">
        <f t="shared" si="10"/>
        <v>37553.594986876269</v>
      </c>
    </row>
    <row r="130" spans="1:15" x14ac:dyDescent="0.25">
      <c r="A130" s="1" t="s">
        <v>0</v>
      </c>
      <c r="B130" s="1" t="s">
        <v>4</v>
      </c>
      <c r="C130" s="1" t="s">
        <v>2</v>
      </c>
      <c r="D130" s="1">
        <v>52</v>
      </c>
      <c r="E130" s="1">
        <v>37.4</v>
      </c>
      <c r="F130" s="1">
        <v>0</v>
      </c>
      <c r="G130" s="7">
        <f t="shared" si="8"/>
        <v>1</v>
      </c>
      <c r="H130" s="7">
        <f t="shared" si="11"/>
        <v>0</v>
      </c>
      <c r="I130" s="7">
        <f t="shared" si="12"/>
        <v>0</v>
      </c>
      <c r="J130" s="7">
        <f t="shared" si="12"/>
        <v>0</v>
      </c>
      <c r="K130" s="7">
        <f t="shared" si="12"/>
        <v>0</v>
      </c>
      <c r="L130" s="11">
        <v>9634.5380000000005</v>
      </c>
      <c r="M130" s="12" cm="1">
        <f t="array" ref="M130">IF(($R$34+SUMPRODUCT(TRANSPOSE(D130:K130),$R$35:$R$42))&lt;0,"-",$R$34+SUMPRODUCT(TRANSPOSE(D130:K130),$R$35:$R$42))</f>
        <v>13143.775929519474</v>
      </c>
      <c r="N130" s="13">
        <f t="shared" si="9"/>
        <v>1019.5713524843504</v>
      </c>
      <c r="O130" s="13">
        <f t="shared" si="10"/>
        <v>25267.980506554595</v>
      </c>
    </row>
    <row r="131" spans="1:15" x14ac:dyDescent="0.25">
      <c r="A131" s="1" t="s">
        <v>0</v>
      </c>
      <c r="B131" s="1" t="s">
        <v>1</v>
      </c>
      <c r="C131" s="1" t="s">
        <v>6</v>
      </c>
      <c r="D131" s="1">
        <v>32</v>
      </c>
      <c r="E131" s="1">
        <v>17.765000000000001</v>
      </c>
      <c r="F131" s="1">
        <v>2</v>
      </c>
      <c r="G131" s="7">
        <f t="shared" ref="G131:G194" si="19">IF($A131=G$2,1,0)</f>
        <v>1</v>
      </c>
      <c r="H131" s="7">
        <f t="shared" si="11"/>
        <v>1</v>
      </c>
      <c r="I131" s="7">
        <f t="shared" si="12"/>
        <v>0</v>
      </c>
      <c r="J131" s="7">
        <f t="shared" si="12"/>
        <v>1</v>
      </c>
      <c r="K131" s="7">
        <f t="shared" si="12"/>
        <v>0</v>
      </c>
      <c r="L131" s="11">
        <v>32734.186300000001</v>
      </c>
      <c r="M131" s="12" cm="1">
        <f t="array" ref="M131">IF(($R$34+SUMPRODUCT(TRANSPOSE(D131:K131),$R$35:$R$42))&lt;0,"-",$R$34+SUMPRODUCT(TRANSPOSE(D131:K131),$R$35:$R$42))</f>
        <v>26753.208141210918</v>
      </c>
      <c r="N131" s="13">
        <f t="shared" ref="N131:N194" si="20">IFERROR(IF($M131-(2*$R$24)&lt;0,"-",($M131-(2*$R$24))),"-")</f>
        <v>14629.003564175795</v>
      </c>
      <c r="O131" s="13">
        <f t="shared" ref="O131:O194" si="21">IFERROR(IF($L131+(2*$R$24)&lt;0,"-",($M131+(2*$R$24))),"-")</f>
        <v>38877.412718246043</v>
      </c>
    </row>
    <row r="132" spans="1:15" x14ac:dyDescent="0.25">
      <c r="A132" s="1" t="s">
        <v>3</v>
      </c>
      <c r="B132" s="1" t="s">
        <v>4</v>
      </c>
      <c r="C132" s="1" t="s">
        <v>2</v>
      </c>
      <c r="D132" s="1">
        <v>38</v>
      </c>
      <c r="E132" s="1">
        <v>34.700000000000003</v>
      </c>
      <c r="F132" s="1">
        <v>2</v>
      </c>
      <c r="G132" s="7">
        <f t="shared" si="19"/>
        <v>0</v>
      </c>
      <c r="H132" s="7">
        <f t="shared" ref="H132:H195" si="22">IF(B132="yes",1,0)</f>
        <v>0</v>
      </c>
      <c r="I132" s="7">
        <f t="shared" ref="I132:K195" si="23">IF($C132=I$2,1,0)</f>
        <v>0</v>
      </c>
      <c r="J132" s="7">
        <f t="shared" si="23"/>
        <v>0</v>
      </c>
      <c r="K132" s="7">
        <f t="shared" si="23"/>
        <v>0</v>
      </c>
      <c r="L132" s="11">
        <v>6082.4049999999997</v>
      </c>
      <c r="M132" s="12" cm="1">
        <f t="array" ref="M132">IF(($R$34+SUMPRODUCT(TRANSPOSE(D132:K132),$R$35:$R$42))&lt;0,"-",$R$34+SUMPRODUCT(TRANSPOSE(D132:K132),$R$35:$R$42))</f>
        <v>9451.6514001504947</v>
      </c>
      <c r="N132" s="13" t="str">
        <f t="shared" si="20"/>
        <v>-</v>
      </c>
      <c r="O132" s="13">
        <f t="shared" si="21"/>
        <v>21575.855977185616</v>
      </c>
    </row>
    <row r="133" spans="1:15" x14ac:dyDescent="0.25">
      <c r="A133" s="1" t="s">
        <v>0</v>
      </c>
      <c r="B133" s="1" t="s">
        <v>4</v>
      </c>
      <c r="C133" s="1" t="s">
        <v>7</v>
      </c>
      <c r="D133" s="1">
        <v>59</v>
      </c>
      <c r="E133" s="1">
        <v>26.504999999999999</v>
      </c>
      <c r="F133" s="1">
        <v>0</v>
      </c>
      <c r="G133" s="7">
        <f t="shared" si="19"/>
        <v>1</v>
      </c>
      <c r="H133" s="7">
        <f t="shared" si="22"/>
        <v>0</v>
      </c>
      <c r="I133" s="7">
        <f t="shared" si="23"/>
        <v>0</v>
      </c>
      <c r="J133" s="7">
        <f t="shared" si="23"/>
        <v>0</v>
      </c>
      <c r="K133" s="7">
        <f t="shared" si="23"/>
        <v>1</v>
      </c>
      <c r="L133" s="11">
        <v>12815.444949999999</v>
      </c>
      <c r="M133" s="12" cm="1">
        <f t="array" ref="M133">IF(($R$34+SUMPRODUCT(TRANSPOSE(D133:K133),$R$35:$R$42))&lt;0,"-",$R$34+SUMPRODUCT(TRANSPOSE(D133:K133),$R$35:$R$42))</f>
        <v>12206.308711491634</v>
      </c>
      <c r="N133" s="13">
        <f t="shared" si="20"/>
        <v>82.104134456511019</v>
      </c>
      <c r="O133" s="13">
        <f t="shared" si="21"/>
        <v>24330.513288526759</v>
      </c>
    </row>
    <row r="134" spans="1:15" x14ac:dyDescent="0.25">
      <c r="A134" s="1" t="s">
        <v>0</v>
      </c>
      <c r="B134" s="1" t="s">
        <v>4</v>
      </c>
      <c r="C134" s="1" t="s">
        <v>7</v>
      </c>
      <c r="D134" s="1">
        <v>61</v>
      </c>
      <c r="E134" s="1">
        <v>22.04</v>
      </c>
      <c r="F134" s="1">
        <v>0</v>
      </c>
      <c r="G134" s="7">
        <f t="shared" si="19"/>
        <v>1</v>
      </c>
      <c r="H134" s="7">
        <f t="shared" si="22"/>
        <v>0</v>
      </c>
      <c r="I134" s="7">
        <f t="shared" si="23"/>
        <v>0</v>
      </c>
      <c r="J134" s="7">
        <f t="shared" si="23"/>
        <v>0</v>
      </c>
      <c r="K134" s="7">
        <f t="shared" si="23"/>
        <v>1</v>
      </c>
      <c r="L134" s="11">
        <v>13616.3586</v>
      </c>
      <c r="M134" s="12" cm="1">
        <f t="array" ref="M134">IF(($R$34+SUMPRODUCT(TRANSPOSE(D134:K134),$R$35:$R$42))&lt;0,"-",$R$34+SUMPRODUCT(TRANSPOSE(D134:K134),$R$35:$R$42))</f>
        <v>11205.522646193931</v>
      </c>
      <c r="N134" s="13" t="str">
        <f t="shared" si="20"/>
        <v>-</v>
      </c>
      <c r="O134" s="13">
        <f t="shared" si="21"/>
        <v>23329.727223229056</v>
      </c>
    </row>
    <row r="135" spans="1:15" x14ac:dyDescent="0.25">
      <c r="A135" s="1" t="s">
        <v>0</v>
      </c>
      <c r="B135" s="1" t="s">
        <v>4</v>
      </c>
      <c r="C135" s="1" t="s">
        <v>2</v>
      </c>
      <c r="D135" s="1">
        <v>53</v>
      </c>
      <c r="E135" s="1">
        <v>35.9</v>
      </c>
      <c r="F135" s="1">
        <v>2</v>
      </c>
      <c r="G135" s="7">
        <f t="shared" si="19"/>
        <v>1</v>
      </c>
      <c r="H135" s="7">
        <f t="shared" si="22"/>
        <v>0</v>
      </c>
      <c r="I135" s="7">
        <f t="shared" si="23"/>
        <v>0</v>
      </c>
      <c r="J135" s="7">
        <f t="shared" si="23"/>
        <v>0</v>
      </c>
      <c r="K135" s="7">
        <f t="shared" si="23"/>
        <v>0</v>
      </c>
      <c r="L135" s="11">
        <v>11163.567999999999</v>
      </c>
      <c r="M135" s="12" cm="1">
        <f t="array" ref="M135">IF(($R$34+SUMPRODUCT(TRANSPOSE(D135:K135),$R$35:$R$42))&lt;0,"-",$R$34+SUMPRODUCT(TRANSPOSE(D135:K135),$R$35:$R$42))</f>
        <v>13842.843191938824</v>
      </c>
      <c r="N135" s="13">
        <f t="shared" si="20"/>
        <v>1718.6386149037007</v>
      </c>
      <c r="O135" s="13">
        <f t="shared" si="21"/>
        <v>25967.047768973949</v>
      </c>
    </row>
    <row r="136" spans="1:15" x14ac:dyDescent="0.25">
      <c r="A136" s="1" t="s">
        <v>3</v>
      </c>
      <c r="B136" s="1" t="s">
        <v>4</v>
      </c>
      <c r="C136" s="1" t="s">
        <v>6</v>
      </c>
      <c r="D136" s="1">
        <v>19</v>
      </c>
      <c r="E136" s="1">
        <v>25.555</v>
      </c>
      <c r="F136" s="1">
        <v>0</v>
      </c>
      <c r="G136" s="7">
        <f t="shared" si="19"/>
        <v>0</v>
      </c>
      <c r="H136" s="7">
        <f t="shared" si="22"/>
        <v>0</v>
      </c>
      <c r="I136" s="7">
        <f t="shared" si="23"/>
        <v>0</v>
      </c>
      <c r="J136" s="7">
        <f t="shared" si="23"/>
        <v>1</v>
      </c>
      <c r="K136" s="7">
        <f t="shared" si="23"/>
        <v>0</v>
      </c>
      <c r="L136" s="11">
        <v>1632.5644500000001</v>
      </c>
      <c r="M136" s="12" cm="1">
        <f t="array" ref="M136">IF(($R$34+SUMPRODUCT(TRANSPOSE(D136:K136),$R$35:$R$42))&lt;0,"-",$R$34+SUMPRODUCT(TRANSPOSE(D136:K136),$R$35:$R$42))</f>
        <v>1125.5425702476732</v>
      </c>
      <c r="N136" s="13" t="str">
        <f t="shared" si="20"/>
        <v>-</v>
      </c>
      <c r="O136" s="13">
        <f t="shared" si="21"/>
        <v>13249.747147282797</v>
      </c>
    </row>
    <row r="137" spans="1:15" x14ac:dyDescent="0.25">
      <c r="A137" s="1" t="s">
        <v>0</v>
      </c>
      <c r="B137" s="1" t="s">
        <v>4</v>
      </c>
      <c r="C137" s="1" t="s">
        <v>7</v>
      </c>
      <c r="D137" s="1">
        <v>20</v>
      </c>
      <c r="E137" s="1">
        <v>28.785</v>
      </c>
      <c r="F137" s="1">
        <v>0</v>
      </c>
      <c r="G137" s="7">
        <f t="shared" si="19"/>
        <v>1</v>
      </c>
      <c r="H137" s="7">
        <f t="shared" si="22"/>
        <v>0</v>
      </c>
      <c r="I137" s="7">
        <f t="shared" si="23"/>
        <v>0</v>
      </c>
      <c r="J137" s="7">
        <f t="shared" si="23"/>
        <v>0</v>
      </c>
      <c r="K137" s="7">
        <f t="shared" si="23"/>
        <v>1</v>
      </c>
      <c r="L137" s="11">
        <v>2457.2111500000001</v>
      </c>
      <c r="M137" s="12" cm="1">
        <f t="array" ref="M137">IF(($R$34+SUMPRODUCT(TRANSPOSE(D137:K137),$R$35:$R$42))&lt;0,"-",$R$34+SUMPRODUCT(TRANSPOSE(D137:K137),$R$35:$R$42))</f>
        <v>2962.272036767783</v>
      </c>
      <c r="N137" s="13" t="str">
        <f t="shared" si="20"/>
        <v>-</v>
      </c>
      <c r="O137" s="13">
        <f t="shared" si="21"/>
        <v>15086.476613802906</v>
      </c>
    </row>
    <row r="138" spans="1:15" x14ac:dyDescent="0.25">
      <c r="A138" s="1" t="s">
        <v>0</v>
      </c>
      <c r="B138" s="1" t="s">
        <v>4</v>
      </c>
      <c r="C138" s="1" t="s">
        <v>5</v>
      </c>
      <c r="D138" s="1">
        <v>22</v>
      </c>
      <c r="E138" s="1">
        <v>28.05</v>
      </c>
      <c r="F138" s="1">
        <v>0</v>
      </c>
      <c r="G138" s="7">
        <f t="shared" si="19"/>
        <v>1</v>
      </c>
      <c r="H138" s="7">
        <f t="shared" si="22"/>
        <v>0</v>
      </c>
      <c r="I138" s="7">
        <f t="shared" si="23"/>
        <v>1</v>
      </c>
      <c r="J138" s="7">
        <f t="shared" si="23"/>
        <v>0</v>
      </c>
      <c r="K138" s="7">
        <f t="shared" si="23"/>
        <v>0</v>
      </c>
      <c r="L138" s="11">
        <v>2155.6815000000001</v>
      </c>
      <c r="M138" s="12" cm="1">
        <f t="array" ref="M138">IF(($R$34+SUMPRODUCT(TRANSPOSE(D138:K138),$R$35:$R$42))&lt;0,"-",$R$34+SUMPRODUCT(TRANSPOSE(D138:K138),$R$35:$R$42))</f>
        <v>2191.6555040506919</v>
      </c>
      <c r="N138" s="13" t="str">
        <f t="shared" si="20"/>
        <v>-</v>
      </c>
      <c r="O138" s="13">
        <f t="shared" si="21"/>
        <v>14315.860081085815</v>
      </c>
    </row>
    <row r="139" spans="1:15" x14ac:dyDescent="0.25">
      <c r="A139" s="1" t="s">
        <v>3</v>
      </c>
      <c r="B139" s="1" t="s">
        <v>4</v>
      </c>
      <c r="C139" s="1" t="s">
        <v>2</v>
      </c>
      <c r="D139" s="1">
        <v>19</v>
      </c>
      <c r="E139" s="1">
        <v>34.1</v>
      </c>
      <c r="F139" s="1">
        <v>0</v>
      </c>
      <c r="G139" s="7">
        <f t="shared" si="19"/>
        <v>0</v>
      </c>
      <c r="H139" s="7">
        <f t="shared" si="22"/>
        <v>0</v>
      </c>
      <c r="I139" s="7">
        <f t="shared" si="23"/>
        <v>0</v>
      </c>
      <c r="J139" s="7">
        <f t="shared" si="23"/>
        <v>0</v>
      </c>
      <c r="K139" s="7">
        <f t="shared" si="23"/>
        <v>0</v>
      </c>
      <c r="L139" s="11">
        <v>1261.442</v>
      </c>
      <c r="M139" s="12" cm="1">
        <f t="array" ref="M139">IF(($R$34+SUMPRODUCT(TRANSPOSE(D139:K139),$R$35:$R$42))&lt;0,"-",$R$34+SUMPRODUCT(TRANSPOSE(D139:K139),$R$35:$R$42))</f>
        <v>3416.8635394761113</v>
      </c>
      <c r="N139" s="13" t="str">
        <f t="shared" si="20"/>
        <v>-</v>
      </c>
      <c r="O139" s="13">
        <f t="shared" si="21"/>
        <v>15541.068116511235</v>
      </c>
    </row>
    <row r="140" spans="1:15" x14ac:dyDescent="0.25">
      <c r="A140" s="1" t="s">
        <v>3</v>
      </c>
      <c r="B140" s="1" t="s">
        <v>4</v>
      </c>
      <c r="C140" s="1" t="s">
        <v>6</v>
      </c>
      <c r="D140" s="1">
        <v>22</v>
      </c>
      <c r="E140" s="1">
        <v>25.175000000000001</v>
      </c>
      <c r="F140" s="1">
        <v>0</v>
      </c>
      <c r="G140" s="7">
        <f t="shared" si="19"/>
        <v>0</v>
      </c>
      <c r="H140" s="7">
        <f t="shared" si="22"/>
        <v>0</v>
      </c>
      <c r="I140" s="7">
        <f t="shared" si="23"/>
        <v>0</v>
      </c>
      <c r="J140" s="7">
        <f t="shared" si="23"/>
        <v>1</v>
      </c>
      <c r="K140" s="7">
        <f t="shared" si="23"/>
        <v>0</v>
      </c>
      <c r="L140" s="11">
        <v>2045.68525</v>
      </c>
      <c r="M140" s="12" cm="1">
        <f t="array" ref="M140">IF(($R$34+SUMPRODUCT(TRANSPOSE(D140:K140),$R$35:$R$42))&lt;0,"-",$R$34+SUMPRODUCT(TRANSPOSE(D140:K140),$R$35:$R$42))</f>
        <v>1767.218115487598</v>
      </c>
      <c r="N140" s="13" t="str">
        <f t="shared" si="20"/>
        <v>-</v>
      </c>
      <c r="O140" s="13">
        <f t="shared" si="21"/>
        <v>13891.422692522721</v>
      </c>
    </row>
    <row r="141" spans="1:15" x14ac:dyDescent="0.25">
      <c r="A141" s="1" t="s">
        <v>0</v>
      </c>
      <c r="B141" s="1" t="s">
        <v>4</v>
      </c>
      <c r="C141" s="1" t="s">
        <v>5</v>
      </c>
      <c r="D141" s="1">
        <v>54</v>
      </c>
      <c r="E141" s="1">
        <v>31.9</v>
      </c>
      <c r="F141" s="1">
        <v>3</v>
      </c>
      <c r="G141" s="7">
        <f t="shared" si="19"/>
        <v>1</v>
      </c>
      <c r="H141" s="7">
        <f t="shared" si="22"/>
        <v>0</v>
      </c>
      <c r="I141" s="7">
        <f t="shared" si="23"/>
        <v>1</v>
      </c>
      <c r="J141" s="7">
        <f t="shared" si="23"/>
        <v>0</v>
      </c>
      <c r="K141" s="7">
        <f t="shared" si="23"/>
        <v>0</v>
      </c>
      <c r="L141" s="11">
        <v>27322.73386</v>
      </c>
      <c r="M141" s="12" cm="1">
        <f t="array" ref="M141">IF(($R$34+SUMPRODUCT(TRANSPOSE(D141:K141),$R$35:$R$42))&lt;0,"-",$R$34+SUMPRODUCT(TRANSPOSE(D141:K141),$R$35:$R$42))</f>
        <v>13143.455217094957</v>
      </c>
      <c r="N141" s="13">
        <f t="shared" si="20"/>
        <v>1019.250640059834</v>
      </c>
      <c r="O141" s="13">
        <f t="shared" si="21"/>
        <v>25267.659794130079</v>
      </c>
    </row>
    <row r="142" spans="1:15" x14ac:dyDescent="0.25">
      <c r="A142" s="1" t="s">
        <v>0</v>
      </c>
      <c r="B142" s="1" t="s">
        <v>4</v>
      </c>
      <c r="C142" s="1" t="s">
        <v>2</v>
      </c>
      <c r="D142" s="1">
        <v>22</v>
      </c>
      <c r="E142" s="1">
        <v>36</v>
      </c>
      <c r="F142" s="1">
        <v>0</v>
      </c>
      <c r="G142" s="7">
        <f t="shared" si="19"/>
        <v>1</v>
      </c>
      <c r="H142" s="7">
        <f t="shared" si="22"/>
        <v>0</v>
      </c>
      <c r="I142" s="7">
        <f t="shared" si="23"/>
        <v>0</v>
      </c>
      <c r="J142" s="7">
        <f t="shared" si="23"/>
        <v>0</v>
      </c>
      <c r="K142" s="7">
        <f t="shared" si="23"/>
        <v>0</v>
      </c>
      <c r="L142" s="11">
        <v>2166.732</v>
      </c>
      <c r="M142" s="12" cm="1">
        <f t="array" ref="M142">IF(($R$34+SUMPRODUCT(TRANSPOSE(D142:K142),$R$35:$R$42))&lt;0,"-",$R$34+SUMPRODUCT(TRANSPOSE(D142:K142),$R$35:$R$42))</f>
        <v>4963.2145183438588</v>
      </c>
      <c r="N142" s="13" t="str">
        <f t="shared" si="20"/>
        <v>-</v>
      </c>
      <c r="O142" s="13">
        <f t="shared" si="21"/>
        <v>17087.41909537898</v>
      </c>
    </row>
    <row r="143" spans="1:15" x14ac:dyDescent="0.25">
      <c r="A143" s="1" t="s">
        <v>3</v>
      </c>
      <c r="B143" s="1" t="s">
        <v>4</v>
      </c>
      <c r="C143" s="1" t="s">
        <v>7</v>
      </c>
      <c r="D143" s="1">
        <v>34</v>
      </c>
      <c r="E143" s="1">
        <v>22.42</v>
      </c>
      <c r="F143" s="1">
        <v>2</v>
      </c>
      <c r="G143" s="7">
        <f t="shared" si="19"/>
        <v>0</v>
      </c>
      <c r="H143" s="7">
        <f t="shared" si="22"/>
        <v>0</v>
      </c>
      <c r="I143" s="7">
        <f t="shared" si="23"/>
        <v>0</v>
      </c>
      <c r="J143" s="7">
        <f t="shared" si="23"/>
        <v>0</v>
      </c>
      <c r="K143" s="7">
        <f t="shared" si="23"/>
        <v>1</v>
      </c>
      <c r="L143" s="11">
        <v>27375.904780000001</v>
      </c>
      <c r="M143" s="12" cm="1">
        <f t="array" ref="M143">IF(($R$34+SUMPRODUCT(TRANSPOSE(D143:K143),$R$35:$R$42))&lt;0,"-",$R$34+SUMPRODUCT(TRANSPOSE(D143:K143),$R$35:$R$42))</f>
        <v>5218.981370960817</v>
      </c>
      <c r="N143" s="13" t="str">
        <f t="shared" si="20"/>
        <v>-</v>
      </c>
      <c r="O143" s="13">
        <f t="shared" si="21"/>
        <v>17343.185947995938</v>
      </c>
    </row>
    <row r="144" spans="1:15" x14ac:dyDescent="0.25">
      <c r="A144" s="1" t="s">
        <v>3</v>
      </c>
      <c r="B144" s="1" t="s">
        <v>4</v>
      </c>
      <c r="C144" s="1" t="s">
        <v>7</v>
      </c>
      <c r="D144" s="1">
        <v>26</v>
      </c>
      <c r="E144" s="1">
        <v>32.49</v>
      </c>
      <c r="F144" s="1">
        <v>1</v>
      </c>
      <c r="G144" s="7">
        <f t="shared" si="19"/>
        <v>0</v>
      </c>
      <c r="H144" s="7">
        <f t="shared" si="22"/>
        <v>0</v>
      </c>
      <c r="I144" s="7">
        <f t="shared" si="23"/>
        <v>0</v>
      </c>
      <c r="J144" s="7">
        <f t="shared" si="23"/>
        <v>0</v>
      </c>
      <c r="K144" s="7">
        <f t="shared" si="23"/>
        <v>1</v>
      </c>
      <c r="L144" s="11">
        <v>3490.5491000000002</v>
      </c>
      <c r="M144" s="12" cm="1">
        <f t="array" ref="M144">IF(($R$34+SUMPRODUCT(TRANSPOSE(D144:K144),$R$35:$R$42))&lt;0,"-",$R$34+SUMPRODUCT(TRANSPOSE(D144:K144),$R$35:$R$42))</f>
        <v>6104.3080833740605</v>
      </c>
      <c r="N144" s="13" t="str">
        <f t="shared" si="20"/>
        <v>-</v>
      </c>
      <c r="O144" s="13">
        <f t="shared" si="21"/>
        <v>18228.512660409186</v>
      </c>
    </row>
    <row r="145" spans="1:15" x14ac:dyDescent="0.25">
      <c r="A145" s="1" t="s">
        <v>3</v>
      </c>
      <c r="B145" s="1" t="s">
        <v>1</v>
      </c>
      <c r="C145" s="1" t="s">
        <v>5</v>
      </c>
      <c r="D145" s="1">
        <v>34</v>
      </c>
      <c r="E145" s="1">
        <v>25.3</v>
      </c>
      <c r="F145" s="1">
        <v>2</v>
      </c>
      <c r="G145" s="7">
        <f t="shared" si="19"/>
        <v>0</v>
      </c>
      <c r="H145" s="7">
        <f t="shared" si="22"/>
        <v>1</v>
      </c>
      <c r="I145" s="7">
        <f t="shared" si="23"/>
        <v>1</v>
      </c>
      <c r="J145" s="7">
        <f t="shared" si="23"/>
        <v>0</v>
      </c>
      <c r="K145" s="7">
        <f t="shared" si="23"/>
        <v>0</v>
      </c>
      <c r="L145" s="11">
        <v>18972.494999999999</v>
      </c>
      <c r="M145" s="12" cm="1">
        <f t="array" ref="M145">IF(($R$34+SUMPRODUCT(TRANSPOSE(D145:K145),$R$35:$R$42))&lt;0,"-",$R$34+SUMPRODUCT(TRANSPOSE(D145:K145),$R$35:$R$42))</f>
        <v>29009.371009885013</v>
      </c>
      <c r="N145" s="13">
        <f t="shared" si="20"/>
        <v>16885.166432849888</v>
      </c>
      <c r="O145" s="13">
        <f t="shared" si="21"/>
        <v>41133.575586920138</v>
      </c>
    </row>
    <row r="146" spans="1:15" x14ac:dyDescent="0.25">
      <c r="A146" s="1" t="s">
        <v>3</v>
      </c>
      <c r="B146" s="1" t="s">
        <v>4</v>
      </c>
      <c r="C146" s="1" t="s">
        <v>6</v>
      </c>
      <c r="D146" s="1">
        <v>29</v>
      </c>
      <c r="E146" s="1">
        <v>29.734999999999999</v>
      </c>
      <c r="F146" s="1">
        <v>2</v>
      </c>
      <c r="G146" s="7">
        <f t="shared" si="19"/>
        <v>0</v>
      </c>
      <c r="H146" s="7">
        <f t="shared" si="22"/>
        <v>0</v>
      </c>
      <c r="I146" s="7">
        <f t="shared" si="23"/>
        <v>0</v>
      </c>
      <c r="J146" s="7">
        <f t="shared" si="23"/>
        <v>1</v>
      </c>
      <c r="K146" s="7">
        <f t="shared" si="23"/>
        <v>0</v>
      </c>
      <c r="L146" s="11">
        <v>18157.876</v>
      </c>
      <c r="M146" s="12" cm="1">
        <f t="array" ref="M146">IF(($R$34+SUMPRODUCT(TRANSPOSE(D146:K146),$R$35:$R$42))&lt;0,"-",$R$34+SUMPRODUCT(TRANSPOSE(D146:K146),$R$35:$R$42))</f>
        <v>6062.9358220127287</v>
      </c>
      <c r="N146" s="13" t="str">
        <f t="shared" si="20"/>
        <v>-</v>
      </c>
      <c r="O146" s="13">
        <f t="shared" si="21"/>
        <v>18187.14039904785</v>
      </c>
    </row>
    <row r="147" spans="1:15" x14ac:dyDescent="0.25">
      <c r="A147" s="1" t="s">
        <v>3</v>
      </c>
      <c r="B147" s="1" t="s">
        <v>1</v>
      </c>
      <c r="C147" s="1" t="s">
        <v>6</v>
      </c>
      <c r="D147" s="1">
        <v>30</v>
      </c>
      <c r="E147" s="1">
        <v>28.69</v>
      </c>
      <c r="F147" s="1">
        <v>3</v>
      </c>
      <c r="G147" s="7">
        <f t="shared" si="19"/>
        <v>0</v>
      </c>
      <c r="H147" s="7">
        <f t="shared" si="22"/>
        <v>1</v>
      </c>
      <c r="I147" s="7">
        <f t="shared" si="23"/>
        <v>0</v>
      </c>
      <c r="J147" s="7">
        <f t="shared" si="23"/>
        <v>1</v>
      </c>
      <c r="K147" s="7">
        <f t="shared" si="23"/>
        <v>0</v>
      </c>
      <c r="L147" s="11">
        <v>20745.989099999999</v>
      </c>
      <c r="M147" s="12" cm="1">
        <f t="array" ref="M147">IF(($R$34+SUMPRODUCT(TRANSPOSE(D147:K147),$R$35:$R$42))&lt;0,"-",$R$34+SUMPRODUCT(TRANSPOSE(D147:K147),$R$35:$R$42))</f>
        <v>30289.370102588677</v>
      </c>
      <c r="N147" s="13">
        <f t="shared" si="20"/>
        <v>18165.165525553552</v>
      </c>
      <c r="O147" s="13">
        <f t="shared" si="21"/>
        <v>42413.574679623802</v>
      </c>
    </row>
    <row r="148" spans="1:15" x14ac:dyDescent="0.25">
      <c r="A148" s="1" t="s">
        <v>0</v>
      </c>
      <c r="B148" s="1" t="s">
        <v>4</v>
      </c>
      <c r="C148" s="1" t="s">
        <v>5</v>
      </c>
      <c r="D148" s="1">
        <v>29</v>
      </c>
      <c r="E148" s="1">
        <v>38.83</v>
      </c>
      <c r="F148" s="1">
        <v>3</v>
      </c>
      <c r="G148" s="7">
        <f t="shared" si="19"/>
        <v>1</v>
      </c>
      <c r="H148" s="7">
        <f t="shared" si="22"/>
        <v>0</v>
      </c>
      <c r="I148" s="7">
        <f t="shared" si="23"/>
        <v>1</v>
      </c>
      <c r="J148" s="7">
        <f t="shared" si="23"/>
        <v>0</v>
      </c>
      <c r="K148" s="7">
        <f t="shared" si="23"/>
        <v>0</v>
      </c>
      <c r="L148" s="11">
        <v>5138.2566999999999</v>
      </c>
      <c r="M148" s="12" cm="1">
        <f t="array" ref="M148">IF(($R$34+SUMPRODUCT(TRANSPOSE(D148:K148),$R$35:$R$42))&lt;0,"-",$R$34+SUMPRODUCT(TRANSPOSE(D148:K148),$R$35:$R$42))</f>
        <v>9072.6570371843809</v>
      </c>
      <c r="N148" s="13" t="str">
        <f t="shared" si="20"/>
        <v>-</v>
      </c>
      <c r="O148" s="13">
        <f t="shared" si="21"/>
        <v>21196.861614219502</v>
      </c>
    </row>
    <row r="149" spans="1:15" x14ac:dyDescent="0.25">
      <c r="A149" s="1" t="s">
        <v>3</v>
      </c>
      <c r="B149" s="1" t="s">
        <v>1</v>
      </c>
      <c r="C149" s="1" t="s">
        <v>6</v>
      </c>
      <c r="D149" s="1">
        <v>46</v>
      </c>
      <c r="E149" s="1">
        <v>30.495000000000001</v>
      </c>
      <c r="F149" s="1">
        <v>3</v>
      </c>
      <c r="G149" s="7">
        <f t="shared" si="19"/>
        <v>0</v>
      </c>
      <c r="H149" s="7">
        <f t="shared" si="22"/>
        <v>1</v>
      </c>
      <c r="I149" s="7">
        <f t="shared" si="23"/>
        <v>0</v>
      </c>
      <c r="J149" s="7">
        <f t="shared" si="23"/>
        <v>1</v>
      </c>
      <c r="K149" s="7">
        <f t="shared" si="23"/>
        <v>0</v>
      </c>
      <c r="L149" s="11">
        <v>40720.551050000002</v>
      </c>
      <c r="M149" s="12" cm="1">
        <f t="array" ref="M149">IF(($R$34+SUMPRODUCT(TRANSPOSE(D149:K149),$R$35:$R$42))&lt;0,"-",$R$34+SUMPRODUCT(TRANSPOSE(D149:K149),$R$35:$R$42))</f>
        <v>35011.315926953808</v>
      </c>
      <c r="N149" s="13">
        <f t="shared" si="20"/>
        <v>22887.111349918683</v>
      </c>
      <c r="O149" s="13">
        <f t="shared" si="21"/>
        <v>47135.520503988933</v>
      </c>
    </row>
    <row r="150" spans="1:15" x14ac:dyDescent="0.25">
      <c r="A150" s="1" t="s">
        <v>0</v>
      </c>
      <c r="B150" s="1" t="s">
        <v>4</v>
      </c>
      <c r="C150" s="1" t="s">
        <v>5</v>
      </c>
      <c r="D150" s="1">
        <v>51</v>
      </c>
      <c r="E150" s="1">
        <v>37.729999999999997</v>
      </c>
      <c r="F150" s="1">
        <v>1</v>
      </c>
      <c r="G150" s="7">
        <f t="shared" si="19"/>
        <v>1</v>
      </c>
      <c r="H150" s="7">
        <f t="shared" si="22"/>
        <v>0</v>
      </c>
      <c r="I150" s="7">
        <f t="shared" si="23"/>
        <v>1</v>
      </c>
      <c r="J150" s="7">
        <f t="shared" si="23"/>
        <v>0</v>
      </c>
      <c r="K150" s="7">
        <f t="shared" si="23"/>
        <v>0</v>
      </c>
      <c r="L150" s="11">
        <v>9877.6077000000005</v>
      </c>
      <c r="M150" s="12" cm="1">
        <f t="array" ref="M150">IF(($R$34+SUMPRODUCT(TRANSPOSE(D150:K150),$R$35:$R$42))&lt;0,"-",$R$34+SUMPRODUCT(TRANSPOSE(D150:K150),$R$35:$R$42))</f>
        <v>13399.382903735848</v>
      </c>
      <c r="N150" s="13">
        <f t="shared" si="20"/>
        <v>1275.1783267007249</v>
      </c>
      <c r="O150" s="13">
        <f t="shared" si="21"/>
        <v>25523.58748077097</v>
      </c>
    </row>
    <row r="151" spans="1:15" x14ac:dyDescent="0.25">
      <c r="A151" s="1" t="s">
        <v>0</v>
      </c>
      <c r="B151" s="1" t="s">
        <v>4</v>
      </c>
      <c r="C151" s="1" t="s">
        <v>6</v>
      </c>
      <c r="D151" s="1">
        <v>53</v>
      </c>
      <c r="E151" s="1">
        <v>37.43</v>
      </c>
      <c r="F151" s="1">
        <v>1</v>
      </c>
      <c r="G151" s="7">
        <f t="shared" si="19"/>
        <v>1</v>
      </c>
      <c r="H151" s="7">
        <f t="shared" si="22"/>
        <v>0</v>
      </c>
      <c r="I151" s="7">
        <f t="shared" si="23"/>
        <v>0</v>
      </c>
      <c r="J151" s="7">
        <f t="shared" si="23"/>
        <v>1</v>
      </c>
      <c r="K151" s="7">
        <f t="shared" si="23"/>
        <v>0</v>
      </c>
      <c r="L151" s="11">
        <v>10959.6947</v>
      </c>
      <c r="M151" s="12" cm="1">
        <f t="array" ref="M151">IF(($R$34+SUMPRODUCT(TRANSPOSE(D151:K151),$R$35:$R$42))&lt;0,"-",$R$34+SUMPRODUCT(TRANSPOSE(D151:K151),$R$35:$R$42))</f>
        <v>14493.395722690468</v>
      </c>
      <c r="N151" s="13">
        <f t="shared" si="20"/>
        <v>2369.1911456553444</v>
      </c>
      <c r="O151" s="13">
        <f t="shared" si="21"/>
        <v>26617.600299725593</v>
      </c>
    </row>
    <row r="152" spans="1:15" x14ac:dyDescent="0.25">
      <c r="A152" s="1" t="s">
        <v>3</v>
      </c>
      <c r="B152" s="1" t="s">
        <v>4</v>
      </c>
      <c r="C152" s="1" t="s">
        <v>2</v>
      </c>
      <c r="D152" s="1">
        <v>19</v>
      </c>
      <c r="E152" s="1">
        <v>28.4</v>
      </c>
      <c r="F152" s="1">
        <v>1</v>
      </c>
      <c r="G152" s="7">
        <f t="shared" si="19"/>
        <v>0</v>
      </c>
      <c r="H152" s="7">
        <f t="shared" si="22"/>
        <v>0</v>
      </c>
      <c r="I152" s="7">
        <f t="shared" si="23"/>
        <v>0</v>
      </c>
      <c r="J152" s="7">
        <f t="shared" si="23"/>
        <v>0</v>
      </c>
      <c r="K152" s="7">
        <f t="shared" si="23"/>
        <v>0</v>
      </c>
      <c r="L152" s="11">
        <v>1842.519</v>
      </c>
      <c r="M152" s="12" cm="1">
        <f t="array" ref="M152">IF(($R$34+SUMPRODUCT(TRANSPOSE(D152:K152),$R$35:$R$42))&lt;0,"-",$R$34+SUMPRODUCT(TRANSPOSE(D152:K152),$R$35:$R$42))</f>
        <v>1958.9613990434555</v>
      </c>
      <c r="N152" s="13" t="str">
        <f t="shared" si="20"/>
        <v>-</v>
      </c>
      <c r="O152" s="13">
        <f t="shared" si="21"/>
        <v>14083.165976078579</v>
      </c>
    </row>
    <row r="153" spans="1:15" x14ac:dyDescent="0.25">
      <c r="A153" s="1" t="s">
        <v>3</v>
      </c>
      <c r="B153" s="1" t="s">
        <v>4</v>
      </c>
      <c r="C153" s="1" t="s">
        <v>6</v>
      </c>
      <c r="D153" s="1">
        <v>35</v>
      </c>
      <c r="E153" s="1">
        <v>24.13</v>
      </c>
      <c r="F153" s="1">
        <v>1</v>
      </c>
      <c r="G153" s="7">
        <f t="shared" si="19"/>
        <v>0</v>
      </c>
      <c r="H153" s="7">
        <f t="shared" si="22"/>
        <v>0</v>
      </c>
      <c r="I153" s="7">
        <f t="shared" si="23"/>
        <v>0</v>
      </c>
      <c r="J153" s="7">
        <f t="shared" si="23"/>
        <v>1</v>
      </c>
      <c r="K153" s="7">
        <f t="shared" si="23"/>
        <v>0</v>
      </c>
      <c r="L153" s="11">
        <v>5125.2156999999997</v>
      </c>
      <c r="M153" s="12" cm="1">
        <f t="array" ref="M153">IF(($R$34+SUMPRODUCT(TRANSPOSE(D153:K153),$R$35:$R$42))&lt;0,"-",$R$34+SUMPRODUCT(TRANSPOSE(D153:K153),$R$35:$R$42))</f>
        <v>5227.3940845989273</v>
      </c>
      <c r="N153" s="13" t="str">
        <f t="shared" si="20"/>
        <v>-</v>
      </c>
      <c r="O153" s="13">
        <f t="shared" si="21"/>
        <v>17351.598661634052</v>
      </c>
    </row>
    <row r="154" spans="1:15" x14ac:dyDescent="0.25">
      <c r="A154" s="1" t="s">
        <v>3</v>
      </c>
      <c r="B154" s="1" t="s">
        <v>4</v>
      </c>
      <c r="C154" s="1" t="s">
        <v>5</v>
      </c>
      <c r="D154" s="1">
        <v>48</v>
      </c>
      <c r="E154" s="1">
        <v>29.7</v>
      </c>
      <c r="F154" s="1">
        <v>0</v>
      </c>
      <c r="G154" s="7">
        <f t="shared" si="19"/>
        <v>0</v>
      </c>
      <c r="H154" s="7">
        <f t="shared" si="22"/>
        <v>0</v>
      </c>
      <c r="I154" s="7">
        <f t="shared" si="23"/>
        <v>1</v>
      </c>
      <c r="J154" s="7">
        <f t="shared" si="23"/>
        <v>0</v>
      </c>
      <c r="K154" s="7">
        <f t="shared" si="23"/>
        <v>0</v>
      </c>
      <c r="L154" s="11">
        <v>7789.6350000000002</v>
      </c>
      <c r="M154" s="12" cm="1">
        <f t="array" ref="M154">IF(($R$34+SUMPRODUCT(TRANSPOSE(D154:K154),$R$35:$R$42))&lt;0,"-",$R$34+SUMPRODUCT(TRANSPOSE(D154:K154),$R$35:$R$42))</f>
        <v>9298.2755090845167</v>
      </c>
      <c r="N154" s="13" t="str">
        <f t="shared" si="20"/>
        <v>-</v>
      </c>
      <c r="O154" s="13">
        <f t="shared" si="21"/>
        <v>21422.480086119642</v>
      </c>
    </row>
    <row r="155" spans="1:15" x14ac:dyDescent="0.25">
      <c r="A155" s="1" t="s">
        <v>0</v>
      </c>
      <c r="B155" s="1" t="s">
        <v>4</v>
      </c>
      <c r="C155" s="1" t="s">
        <v>7</v>
      </c>
      <c r="D155" s="1">
        <v>32</v>
      </c>
      <c r="E155" s="1">
        <v>37.145000000000003</v>
      </c>
      <c r="F155" s="1">
        <v>3</v>
      </c>
      <c r="G155" s="7">
        <f t="shared" si="19"/>
        <v>1</v>
      </c>
      <c r="H155" s="7">
        <f t="shared" si="22"/>
        <v>0</v>
      </c>
      <c r="I155" s="7">
        <f t="shared" si="23"/>
        <v>0</v>
      </c>
      <c r="J155" s="7">
        <f t="shared" si="23"/>
        <v>0</v>
      </c>
      <c r="K155" s="7">
        <f t="shared" si="23"/>
        <v>1</v>
      </c>
      <c r="L155" s="11">
        <v>6334.3435499999996</v>
      </c>
      <c r="M155" s="12" cm="1">
        <f t="array" ref="M155">IF(($R$34+SUMPRODUCT(TRANSPOSE(D155:K155),$R$35:$R$42))&lt;0,"-",$R$34+SUMPRODUCT(TRANSPOSE(D155:K155),$R$35:$R$42))</f>
        <v>10306.70717484998</v>
      </c>
      <c r="N155" s="13" t="str">
        <f t="shared" si="20"/>
        <v>-</v>
      </c>
      <c r="O155" s="13">
        <f t="shared" si="21"/>
        <v>22430.911751885105</v>
      </c>
    </row>
    <row r="156" spans="1:15" x14ac:dyDescent="0.25">
      <c r="A156" s="1" t="s">
        <v>0</v>
      </c>
      <c r="B156" s="1" t="s">
        <v>1</v>
      </c>
      <c r="C156" s="1" t="s">
        <v>7</v>
      </c>
      <c r="D156" s="1">
        <v>42</v>
      </c>
      <c r="E156" s="1">
        <v>23.37</v>
      </c>
      <c r="F156" s="1">
        <v>0</v>
      </c>
      <c r="G156" s="7">
        <f t="shared" si="19"/>
        <v>1</v>
      </c>
      <c r="H156" s="7">
        <f t="shared" si="22"/>
        <v>1</v>
      </c>
      <c r="I156" s="7">
        <f t="shared" si="23"/>
        <v>0</v>
      </c>
      <c r="J156" s="7">
        <f t="shared" si="23"/>
        <v>0</v>
      </c>
      <c r="K156" s="7">
        <f t="shared" si="23"/>
        <v>1</v>
      </c>
      <c r="L156" s="11">
        <v>19964.746299999999</v>
      </c>
      <c r="M156" s="12" cm="1">
        <f t="array" ref="M156">IF(($R$34+SUMPRODUCT(TRANSPOSE(D156:K156),$R$35:$R$42))&lt;0,"-",$R$34+SUMPRODUCT(TRANSPOSE(D156:K156),$R$35:$R$42))</f>
        <v>30624.913783199532</v>
      </c>
      <c r="N156" s="13">
        <f t="shared" si="20"/>
        <v>18500.709206164407</v>
      </c>
      <c r="O156" s="13">
        <f t="shared" si="21"/>
        <v>42749.118360234657</v>
      </c>
    </row>
    <row r="157" spans="1:15" x14ac:dyDescent="0.25">
      <c r="A157" s="1" t="s">
        <v>0</v>
      </c>
      <c r="B157" s="1" t="s">
        <v>4</v>
      </c>
      <c r="C157" s="1" t="s">
        <v>7</v>
      </c>
      <c r="D157" s="1">
        <v>40</v>
      </c>
      <c r="E157" s="1">
        <v>25.46</v>
      </c>
      <c r="F157" s="1">
        <v>1</v>
      </c>
      <c r="G157" s="7">
        <f t="shared" si="19"/>
        <v>1</v>
      </c>
      <c r="H157" s="7">
        <f t="shared" si="22"/>
        <v>0</v>
      </c>
      <c r="I157" s="7">
        <f t="shared" si="23"/>
        <v>0</v>
      </c>
      <c r="J157" s="7">
        <f t="shared" si="23"/>
        <v>0</v>
      </c>
      <c r="K157" s="7">
        <f t="shared" si="23"/>
        <v>1</v>
      </c>
      <c r="L157" s="11">
        <v>7077.1894000000002</v>
      </c>
      <c r="M157" s="12" cm="1">
        <f t="array" ref="M157">IF(($R$34+SUMPRODUCT(TRANSPOSE(D157:K157),$R$35:$R$42))&lt;0,"-",$R$34+SUMPRODUCT(TRANSPOSE(D157:K157),$R$35:$R$42))</f>
        <v>7447.0813994078308</v>
      </c>
      <c r="N157" s="13" t="str">
        <f t="shared" si="20"/>
        <v>-</v>
      </c>
      <c r="O157" s="13">
        <f t="shared" si="21"/>
        <v>19571.285976442952</v>
      </c>
    </row>
    <row r="158" spans="1:15" x14ac:dyDescent="0.25">
      <c r="A158" s="1" t="s">
        <v>3</v>
      </c>
      <c r="B158" s="1" t="s">
        <v>4</v>
      </c>
      <c r="C158" s="1" t="s">
        <v>6</v>
      </c>
      <c r="D158" s="1">
        <v>44</v>
      </c>
      <c r="E158" s="1">
        <v>39.520000000000003</v>
      </c>
      <c r="F158" s="1">
        <v>0</v>
      </c>
      <c r="G158" s="7">
        <f t="shared" si="19"/>
        <v>0</v>
      </c>
      <c r="H158" s="7">
        <f t="shared" si="22"/>
        <v>0</v>
      </c>
      <c r="I158" s="7">
        <f t="shared" si="23"/>
        <v>0</v>
      </c>
      <c r="J158" s="7">
        <f t="shared" si="23"/>
        <v>1</v>
      </c>
      <c r="K158" s="7">
        <f t="shared" si="23"/>
        <v>0</v>
      </c>
      <c r="L158" s="11">
        <v>6948.7007999999996</v>
      </c>
      <c r="M158" s="12" cm="1">
        <f t="array" ref="M158">IF(($R$34+SUMPRODUCT(TRANSPOSE(D158:K158),$R$35:$R$42))&lt;0,"-",$R$34+SUMPRODUCT(TRANSPOSE(D158:K158),$R$35:$R$42))</f>
        <v>12283.787963356754</v>
      </c>
      <c r="N158" s="13">
        <f t="shared" si="20"/>
        <v>159.58338632163031</v>
      </c>
      <c r="O158" s="13">
        <f t="shared" si="21"/>
        <v>24407.992540391875</v>
      </c>
    </row>
    <row r="159" spans="1:15" x14ac:dyDescent="0.25">
      <c r="A159" s="1" t="s">
        <v>3</v>
      </c>
      <c r="B159" s="1" t="s">
        <v>1</v>
      </c>
      <c r="C159" s="1" t="s">
        <v>5</v>
      </c>
      <c r="D159" s="1">
        <v>48</v>
      </c>
      <c r="E159" s="1">
        <v>24.42</v>
      </c>
      <c r="F159" s="1">
        <v>0</v>
      </c>
      <c r="G159" s="7">
        <f t="shared" si="19"/>
        <v>0</v>
      </c>
      <c r="H159" s="7">
        <f t="shared" si="22"/>
        <v>1</v>
      </c>
      <c r="I159" s="7">
        <f t="shared" si="23"/>
        <v>1</v>
      </c>
      <c r="J159" s="7">
        <f t="shared" si="23"/>
        <v>0</v>
      </c>
      <c r="K159" s="7">
        <f t="shared" si="23"/>
        <v>0</v>
      </c>
      <c r="L159" s="11">
        <v>21223.675800000001</v>
      </c>
      <c r="M159" s="12" cm="1">
        <f t="array" ref="M159">IF(($R$34+SUMPRODUCT(TRANSPOSE(D159:K159),$R$35:$R$42))&lt;0,"-",$R$34+SUMPRODUCT(TRANSPOSE(D159:K159),$R$35:$R$42))</f>
        <v>31355.868615932079</v>
      </c>
      <c r="N159" s="13">
        <f t="shared" si="20"/>
        <v>19231.664038896954</v>
      </c>
      <c r="O159" s="13">
        <f t="shared" si="21"/>
        <v>43480.073192967204</v>
      </c>
    </row>
    <row r="160" spans="1:15" x14ac:dyDescent="0.25">
      <c r="A160" s="1" t="s">
        <v>3</v>
      </c>
      <c r="B160" s="1" t="s">
        <v>1</v>
      </c>
      <c r="C160" s="1" t="s">
        <v>7</v>
      </c>
      <c r="D160" s="1">
        <v>18</v>
      </c>
      <c r="E160" s="1">
        <v>25.175000000000001</v>
      </c>
      <c r="F160" s="1">
        <v>0</v>
      </c>
      <c r="G160" s="7">
        <f t="shared" si="19"/>
        <v>0</v>
      </c>
      <c r="H160" s="7">
        <f t="shared" si="22"/>
        <v>1</v>
      </c>
      <c r="I160" s="7">
        <f t="shared" si="23"/>
        <v>0</v>
      </c>
      <c r="J160" s="7">
        <f t="shared" si="23"/>
        <v>0</v>
      </c>
      <c r="K160" s="7">
        <f t="shared" si="23"/>
        <v>1</v>
      </c>
      <c r="L160" s="11">
        <v>15518.180249999999</v>
      </c>
      <c r="M160" s="12" cm="1">
        <f t="array" ref="M160">IF(($R$34+SUMPRODUCT(TRANSPOSE(D160:K160),$R$35:$R$42))&lt;0,"-",$R$34+SUMPRODUCT(TRANSPOSE(D160:K160),$R$35:$R$42))</f>
        <v>24941.291146675641</v>
      </c>
      <c r="N160" s="13">
        <f t="shared" si="20"/>
        <v>12817.086569640518</v>
      </c>
      <c r="O160" s="13">
        <f t="shared" si="21"/>
        <v>37065.495723710766</v>
      </c>
    </row>
    <row r="161" spans="1:15" x14ac:dyDescent="0.25">
      <c r="A161" s="1" t="s">
        <v>3</v>
      </c>
      <c r="B161" s="1" t="s">
        <v>1</v>
      </c>
      <c r="C161" s="1" t="s">
        <v>5</v>
      </c>
      <c r="D161" s="1">
        <v>30</v>
      </c>
      <c r="E161" s="1">
        <v>35.53</v>
      </c>
      <c r="F161" s="1">
        <v>0</v>
      </c>
      <c r="G161" s="7">
        <f t="shared" si="19"/>
        <v>0</v>
      </c>
      <c r="H161" s="7">
        <f t="shared" si="22"/>
        <v>1</v>
      </c>
      <c r="I161" s="7">
        <f t="shared" si="23"/>
        <v>1</v>
      </c>
      <c r="J161" s="7">
        <f t="shared" si="23"/>
        <v>0</v>
      </c>
      <c r="K161" s="7">
        <f t="shared" si="23"/>
        <v>0</v>
      </c>
      <c r="L161" s="11">
        <v>36950.256699999998</v>
      </c>
      <c r="M161" s="12" cm="1">
        <f t="array" ref="M161">IF(($R$34+SUMPRODUCT(TRANSPOSE(D161:K161),$R$35:$R$42))&lt;0,"-",$R$34+SUMPRODUCT(TRANSPOSE(D161:K161),$R$35:$R$42))</f>
        <v>30500.893539876248</v>
      </c>
      <c r="N161" s="13">
        <f t="shared" si="20"/>
        <v>18376.688962841123</v>
      </c>
      <c r="O161" s="13">
        <f t="shared" si="21"/>
        <v>42625.098116911373</v>
      </c>
    </row>
    <row r="162" spans="1:15" x14ac:dyDescent="0.25">
      <c r="A162" s="1" t="s">
        <v>0</v>
      </c>
      <c r="B162" s="1" t="s">
        <v>4</v>
      </c>
      <c r="C162" s="1" t="s">
        <v>5</v>
      </c>
      <c r="D162" s="1">
        <v>50</v>
      </c>
      <c r="E162" s="1">
        <v>27.83</v>
      </c>
      <c r="F162" s="1">
        <v>3</v>
      </c>
      <c r="G162" s="7">
        <f t="shared" si="19"/>
        <v>1</v>
      </c>
      <c r="H162" s="7">
        <f t="shared" si="22"/>
        <v>0</v>
      </c>
      <c r="I162" s="7">
        <f t="shared" si="23"/>
        <v>1</v>
      </c>
      <c r="J162" s="7">
        <f t="shared" si="23"/>
        <v>0</v>
      </c>
      <c r="K162" s="7">
        <f t="shared" si="23"/>
        <v>0</v>
      </c>
      <c r="L162" s="11">
        <v>19749.383379999999</v>
      </c>
      <c r="M162" s="12" cm="1">
        <f t="array" ref="M162">IF(($R$34+SUMPRODUCT(TRANSPOSE(D162:K162),$R$35:$R$42))&lt;0,"-",$R$34+SUMPRODUCT(TRANSPOSE(D162:K162),$R$35:$R$42))</f>
        <v>10735.512450749447</v>
      </c>
      <c r="N162" s="13" t="str">
        <f t="shared" si="20"/>
        <v>-</v>
      </c>
      <c r="O162" s="13">
        <f t="shared" si="21"/>
        <v>22859.717027784573</v>
      </c>
    </row>
    <row r="163" spans="1:15" x14ac:dyDescent="0.25">
      <c r="A163" s="1" t="s">
        <v>0</v>
      </c>
      <c r="B163" s="1" t="s">
        <v>1</v>
      </c>
      <c r="C163" s="1" t="s">
        <v>6</v>
      </c>
      <c r="D163" s="1">
        <v>42</v>
      </c>
      <c r="E163" s="1">
        <v>26.6</v>
      </c>
      <c r="F163" s="1">
        <v>0</v>
      </c>
      <c r="G163" s="7">
        <f t="shared" si="19"/>
        <v>1</v>
      </c>
      <c r="H163" s="7">
        <f t="shared" si="22"/>
        <v>1</v>
      </c>
      <c r="I163" s="7">
        <f t="shared" si="23"/>
        <v>0</v>
      </c>
      <c r="J163" s="7">
        <f t="shared" si="23"/>
        <v>1</v>
      </c>
      <c r="K163" s="7">
        <f t="shared" si="23"/>
        <v>0</v>
      </c>
      <c r="L163" s="11">
        <v>21348.705999999998</v>
      </c>
      <c r="M163" s="12" cm="1">
        <f t="array" ref="M163">IF(($R$34+SUMPRODUCT(TRANSPOSE(D163:K163),$R$35:$R$42))&lt;0,"-",$R$34+SUMPRODUCT(TRANSPOSE(D163:K163),$R$35:$R$42))</f>
        <v>31367.544738937904</v>
      </c>
      <c r="N163" s="13">
        <f t="shared" si="20"/>
        <v>19243.340161902779</v>
      </c>
      <c r="O163" s="13">
        <f t="shared" si="21"/>
        <v>43491.749315973029</v>
      </c>
    </row>
    <row r="164" spans="1:15" x14ac:dyDescent="0.25">
      <c r="A164" s="1" t="s">
        <v>0</v>
      </c>
      <c r="B164" s="1" t="s">
        <v>1</v>
      </c>
      <c r="C164" s="1" t="s">
        <v>5</v>
      </c>
      <c r="D164" s="1">
        <v>18</v>
      </c>
      <c r="E164" s="1">
        <v>36.85</v>
      </c>
      <c r="F164" s="1">
        <v>0</v>
      </c>
      <c r="G164" s="7">
        <f t="shared" si="19"/>
        <v>1</v>
      </c>
      <c r="H164" s="7">
        <f t="shared" si="22"/>
        <v>1</v>
      </c>
      <c r="I164" s="7">
        <f t="shared" si="23"/>
        <v>1</v>
      </c>
      <c r="J164" s="7">
        <f t="shared" si="23"/>
        <v>0</v>
      </c>
      <c r="K164" s="7">
        <f t="shared" si="23"/>
        <v>0</v>
      </c>
      <c r="L164" s="11">
        <v>36149.483500000002</v>
      </c>
      <c r="M164" s="12" cm="1">
        <f t="array" ref="M164">IF(($R$34+SUMPRODUCT(TRANSPOSE(D164:K164),$R$35:$R$42))&lt;0,"-",$R$34+SUMPRODUCT(TRANSPOSE(D164:K164),$R$35:$R$42))</f>
        <v>27997.667027589487</v>
      </c>
      <c r="N164" s="13">
        <f t="shared" si="20"/>
        <v>15873.462450554363</v>
      </c>
      <c r="O164" s="13">
        <f t="shared" si="21"/>
        <v>40121.871604624612</v>
      </c>
    </row>
    <row r="165" spans="1:15" x14ac:dyDescent="0.25">
      <c r="A165" s="1" t="s">
        <v>3</v>
      </c>
      <c r="B165" s="1" t="s">
        <v>4</v>
      </c>
      <c r="C165" s="1" t="s">
        <v>2</v>
      </c>
      <c r="D165" s="1">
        <v>54</v>
      </c>
      <c r="E165" s="1">
        <v>39.6</v>
      </c>
      <c r="F165" s="1">
        <v>1</v>
      </c>
      <c r="G165" s="7">
        <f t="shared" si="19"/>
        <v>0</v>
      </c>
      <c r="H165" s="7">
        <f t="shared" si="22"/>
        <v>0</v>
      </c>
      <c r="I165" s="7">
        <f t="shared" si="23"/>
        <v>0</v>
      </c>
      <c r="J165" s="7">
        <f t="shared" si="23"/>
        <v>0</v>
      </c>
      <c r="K165" s="7">
        <f t="shared" si="23"/>
        <v>0</v>
      </c>
      <c r="L165" s="11">
        <v>10450.552</v>
      </c>
      <c r="M165" s="12" cm="1">
        <f t="array" ref="M165">IF(($R$34+SUMPRODUCT(TRANSPOSE(D165:K165),$R$35:$R$42))&lt;0,"-",$R$34+SUMPRODUCT(TRANSPOSE(D165:K165),$R$35:$R$42))</f>
        <v>14747.900418292043</v>
      </c>
      <c r="N165" s="13">
        <f t="shared" si="20"/>
        <v>2623.6958412569202</v>
      </c>
      <c r="O165" s="13">
        <f t="shared" si="21"/>
        <v>26872.104995327165</v>
      </c>
    </row>
    <row r="166" spans="1:15" x14ac:dyDescent="0.25">
      <c r="A166" s="1" t="s">
        <v>0</v>
      </c>
      <c r="B166" s="1" t="s">
        <v>4</v>
      </c>
      <c r="C166" s="1" t="s">
        <v>2</v>
      </c>
      <c r="D166" s="1">
        <v>32</v>
      </c>
      <c r="E166" s="1">
        <v>29.8</v>
      </c>
      <c r="F166" s="1">
        <v>2</v>
      </c>
      <c r="G166" s="7">
        <f t="shared" si="19"/>
        <v>1</v>
      </c>
      <c r="H166" s="7">
        <f t="shared" si="22"/>
        <v>0</v>
      </c>
      <c r="I166" s="7">
        <f t="shared" si="23"/>
        <v>0</v>
      </c>
      <c r="J166" s="7">
        <f t="shared" si="23"/>
        <v>0</v>
      </c>
      <c r="K166" s="7">
        <f t="shared" si="23"/>
        <v>0</v>
      </c>
      <c r="L166" s="11">
        <v>5152.134</v>
      </c>
      <c r="M166" s="12" cm="1">
        <f t="array" ref="M166">IF(($R$34+SUMPRODUCT(TRANSPOSE(D166:K166),$R$35:$R$42))&lt;0,"-",$R$34+SUMPRODUCT(TRANSPOSE(D166:K166),$R$35:$R$42))</f>
        <v>6379.7797216283943</v>
      </c>
      <c r="N166" s="13" t="str">
        <f t="shared" si="20"/>
        <v>-</v>
      </c>
      <c r="O166" s="13">
        <f t="shared" si="21"/>
        <v>18503.984298663519</v>
      </c>
    </row>
    <row r="167" spans="1:15" x14ac:dyDescent="0.25">
      <c r="A167" s="1" t="s">
        <v>3</v>
      </c>
      <c r="B167" s="1" t="s">
        <v>4</v>
      </c>
      <c r="C167" s="1" t="s">
        <v>6</v>
      </c>
      <c r="D167" s="1">
        <v>37</v>
      </c>
      <c r="E167" s="1">
        <v>29.64</v>
      </c>
      <c r="F167" s="1">
        <v>0</v>
      </c>
      <c r="G167" s="7">
        <f t="shared" si="19"/>
        <v>0</v>
      </c>
      <c r="H167" s="7">
        <f t="shared" si="22"/>
        <v>0</v>
      </c>
      <c r="I167" s="7">
        <f t="shared" si="23"/>
        <v>0</v>
      </c>
      <c r="J167" s="7">
        <f t="shared" si="23"/>
        <v>1</v>
      </c>
      <c r="K167" s="7">
        <f t="shared" si="23"/>
        <v>0</v>
      </c>
      <c r="L167" s="11">
        <v>5028.1466</v>
      </c>
      <c r="M167" s="12" cm="1">
        <f t="array" ref="M167">IF(($R$34+SUMPRODUCT(TRANSPOSE(D167:K167),$R$35:$R$42))&lt;0,"-",$R$34+SUMPRODUCT(TRANSPOSE(D167:K167),$R$35:$R$42))</f>
        <v>7134.5621739202179</v>
      </c>
      <c r="N167" s="13" t="str">
        <f t="shared" si="20"/>
        <v>-</v>
      </c>
      <c r="O167" s="13">
        <f t="shared" si="21"/>
        <v>19258.766750955343</v>
      </c>
    </row>
    <row r="168" spans="1:15" x14ac:dyDescent="0.25">
      <c r="A168" s="1" t="s">
        <v>3</v>
      </c>
      <c r="B168" s="1" t="s">
        <v>4</v>
      </c>
      <c r="C168" s="1" t="s">
        <v>7</v>
      </c>
      <c r="D168" s="1">
        <v>47</v>
      </c>
      <c r="E168" s="1">
        <v>28.215</v>
      </c>
      <c r="F168" s="1">
        <v>4</v>
      </c>
      <c r="G168" s="7">
        <f t="shared" si="19"/>
        <v>0</v>
      </c>
      <c r="H168" s="7">
        <f t="shared" si="22"/>
        <v>0</v>
      </c>
      <c r="I168" s="7">
        <f t="shared" si="23"/>
        <v>0</v>
      </c>
      <c r="J168" s="7">
        <f t="shared" si="23"/>
        <v>0</v>
      </c>
      <c r="K168" s="7">
        <f t="shared" si="23"/>
        <v>1</v>
      </c>
      <c r="L168" s="11">
        <v>10407.085849999999</v>
      </c>
      <c r="M168" s="12" cm="1">
        <f t="array" ref="M168">IF(($R$34+SUMPRODUCT(TRANSPOSE(D168:K168),$R$35:$R$42))&lt;0,"-",$R$34+SUMPRODUCT(TRANSPOSE(D168:K168),$R$35:$R$42))</f>
        <v>11474.741107919424</v>
      </c>
      <c r="N168" s="13" t="str">
        <f t="shared" si="20"/>
        <v>-</v>
      </c>
      <c r="O168" s="13">
        <f t="shared" si="21"/>
        <v>23598.945684954546</v>
      </c>
    </row>
    <row r="169" spans="1:15" x14ac:dyDescent="0.25">
      <c r="A169" s="1" t="s">
        <v>0</v>
      </c>
      <c r="B169" s="1" t="s">
        <v>4</v>
      </c>
      <c r="C169" s="1" t="s">
        <v>2</v>
      </c>
      <c r="D169" s="1">
        <v>20</v>
      </c>
      <c r="E169" s="1">
        <v>37</v>
      </c>
      <c r="F169" s="1">
        <v>5</v>
      </c>
      <c r="G169" s="7">
        <f t="shared" si="19"/>
        <v>1</v>
      </c>
      <c r="H169" s="7">
        <f t="shared" si="22"/>
        <v>0</v>
      </c>
      <c r="I169" s="7">
        <f t="shared" si="23"/>
        <v>0</v>
      </c>
      <c r="J169" s="7">
        <f t="shared" si="23"/>
        <v>0</v>
      </c>
      <c r="K169" s="7">
        <f t="shared" si="23"/>
        <v>0</v>
      </c>
      <c r="L169" s="11">
        <v>4830.63</v>
      </c>
      <c r="M169" s="12" cm="1">
        <f t="array" ref="M169">IF(($R$34+SUMPRODUCT(TRANSPOSE(D169:K169),$R$35:$R$42))&lt;0,"-",$R$34+SUMPRODUCT(TRANSPOSE(D169:K169),$R$35:$R$42))</f>
        <v>7166.1979926256645</v>
      </c>
      <c r="N169" s="13" t="str">
        <f t="shared" si="20"/>
        <v>-</v>
      </c>
      <c r="O169" s="13">
        <f t="shared" si="21"/>
        <v>19290.402569660786</v>
      </c>
    </row>
    <row r="170" spans="1:15" x14ac:dyDescent="0.25">
      <c r="A170" s="1" t="s">
        <v>0</v>
      </c>
      <c r="B170" s="1" t="s">
        <v>4</v>
      </c>
      <c r="C170" s="1" t="s">
        <v>6</v>
      </c>
      <c r="D170" s="1">
        <v>32</v>
      </c>
      <c r="E170" s="1">
        <v>33.155000000000001</v>
      </c>
      <c r="F170" s="1">
        <v>3</v>
      </c>
      <c r="G170" s="7">
        <f t="shared" si="19"/>
        <v>1</v>
      </c>
      <c r="H170" s="7">
        <f t="shared" si="22"/>
        <v>0</v>
      </c>
      <c r="I170" s="7">
        <f t="shared" si="23"/>
        <v>0</v>
      </c>
      <c r="J170" s="7">
        <f t="shared" si="23"/>
        <v>1</v>
      </c>
      <c r="K170" s="7">
        <f t="shared" si="23"/>
        <v>0</v>
      </c>
      <c r="L170" s="11">
        <v>6128.79745</v>
      </c>
      <c r="M170" s="12" cm="1">
        <f t="array" ref="M170">IF(($R$34+SUMPRODUCT(TRANSPOSE(D170:K170),$R$35:$R$42))&lt;0,"-",$R$34+SUMPRODUCT(TRANSPOSE(D170:K170),$R$35:$R$42))</f>
        <v>8600.3613955180845</v>
      </c>
      <c r="N170" s="13" t="str">
        <f t="shared" si="20"/>
        <v>-</v>
      </c>
      <c r="O170" s="13">
        <f t="shared" si="21"/>
        <v>20724.56597255321</v>
      </c>
    </row>
    <row r="171" spans="1:15" x14ac:dyDescent="0.25">
      <c r="A171" s="1" t="s">
        <v>0</v>
      </c>
      <c r="B171" s="1" t="s">
        <v>4</v>
      </c>
      <c r="C171" s="1" t="s">
        <v>6</v>
      </c>
      <c r="D171" s="1">
        <v>19</v>
      </c>
      <c r="E171" s="1">
        <v>31.824999999999999</v>
      </c>
      <c r="F171" s="1">
        <v>1</v>
      </c>
      <c r="G171" s="7">
        <f t="shared" si="19"/>
        <v>1</v>
      </c>
      <c r="H171" s="7">
        <f t="shared" si="22"/>
        <v>0</v>
      </c>
      <c r="I171" s="7">
        <f t="shared" si="23"/>
        <v>0</v>
      </c>
      <c r="J171" s="7">
        <f t="shared" si="23"/>
        <v>1</v>
      </c>
      <c r="K171" s="7">
        <f t="shared" si="23"/>
        <v>0</v>
      </c>
      <c r="L171" s="11">
        <v>2719.2797500000001</v>
      </c>
      <c r="M171" s="12" cm="1">
        <f t="array" ref="M171">IF(($R$34+SUMPRODUCT(TRANSPOSE(D171:K171),$R$35:$R$42))&lt;0,"-",$R$34+SUMPRODUCT(TRANSPOSE(D171:K171),$R$35:$R$42))</f>
        <v>3859.1004289318771</v>
      </c>
      <c r="N171" s="13" t="str">
        <f t="shared" si="20"/>
        <v>-</v>
      </c>
      <c r="O171" s="13">
        <f t="shared" si="21"/>
        <v>15983.305005967</v>
      </c>
    </row>
    <row r="172" spans="1:15" x14ac:dyDescent="0.25">
      <c r="A172" s="1" t="s">
        <v>3</v>
      </c>
      <c r="B172" s="1" t="s">
        <v>4</v>
      </c>
      <c r="C172" s="1" t="s">
        <v>7</v>
      </c>
      <c r="D172" s="1">
        <v>27</v>
      </c>
      <c r="E172" s="1">
        <v>18.905000000000001</v>
      </c>
      <c r="F172" s="1">
        <v>3</v>
      </c>
      <c r="G172" s="7">
        <f t="shared" si="19"/>
        <v>0</v>
      </c>
      <c r="H172" s="7">
        <f t="shared" si="22"/>
        <v>0</v>
      </c>
      <c r="I172" s="7">
        <f t="shared" si="23"/>
        <v>0</v>
      </c>
      <c r="J172" s="7">
        <f t="shared" si="23"/>
        <v>0</v>
      </c>
      <c r="K172" s="7">
        <f t="shared" si="23"/>
        <v>1</v>
      </c>
      <c r="L172" s="11">
        <v>4827.9049500000001</v>
      </c>
      <c r="M172" s="12" cm="1">
        <f t="array" ref="M172">IF(($R$34+SUMPRODUCT(TRANSPOSE(D172:K172),$R$35:$R$42))&lt;0,"-",$R$34+SUMPRODUCT(TRANSPOSE(D172:K172),$R$35:$R$42))</f>
        <v>2704.2224589064099</v>
      </c>
      <c r="N172" s="13" t="str">
        <f t="shared" si="20"/>
        <v>-</v>
      </c>
      <c r="O172" s="13">
        <f t="shared" si="21"/>
        <v>14828.427035941533</v>
      </c>
    </row>
    <row r="173" spans="1:15" x14ac:dyDescent="0.25">
      <c r="A173" s="1" t="s">
        <v>3</v>
      </c>
      <c r="B173" s="1" t="s">
        <v>4</v>
      </c>
      <c r="C173" s="1" t="s">
        <v>5</v>
      </c>
      <c r="D173" s="1">
        <v>63</v>
      </c>
      <c r="E173" s="1">
        <v>41.47</v>
      </c>
      <c r="F173" s="1">
        <v>0</v>
      </c>
      <c r="G173" s="7">
        <f t="shared" si="19"/>
        <v>0</v>
      </c>
      <c r="H173" s="7">
        <f t="shared" si="22"/>
        <v>0</v>
      </c>
      <c r="I173" s="7">
        <f t="shared" si="23"/>
        <v>1</v>
      </c>
      <c r="J173" s="7">
        <f t="shared" si="23"/>
        <v>0</v>
      </c>
      <c r="K173" s="7">
        <f t="shared" si="23"/>
        <v>0</v>
      </c>
      <c r="L173" s="11">
        <v>13405.390299999999</v>
      </c>
      <c r="M173" s="12" cm="1">
        <f t="array" ref="M173">IF(($R$34+SUMPRODUCT(TRANSPOSE(D173:K173),$R$35:$R$42))&lt;0,"-",$R$34+SUMPRODUCT(TRANSPOSE(D173:K173),$R$35:$R$42))</f>
        <v>17143.427746144323</v>
      </c>
      <c r="N173" s="13">
        <f t="shared" si="20"/>
        <v>5019.2231691092002</v>
      </c>
      <c r="O173" s="13">
        <f t="shared" si="21"/>
        <v>29267.632323179445</v>
      </c>
    </row>
    <row r="174" spans="1:15" x14ac:dyDescent="0.25">
      <c r="A174" s="1" t="s">
        <v>3</v>
      </c>
      <c r="B174" s="1" t="s">
        <v>4</v>
      </c>
      <c r="C174" s="1" t="s">
        <v>2</v>
      </c>
      <c r="D174" s="1">
        <v>49</v>
      </c>
      <c r="E174" s="1">
        <v>30.3</v>
      </c>
      <c r="F174" s="1">
        <v>0</v>
      </c>
      <c r="G174" s="7">
        <f t="shared" si="19"/>
        <v>0</v>
      </c>
      <c r="H174" s="7">
        <f t="shared" si="22"/>
        <v>0</v>
      </c>
      <c r="I174" s="7">
        <f t="shared" si="23"/>
        <v>0</v>
      </c>
      <c r="J174" s="7">
        <f t="shared" si="23"/>
        <v>0</v>
      </c>
      <c r="K174" s="7">
        <f t="shared" si="23"/>
        <v>0</v>
      </c>
      <c r="L174" s="11">
        <v>8116.68</v>
      </c>
      <c r="M174" s="12" cm="1">
        <f t="array" ref="M174">IF(($R$34+SUMPRODUCT(TRANSPOSE(D174:K174),$R$35:$R$42))&lt;0,"-",$R$34+SUMPRODUCT(TRANSPOSE(D174:K174),$R$35:$R$42))</f>
        <v>9833.6189918753589</v>
      </c>
      <c r="N174" s="13" t="str">
        <f t="shared" si="20"/>
        <v>-</v>
      </c>
      <c r="O174" s="13">
        <f t="shared" si="21"/>
        <v>21957.823568910484</v>
      </c>
    </row>
    <row r="175" spans="1:15" x14ac:dyDescent="0.25">
      <c r="A175" s="1" t="s">
        <v>3</v>
      </c>
      <c r="B175" s="1" t="s">
        <v>4</v>
      </c>
      <c r="C175" s="1" t="s">
        <v>7</v>
      </c>
      <c r="D175" s="1">
        <v>18</v>
      </c>
      <c r="E175" s="1">
        <v>15.96</v>
      </c>
      <c r="F175" s="1">
        <v>0</v>
      </c>
      <c r="G175" s="7">
        <f t="shared" si="19"/>
        <v>0</v>
      </c>
      <c r="H175" s="7">
        <f t="shared" si="22"/>
        <v>0</v>
      </c>
      <c r="I175" s="7">
        <f t="shared" si="23"/>
        <v>0</v>
      </c>
      <c r="J175" s="7">
        <f t="shared" si="23"/>
        <v>0</v>
      </c>
      <c r="K175" s="7">
        <f t="shared" si="23"/>
        <v>1</v>
      </c>
      <c r="L175" s="11">
        <v>1694.7963999999999</v>
      </c>
      <c r="M175" s="12" t="str" cm="1">
        <f t="array" ref="M175">IF(($R$34+SUMPRODUCT(TRANSPOSE(D175:K175),$R$35:$R$42))&lt;0,"-",$R$34+SUMPRODUCT(TRANSPOSE(D175:K175),$R$35:$R$42))</f>
        <v>-</v>
      </c>
      <c r="N175" s="13" t="str">
        <f t="shared" si="20"/>
        <v>-</v>
      </c>
      <c r="O175" s="13" t="str">
        <f t="shared" si="21"/>
        <v>-</v>
      </c>
    </row>
    <row r="176" spans="1:15" x14ac:dyDescent="0.25">
      <c r="A176" s="1" t="s">
        <v>0</v>
      </c>
      <c r="B176" s="1" t="s">
        <v>4</v>
      </c>
      <c r="C176" s="1" t="s">
        <v>2</v>
      </c>
      <c r="D176" s="1">
        <v>35</v>
      </c>
      <c r="E176" s="1">
        <v>34.799999999999997</v>
      </c>
      <c r="F176" s="1">
        <v>1</v>
      </c>
      <c r="G176" s="7">
        <f t="shared" si="19"/>
        <v>1</v>
      </c>
      <c r="H176" s="7">
        <f t="shared" si="22"/>
        <v>0</v>
      </c>
      <c r="I176" s="7">
        <f t="shared" si="23"/>
        <v>0</v>
      </c>
      <c r="J176" s="7">
        <f t="shared" si="23"/>
        <v>0</v>
      </c>
      <c r="K176" s="7">
        <f t="shared" si="23"/>
        <v>0</v>
      </c>
      <c r="L176" s="11">
        <v>5246.0469999999996</v>
      </c>
      <c r="M176" s="12" cm="1">
        <f t="array" ref="M176">IF(($R$34+SUMPRODUCT(TRANSPOSE(D176:K176),$R$35:$R$42))&lt;0,"-",$R$34+SUMPRODUCT(TRANSPOSE(D176:K176),$R$35:$R$42))</f>
        <v>8370.8155021455023</v>
      </c>
      <c r="N176" s="13" t="str">
        <f t="shared" si="20"/>
        <v>-</v>
      </c>
      <c r="O176" s="13">
        <f t="shared" si="21"/>
        <v>20495.020079180627</v>
      </c>
    </row>
    <row r="177" spans="1:15" x14ac:dyDescent="0.25">
      <c r="A177" s="1" t="s">
        <v>0</v>
      </c>
      <c r="B177" s="1" t="s">
        <v>4</v>
      </c>
      <c r="C177" s="1" t="s">
        <v>6</v>
      </c>
      <c r="D177" s="1">
        <v>24</v>
      </c>
      <c r="E177" s="1">
        <v>33.344999999999999</v>
      </c>
      <c r="F177" s="1">
        <v>0</v>
      </c>
      <c r="G177" s="7">
        <f t="shared" si="19"/>
        <v>1</v>
      </c>
      <c r="H177" s="7">
        <f t="shared" si="22"/>
        <v>0</v>
      </c>
      <c r="I177" s="7">
        <f t="shared" si="23"/>
        <v>0</v>
      </c>
      <c r="J177" s="7">
        <f t="shared" si="23"/>
        <v>1</v>
      </c>
      <c r="K177" s="7">
        <f t="shared" si="23"/>
        <v>0</v>
      </c>
      <c r="L177" s="11">
        <v>2855.4375500000001</v>
      </c>
      <c r="M177" s="12" cm="1">
        <f t="array" ref="M177">IF(($R$34+SUMPRODUCT(TRANSPOSE(D177:K177),$R$35:$R$42))&lt;0,"-",$R$34+SUMPRODUCT(TRANSPOSE(D177:K177),$R$35:$R$42))</f>
        <v>5183.4556959579641</v>
      </c>
      <c r="N177" s="13" t="str">
        <f t="shared" si="20"/>
        <v>-</v>
      </c>
      <c r="O177" s="13">
        <f t="shared" si="21"/>
        <v>17307.660272993089</v>
      </c>
    </row>
    <row r="178" spans="1:15" x14ac:dyDescent="0.25">
      <c r="A178" s="1" t="s">
        <v>0</v>
      </c>
      <c r="B178" s="1" t="s">
        <v>1</v>
      </c>
      <c r="C178" s="1" t="s">
        <v>2</v>
      </c>
      <c r="D178" s="1">
        <v>63</v>
      </c>
      <c r="E178" s="1">
        <v>37.700000000000003</v>
      </c>
      <c r="F178" s="1">
        <v>0</v>
      </c>
      <c r="G178" s="7">
        <f t="shared" si="19"/>
        <v>1</v>
      </c>
      <c r="H178" s="7">
        <f t="shared" si="22"/>
        <v>1</v>
      </c>
      <c r="I178" s="7">
        <f t="shared" si="23"/>
        <v>0</v>
      </c>
      <c r="J178" s="7">
        <f t="shared" si="23"/>
        <v>0</v>
      </c>
      <c r="K178" s="7">
        <f t="shared" si="23"/>
        <v>0</v>
      </c>
      <c r="L178" s="11">
        <v>48824.45</v>
      </c>
      <c r="M178" s="12" cm="1">
        <f t="array" ref="M178">IF(($R$34+SUMPRODUCT(TRANSPOSE(D178:K178),$R$35:$R$42))&lt;0,"-",$R$34+SUMPRODUCT(TRANSPOSE(D178:K178),$R$35:$R$42))</f>
        <v>39919.488385426346</v>
      </c>
      <c r="N178" s="13">
        <f t="shared" si="20"/>
        <v>27795.283808391221</v>
      </c>
      <c r="O178" s="13">
        <f t="shared" si="21"/>
        <v>52043.692962461471</v>
      </c>
    </row>
    <row r="179" spans="1:15" x14ac:dyDescent="0.25">
      <c r="A179" s="1" t="s">
        <v>3</v>
      </c>
      <c r="B179" s="1" t="s">
        <v>4</v>
      </c>
      <c r="C179" s="1" t="s">
        <v>6</v>
      </c>
      <c r="D179" s="1">
        <v>38</v>
      </c>
      <c r="E179" s="1">
        <v>27.835000000000001</v>
      </c>
      <c r="F179" s="1">
        <v>2</v>
      </c>
      <c r="G179" s="7">
        <f t="shared" si="19"/>
        <v>0</v>
      </c>
      <c r="H179" s="7">
        <f t="shared" si="22"/>
        <v>0</v>
      </c>
      <c r="I179" s="7">
        <f t="shared" si="23"/>
        <v>0</v>
      </c>
      <c r="J179" s="7">
        <f t="shared" si="23"/>
        <v>1</v>
      </c>
      <c r="K179" s="7">
        <f t="shared" si="23"/>
        <v>0</v>
      </c>
      <c r="L179" s="11">
        <v>6455.86265</v>
      </c>
      <c r="M179" s="12" cm="1">
        <f t="array" ref="M179">IF(($R$34+SUMPRODUCT(TRANSPOSE(D179:K179),$R$35:$R$42))&lt;0,"-",$R$34+SUMPRODUCT(TRANSPOSE(D179:K179),$R$35:$R$42))</f>
        <v>7730.1754329882642</v>
      </c>
      <c r="N179" s="13" t="str">
        <f t="shared" si="20"/>
        <v>-</v>
      </c>
      <c r="O179" s="13">
        <f t="shared" si="21"/>
        <v>19854.380010023386</v>
      </c>
    </row>
    <row r="180" spans="1:15" x14ac:dyDescent="0.25">
      <c r="A180" s="1" t="s">
        <v>3</v>
      </c>
      <c r="B180" s="1" t="s">
        <v>4</v>
      </c>
      <c r="C180" s="1" t="s">
        <v>2</v>
      </c>
      <c r="D180" s="1">
        <v>54</v>
      </c>
      <c r="E180" s="1">
        <v>29.2</v>
      </c>
      <c r="F180" s="1">
        <v>1</v>
      </c>
      <c r="G180" s="7">
        <f t="shared" si="19"/>
        <v>0</v>
      </c>
      <c r="H180" s="7">
        <f t="shared" si="22"/>
        <v>0</v>
      </c>
      <c r="I180" s="7">
        <f t="shared" si="23"/>
        <v>0</v>
      </c>
      <c r="J180" s="7">
        <f t="shared" si="23"/>
        <v>0</v>
      </c>
      <c r="K180" s="7">
        <f t="shared" si="23"/>
        <v>0</v>
      </c>
      <c r="L180" s="11">
        <v>10436.096</v>
      </c>
      <c r="M180" s="12" cm="1">
        <f t="array" ref="M180">IF(($R$34+SUMPRODUCT(TRANSPOSE(D180:K180),$R$35:$R$42))&lt;0,"-",$R$34+SUMPRODUCT(TRANSPOSE(D180:K180),$R$35:$R$42))</f>
        <v>11220.288500739309</v>
      </c>
      <c r="N180" s="13" t="str">
        <f t="shared" si="20"/>
        <v>-</v>
      </c>
      <c r="O180" s="13">
        <f t="shared" si="21"/>
        <v>23344.49307777443</v>
      </c>
    </row>
    <row r="181" spans="1:15" x14ac:dyDescent="0.25">
      <c r="A181" s="1" t="s">
        <v>0</v>
      </c>
      <c r="B181" s="1" t="s">
        <v>4</v>
      </c>
      <c r="C181" s="1" t="s">
        <v>2</v>
      </c>
      <c r="D181" s="1">
        <v>46</v>
      </c>
      <c r="E181" s="1">
        <v>28.9</v>
      </c>
      <c r="F181" s="1">
        <v>2</v>
      </c>
      <c r="G181" s="7">
        <f t="shared" si="19"/>
        <v>1</v>
      </c>
      <c r="H181" s="7">
        <f t="shared" si="22"/>
        <v>0</v>
      </c>
      <c r="I181" s="7">
        <f t="shared" si="23"/>
        <v>0</v>
      </c>
      <c r="J181" s="7">
        <f t="shared" si="23"/>
        <v>0</v>
      </c>
      <c r="K181" s="7">
        <f t="shared" si="23"/>
        <v>0</v>
      </c>
      <c r="L181" s="11">
        <v>8823.2790000000005</v>
      </c>
      <c r="M181" s="12" cm="1">
        <f t="array" ref="M181">IF(($R$34+SUMPRODUCT(TRANSPOSE(D181:K181),$R$35:$R$42))&lt;0,"-",$R$34+SUMPRODUCT(TRANSPOSE(D181:K181),$R$35:$R$42))</f>
        <v>9670.4945489015081</v>
      </c>
      <c r="N181" s="13" t="str">
        <f t="shared" si="20"/>
        <v>-</v>
      </c>
      <c r="O181" s="13">
        <f t="shared" si="21"/>
        <v>21794.699125936633</v>
      </c>
    </row>
    <row r="182" spans="1:15" x14ac:dyDescent="0.25">
      <c r="A182" s="1" t="s">
        <v>0</v>
      </c>
      <c r="B182" s="1" t="s">
        <v>4</v>
      </c>
      <c r="C182" s="1" t="s">
        <v>7</v>
      </c>
      <c r="D182" s="1">
        <v>41</v>
      </c>
      <c r="E182" s="1">
        <v>33.155000000000001</v>
      </c>
      <c r="F182" s="1">
        <v>3</v>
      </c>
      <c r="G182" s="7">
        <f t="shared" si="19"/>
        <v>1</v>
      </c>
      <c r="H182" s="7">
        <f t="shared" si="22"/>
        <v>0</v>
      </c>
      <c r="I182" s="7">
        <f t="shared" si="23"/>
        <v>0</v>
      </c>
      <c r="J182" s="7">
        <f t="shared" si="23"/>
        <v>0</v>
      </c>
      <c r="K182" s="7">
        <f t="shared" si="23"/>
        <v>1</v>
      </c>
      <c r="L182" s="11">
        <v>8538.28845</v>
      </c>
      <c r="M182" s="12" cm="1">
        <f t="array" ref="M182">IF(($R$34+SUMPRODUCT(TRANSPOSE(D182:K182),$R$35:$R$42))&lt;0,"-",$R$34+SUMPRODUCT(TRANSPOSE(D182:K182),$R$35:$R$42))</f>
        <v>11265.032467778859</v>
      </c>
      <c r="N182" s="13" t="str">
        <f t="shared" si="20"/>
        <v>-</v>
      </c>
      <c r="O182" s="13">
        <f t="shared" si="21"/>
        <v>23389.237044813985</v>
      </c>
    </row>
    <row r="183" spans="1:15" x14ac:dyDescent="0.25">
      <c r="A183" s="1" t="s">
        <v>3</v>
      </c>
      <c r="B183" s="1" t="s">
        <v>4</v>
      </c>
      <c r="C183" s="1" t="s">
        <v>6</v>
      </c>
      <c r="D183" s="1">
        <v>58</v>
      </c>
      <c r="E183" s="1">
        <v>28.594999999999999</v>
      </c>
      <c r="F183" s="1">
        <v>0</v>
      </c>
      <c r="G183" s="7">
        <f t="shared" si="19"/>
        <v>0</v>
      </c>
      <c r="H183" s="7">
        <f t="shared" si="22"/>
        <v>0</v>
      </c>
      <c r="I183" s="7">
        <f t="shared" si="23"/>
        <v>0</v>
      </c>
      <c r="J183" s="7">
        <f t="shared" si="23"/>
        <v>1</v>
      </c>
      <c r="K183" s="7">
        <f t="shared" si="23"/>
        <v>0</v>
      </c>
      <c r="L183" s="11">
        <v>11735.87905</v>
      </c>
      <c r="M183" s="12" cm="1">
        <f t="array" ref="M183">IF(($R$34+SUMPRODUCT(TRANSPOSE(D183:K183),$R$35:$R$42))&lt;0,"-",$R$34+SUMPRODUCT(TRANSPOSE(D183:K183),$R$35:$R$42))</f>
        <v>12174.088418181196</v>
      </c>
      <c r="N183" s="13">
        <f t="shared" si="20"/>
        <v>49.883841146072882</v>
      </c>
      <c r="O183" s="13">
        <f t="shared" si="21"/>
        <v>24298.292995216318</v>
      </c>
    </row>
    <row r="184" spans="1:15" x14ac:dyDescent="0.25">
      <c r="A184" s="1" t="s">
        <v>0</v>
      </c>
      <c r="B184" s="1" t="s">
        <v>4</v>
      </c>
      <c r="C184" s="1" t="s">
        <v>5</v>
      </c>
      <c r="D184" s="1">
        <v>18</v>
      </c>
      <c r="E184" s="1">
        <v>38.28</v>
      </c>
      <c r="F184" s="1">
        <v>0</v>
      </c>
      <c r="G184" s="7">
        <f t="shared" si="19"/>
        <v>1</v>
      </c>
      <c r="H184" s="7">
        <f t="shared" si="22"/>
        <v>0</v>
      </c>
      <c r="I184" s="7">
        <f t="shared" si="23"/>
        <v>1</v>
      </c>
      <c r="J184" s="7">
        <f t="shared" si="23"/>
        <v>0</v>
      </c>
      <c r="K184" s="7">
        <f t="shared" si="23"/>
        <v>0</v>
      </c>
      <c r="L184" s="11">
        <v>1631.8212000000001</v>
      </c>
      <c r="M184" s="12" cm="1">
        <f t="array" ref="M184">IF(($R$34+SUMPRODUCT(TRANSPOSE(D184:K184),$R$35:$R$42))&lt;0,"-",$R$34+SUMPRODUCT(TRANSPOSE(D184:K184),$R$35:$R$42))</f>
        <v>4634.1791243401931</v>
      </c>
      <c r="N184" s="13" t="str">
        <f t="shared" si="20"/>
        <v>-</v>
      </c>
      <c r="O184" s="13">
        <f t="shared" si="21"/>
        <v>16758.383701375315</v>
      </c>
    </row>
    <row r="185" spans="1:15" x14ac:dyDescent="0.25">
      <c r="A185" s="1" t="s">
        <v>3</v>
      </c>
      <c r="B185" s="1" t="s">
        <v>4</v>
      </c>
      <c r="C185" s="1" t="s">
        <v>7</v>
      </c>
      <c r="D185" s="1">
        <v>22</v>
      </c>
      <c r="E185" s="1">
        <v>19.95</v>
      </c>
      <c r="F185" s="1">
        <v>3</v>
      </c>
      <c r="G185" s="7">
        <f t="shared" si="19"/>
        <v>0</v>
      </c>
      <c r="H185" s="7">
        <f t="shared" si="22"/>
        <v>0</v>
      </c>
      <c r="I185" s="7">
        <f t="shared" si="23"/>
        <v>0</v>
      </c>
      <c r="J185" s="7">
        <f t="shared" si="23"/>
        <v>0</v>
      </c>
      <c r="K185" s="7">
        <f t="shared" si="23"/>
        <v>1</v>
      </c>
      <c r="L185" s="11">
        <v>4005.4225000000001</v>
      </c>
      <c r="M185" s="12" cm="1">
        <f t="array" ref="M185">IF(($R$34+SUMPRODUCT(TRANSPOSE(D185:K185),$R$35:$R$42))&lt;0,"-",$R$34+SUMPRODUCT(TRANSPOSE(D185:K185),$R$35:$R$42))</f>
        <v>1774.397855242998</v>
      </c>
      <c r="N185" s="13" t="str">
        <f t="shared" si="20"/>
        <v>-</v>
      </c>
      <c r="O185" s="13">
        <f t="shared" si="21"/>
        <v>13898.602432278121</v>
      </c>
    </row>
    <row r="186" spans="1:15" x14ac:dyDescent="0.25">
      <c r="A186" s="1" t="s">
        <v>0</v>
      </c>
      <c r="B186" s="1" t="s">
        <v>4</v>
      </c>
      <c r="C186" s="1" t="s">
        <v>6</v>
      </c>
      <c r="D186" s="1">
        <v>44</v>
      </c>
      <c r="E186" s="1">
        <v>26.41</v>
      </c>
      <c r="F186" s="1">
        <v>0</v>
      </c>
      <c r="G186" s="7">
        <f t="shared" si="19"/>
        <v>1</v>
      </c>
      <c r="H186" s="7">
        <f t="shared" si="22"/>
        <v>0</v>
      </c>
      <c r="I186" s="7">
        <f t="shared" si="23"/>
        <v>0</v>
      </c>
      <c r="J186" s="7">
        <f t="shared" si="23"/>
        <v>1</v>
      </c>
      <c r="K186" s="7">
        <f t="shared" si="23"/>
        <v>0</v>
      </c>
      <c r="L186" s="11">
        <v>7419.4778999999999</v>
      </c>
      <c r="M186" s="12" cm="1">
        <f t="array" ref="M186">IF(($R$34+SUMPRODUCT(TRANSPOSE(D186:K186),$R$35:$R$42))&lt;0,"-",$R$34+SUMPRODUCT(TRANSPOSE(D186:K186),$R$35:$R$42))</f>
        <v>7968.2761459137473</v>
      </c>
      <c r="N186" s="13" t="str">
        <f t="shared" si="20"/>
        <v>-</v>
      </c>
      <c r="O186" s="13">
        <f t="shared" si="21"/>
        <v>20092.480722948872</v>
      </c>
    </row>
    <row r="187" spans="1:15" x14ac:dyDescent="0.25">
      <c r="A187" s="1" t="s">
        <v>3</v>
      </c>
      <c r="B187" s="1" t="s">
        <v>4</v>
      </c>
      <c r="C187" s="1" t="s">
        <v>5</v>
      </c>
      <c r="D187" s="1">
        <v>44</v>
      </c>
      <c r="E187" s="1">
        <v>30.69</v>
      </c>
      <c r="F187" s="1">
        <v>2</v>
      </c>
      <c r="G187" s="7">
        <f t="shared" si="19"/>
        <v>0</v>
      </c>
      <c r="H187" s="7">
        <f t="shared" si="22"/>
        <v>0</v>
      </c>
      <c r="I187" s="7">
        <f t="shared" si="23"/>
        <v>1</v>
      </c>
      <c r="J187" s="7">
        <f t="shared" si="23"/>
        <v>0</v>
      </c>
      <c r="K187" s="7">
        <f t="shared" si="23"/>
        <v>0</v>
      </c>
      <c r="L187" s="11">
        <v>7731.4270999999999</v>
      </c>
      <c r="M187" s="12" cm="1">
        <f t="array" ref="M187">IF(($R$34+SUMPRODUCT(TRANSPOSE(D187:K187),$R$35:$R$42))&lt;0,"-",$R$34+SUMPRODUCT(TRANSPOSE(D187:K187),$R$35:$R$42))</f>
        <v>9557.6527083081237</v>
      </c>
      <c r="N187" s="13" t="str">
        <f t="shared" si="20"/>
        <v>-</v>
      </c>
      <c r="O187" s="13">
        <f t="shared" si="21"/>
        <v>21681.857285343249</v>
      </c>
    </row>
    <row r="188" spans="1:15" x14ac:dyDescent="0.25">
      <c r="A188" s="1" t="s">
        <v>3</v>
      </c>
      <c r="B188" s="1" t="s">
        <v>1</v>
      </c>
      <c r="C188" s="1" t="s">
        <v>7</v>
      </c>
      <c r="D188" s="1">
        <v>36</v>
      </c>
      <c r="E188" s="1">
        <v>41.895000000000003</v>
      </c>
      <c r="F188" s="1">
        <v>3</v>
      </c>
      <c r="G188" s="7">
        <f t="shared" si="19"/>
        <v>0</v>
      </c>
      <c r="H188" s="7">
        <f t="shared" si="22"/>
        <v>1</v>
      </c>
      <c r="I188" s="7">
        <f t="shared" si="23"/>
        <v>0</v>
      </c>
      <c r="J188" s="7">
        <f t="shared" si="23"/>
        <v>0</v>
      </c>
      <c r="K188" s="7">
        <f t="shared" si="23"/>
        <v>1</v>
      </c>
      <c r="L188" s="11">
        <v>43753.337050000002</v>
      </c>
      <c r="M188" s="12" cm="1">
        <f t="array" ref="M188">IF(($R$34+SUMPRODUCT(TRANSPOSE(D188:K188),$R$35:$R$42))&lt;0,"-",$R$34+SUMPRODUCT(TRANSPOSE(D188:K188),$R$35:$R$42))</f>
        <v>36662.521672168543</v>
      </c>
      <c r="N188" s="13">
        <f t="shared" si="20"/>
        <v>24538.317095133418</v>
      </c>
      <c r="O188" s="13">
        <f t="shared" si="21"/>
        <v>48786.726249203668</v>
      </c>
    </row>
    <row r="189" spans="1:15" x14ac:dyDescent="0.25">
      <c r="A189" s="1" t="s">
        <v>0</v>
      </c>
      <c r="B189" s="1" t="s">
        <v>4</v>
      </c>
      <c r="C189" s="1" t="s">
        <v>5</v>
      </c>
      <c r="D189" s="1">
        <v>26</v>
      </c>
      <c r="E189" s="1">
        <v>29.92</v>
      </c>
      <c r="F189" s="1">
        <v>2</v>
      </c>
      <c r="G189" s="7">
        <f t="shared" si="19"/>
        <v>1</v>
      </c>
      <c r="H189" s="7">
        <f t="shared" si="22"/>
        <v>0</v>
      </c>
      <c r="I189" s="7">
        <f t="shared" si="23"/>
        <v>1</v>
      </c>
      <c r="J189" s="7">
        <f t="shared" si="23"/>
        <v>0</v>
      </c>
      <c r="K189" s="7">
        <f t="shared" si="23"/>
        <v>0</v>
      </c>
      <c r="L189" s="11">
        <v>3981.9767999999999</v>
      </c>
      <c r="M189" s="12" cm="1">
        <f t="array" ref="M189">IF(($R$34+SUMPRODUCT(TRANSPOSE(D189:K189),$R$35:$R$42))&lt;0,"-",$R$34+SUMPRODUCT(TRANSPOSE(D189:K189),$R$35:$R$42))</f>
        <v>4804.3737627506198</v>
      </c>
      <c r="N189" s="13" t="str">
        <f t="shared" si="20"/>
        <v>-</v>
      </c>
      <c r="O189" s="13">
        <f t="shared" si="21"/>
        <v>16928.578339785745</v>
      </c>
    </row>
    <row r="190" spans="1:15" x14ac:dyDescent="0.25">
      <c r="A190" s="1" t="s">
        <v>0</v>
      </c>
      <c r="B190" s="1" t="s">
        <v>4</v>
      </c>
      <c r="C190" s="1" t="s">
        <v>2</v>
      </c>
      <c r="D190" s="1">
        <v>30</v>
      </c>
      <c r="E190" s="1">
        <v>30.9</v>
      </c>
      <c r="F190" s="1">
        <v>3</v>
      </c>
      <c r="G190" s="7">
        <f t="shared" si="19"/>
        <v>1</v>
      </c>
      <c r="H190" s="7">
        <f t="shared" si="22"/>
        <v>0</v>
      </c>
      <c r="I190" s="7">
        <f t="shared" si="23"/>
        <v>0</v>
      </c>
      <c r="J190" s="7">
        <f t="shared" si="23"/>
        <v>0</v>
      </c>
      <c r="K190" s="7">
        <f t="shared" si="23"/>
        <v>0</v>
      </c>
      <c r="L190" s="11">
        <v>5325.6509999999998</v>
      </c>
      <c r="M190" s="12" cm="1">
        <f t="array" ref="M190">IF(($R$34+SUMPRODUCT(TRANSPOSE(D190:K190),$R$35:$R$42))&lt;0,"-",$R$34+SUMPRODUCT(TRANSPOSE(D190:K190),$R$35:$R$42))</f>
        <v>6714.6803606747562</v>
      </c>
      <c r="N190" s="13" t="str">
        <f t="shared" si="20"/>
        <v>-</v>
      </c>
      <c r="O190" s="13">
        <f t="shared" si="21"/>
        <v>18838.884937709881</v>
      </c>
    </row>
    <row r="191" spans="1:15" x14ac:dyDescent="0.25">
      <c r="A191" s="1" t="s">
        <v>0</v>
      </c>
      <c r="B191" s="1" t="s">
        <v>4</v>
      </c>
      <c r="C191" s="1" t="s">
        <v>2</v>
      </c>
      <c r="D191" s="1">
        <v>41</v>
      </c>
      <c r="E191" s="1">
        <v>32.200000000000003</v>
      </c>
      <c r="F191" s="1">
        <v>1</v>
      </c>
      <c r="G191" s="7">
        <f t="shared" si="19"/>
        <v>1</v>
      </c>
      <c r="H191" s="7">
        <f t="shared" si="22"/>
        <v>0</v>
      </c>
      <c r="I191" s="7">
        <f t="shared" si="23"/>
        <v>0</v>
      </c>
      <c r="J191" s="7">
        <f t="shared" si="23"/>
        <v>0</v>
      </c>
      <c r="K191" s="7">
        <f t="shared" si="23"/>
        <v>0</v>
      </c>
      <c r="L191" s="11">
        <v>6775.9610000000002</v>
      </c>
      <c r="M191" s="12" cm="1">
        <f t="array" ref="M191">IF(($R$34+SUMPRODUCT(TRANSPOSE(D191:K191),$R$35:$R$42))&lt;0,"-",$R$34+SUMPRODUCT(TRANSPOSE(D191:K191),$R$35:$R$42))</f>
        <v>9030.0506379814105</v>
      </c>
      <c r="N191" s="13" t="str">
        <f t="shared" si="20"/>
        <v>-</v>
      </c>
      <c r="O191" s="13">
        <f t="shared" si="21"/>
        <v>21154.255215016536</v>
      </c>
    </row>
    <row r="192" spans="1:15" x14ac:dyDescent="0.25">
      <c r="A192" s="1" t="s">
        <v>0</v>
      </c>
      <c r="B192" s="1" t="s">
        <v>4</v>
      </c>
      <c r="C192" s="1" t="s">
        <v>6</v>
      </c>
      <c r="D192" s="1">
        <v>29</v>
      </c>
      <c r="E192" s="1">
        <v>32.11</v>
      </c>
      <c r="F192" s="1">
        <v>2</v>
      </c>
      <c r="G192" s="7">
        <f t="shared" si="19"/>
        <v>1</v>
      </c>
      <c r="H192" s="7">
        <f t="shared" si="22"/>
        <v>0</v>
      </c>
      <c r="I192" s="7">
        <f t="shared" si="23"/>
        <v>0</v>
      </c>
      <c r="J192" s="7">
        <f t="shared" si="23"/>
        <v>1</v>
      </c>
      <c r="K192" s="7">
        <f t="shared" si="23"/>
        <v>0</v>
      </c>
      <c r="L192" s="11">
        <v>4922.9159</v>
      </c>
      <c r="M192" s="12" cm="1">
        <f t="array" ref="M192">IF(($R$34+SUMPRODUCT(TRANSPOSE(D192:K192),$R$35:$R$42))&lt;0,"-",$R$34+SUMPRODUCT(TRANSPOSE(D192:K192),$R$35:$R$42))</f>
        <v>6999.8346337335788</v>
      </c>
      <c r="N192" s="13" t="str">
        <f t="shared" si="20"/>
        <v>-</v>
      </c>
      <c r="O192" s="13">
        <f t="shared" si="21"/>
        <v>19124.0392107687</v>
      </c>
    </row>
    <row r="193" spans="1:15" x14ac:dyDescent="0.25">
      <c r="A193" s="1" t="s">
        <v>3</v>
      </c>
      <c r="B193" s="1" t="s">
        <v>4</v>
      </c>
      <c r="C193" s="1" t="s">
        <v>5</v>
      </c>
      <c r="D193" s="1">
        <v>61</v>
      </c>
      <c r="E193" s="1">
        <v>31.57</v>
      </c>
      <c r="F193" s="1">
        <v>0</v>
      </c>
      <c r="G193" s="7">
        <f t="shared" si="19"/>
        <v>0</v>
      </c>
      <c r="H193" s="7">
        <f t="shared" si="22"/>
        <v>0</v>
      </c>
      <c r="I193" s="7">
        <f t="shared" si="23"/>
        <v>1</v>
      </c>
      <c r="J193" s="7">
        <f t="shared" si="23"/>
        <v>0</v>
      </c>
      <c r="K193" s="7">
        <f t="shared" si="23"/>
        <v>0</v>
      </c>
      <c r="L193" s="11">
        <v>12557.605299999999</v>
      </c>
      <c r="M193" s="12" cm="1">
        <f t="array" ref="M193">IF(($R$34+SUMPRODUCT(TRANSPOSE(D193:K193),$R$35:$R$42))&lt;0,"-",$R$34+SUMPRODUCT(TRANSPOSE(D193:K193),$R$35:$R$42))</f>
        <v>13271.699850322315</v>
      </c>
      <c r="N193" s="13">
        <f t="shared" si="20"/>
        <v>1147.4952732871916</v>
      </c>
      <c r="O193" s="13">
        <f t="shared" si="21"/>
        <v>25395.90442735744</v>
      </c>
    </row>
    <row r="194" spans="1:15" x14ac:dyDescent="0.25">
      <c r="A194" s="1" t="s">
        <v>0</v>
      </c>
      <c r="B194" s="1" t="s">
        <v>4</v>
      </c>
      <c r="C194" s="1" t="s">
        <v>2</v>
      </c>
      <c r="D194" s="1">
        <v>36</v>
      </c>
      <c r="E194" s="1">
        <v>26.2</v>
      </c>
      <c r="F194" s="1">
        <v>0</v>
      </c>
      <c r="G194" s="7">
        <f t="shared" si="19"/>
        <v>1</v>
      </c>
      <c r="H194" s="7">
        <f t="shared" si="22"/>
        <v>0</v>
      </c>
      <c r="I194" s="7">
        <f t="shared" si="23"/>
        <v>0</v>
      </c>
      <c r="J194" s="7">
        <f t="shared" si="23"/>
        <v>0</v>
      </c>
      <c r="K194" s="7">
        <f t="shared" si="23"/>
        <v>0</v>
      </c>
      <c r="L194" s="11">
        <v>4883.866</v>
      </c>
      <c r="M194" s="12" cm="1">
        <f t="array" ref="M194">IF(($R$34+SUMPRODUCT(TRANSPOSE(D194:K194),$R$35:$R$42))&lt;0,"-",$R$34+SUMPRODUCT(TRANSPOSE(D194:K194),$R$35:$R$42))</f>
        <v>5235.1076084804954</v>
      </c>
      <c r="N194" s="13" t="str">
        <f t="shared" si="20"/>
        <v>-</v>
      </c>
      <c r="O194" s="13">
        <f t="shared" si="21"/>
        <v>17359.312185515621</v>
      </c>
    </row>
    <row r="195" spans="1:15" x14ac:dyDescent="0.25">
      <c r="A195" s="1" t="s">
        <v>3</v>
      </c>
      <c r="B195" s="1" t="s">
        <v>4</v>
      </c>
      <c r="C195" s="1" t="s">
        <v>5</v>
      </c>
      <c r="D195" s="1">
        <v>25</v>
      </c>
      <c r="E195" s="1">
        <v>25.74</v>
      </c>
      <c r="F195" s="1">
        <v>0</v>
      </c>
      <c r="G195" s="7">
        <f t="shared" ref="G195:G258" si="24">IF($A195=G$2,1,0)</f>
        <v>0</v>
      </c>
      <c r="H195" s="7">
        <f t="shared" si="22"/>
        <v>0</v>
      </c>
      <c r="I195" s="7">
        <f t="shared" si="23"/>
        <v>1</v>
      </c>
      <c r="J195" s="7">
        <f t="shared" si="23"/>
        <v>0</v>
      </c>
      <c r="K195" s="7">
        <f t="shared" si="23"/>
        <v>0</v>
      </c>
      <c r="L195" s="11">
        <v>2137.6536000000001</v>
      </c>
      <c r="M195" s="12" cm="1">
        <f t="array" ref="M195">IF(($R$34+SUMPRODUCT(TRANSPOSE(D195:K195),$R$35:$R$42))&lt;0,"-",$R$34+SUMPRODUCT(TRANSPOSE(D195:K195),$R$35:$R$42))</f>
        <v>2047.3733244265895</v>
      </c>
      <c r="N195" s="13" t="str">
        <f t="shared" ref="N195:N258" si="25">IFERROR(IF($M195-(2*$R$24)&lt;0,"-",($M195-(2*$R$24))),"-")</f>
        <v>-</v>
      </c>
      <c r="O195" s="13">
        <f t="shared" ref="O195:O258" si="26">IFERROR(IF($L195+(2*$R$24)&lt;0,"-",($M195+(2*$R$24))),"-")</f>
        <v>14171.577901461713</v>
      </c>
    </row>
    <row r="196" spans="1:15" x14ac:dyDescent="0.25">
      <c r="A196" s="1" t="s">
        <v>0</v>
      </c>
      <c r="B196" s="1" t="s">
        <v>4</v>
      </c>
      <c r="C196" s="1" t="s">
        <v>6</v>
      </c>
      <c r="D196" s="1">
        <v>56</v>
      </c>
      <c r="E196" s="1">
        <v>26.6</v>
      </c>
      <c r="F196" s="1">
        <v>1</v>
      </c>
      <c r="G196" s="7">
        <f t="shared" si="24"/>
        <v>1</v>
      </c>
      <c r="H196" s="7">
        <f t="shared" ref="H196:H259" si="27">IF(B196="yes",1,0)</f>
        <v>0</v>
      </c>
      <c r="I196" s="7">
        <f t="shared" ref="I196:K259" si="28">IF($C196=I$2,1,0)</f>
        <v>0</v>
      </c>
      <c r="J196" s="7">
        <f t="shared" si="28"/>
        <v>1</v>
      </c>
      <c r="K196" s="7">
        <f t="shared" si="28"/>
        <v>0</v>
      </c>
      <c r="L196" s="11">
        <v>12044.342000000001</v>
      </c>
      <c r="M196" s="12" cm="1">
        <f t="array" ref="M196">IF(($R$34+SUMPRODUCT(TRANSPOSE(D196:K196),$R$35:$R$42))&lt;0,"-",$R$34+SUMPRODUCT(TRANSPOSE(D196:K196),$R$35:$R$42))</f>
        <v>11590.499677697117</v>
      </c>
      <c r="N196" s="13" t="str">
        <f t="shared" si="25"/>
        <v>-</v>
      </c>
      <c r="O196" s="13">
        <f t="shared" si="26"/>
        <v>23714.704254732242</v>
      </c>
    </row>
    <row r="197" spans="1:15" x14ac:dyDescent="0.25">
      <c r="A197" s="1" t="s">
        <v>3</v>
      </c>
      <c r="B197" s="1" t="s">
        <v>4</v>
      </c>
      <c r="C197" s="1" t="s">
        <v>5</v>
      </c>
      <c r="D197" s="1">
        <v>18</v>
      </c>
      <c r="E197" s="1">
        <v>34.43</v>
      </c>
      <c r="F197" s="1">
        <v>0</v>
      </c>
      <c r="G197" s="7">
        <f t="shared" si="24"/>
        <v>0</v>
      </c>
      <c r="H197" s="7">
        <f t="shared" si="27"/>
        <v>0</v>
      </c>
      <c r="I197" s="7">
        <f t="shared" si="28"/>
        <v>1</v>
      </c>
      <c r="J197" s="7">
        <f t="shared" si="28"/>
        <v>0</v>
      </c>
      <c r="K197" s="7">
        <f t="shared" si="28"/>
        <v>0</v>
      </c>
      <c r="L197" s="11">
        <v>1137.4697000000001</v>
      </c>
      <c r="M197" s="12" cm="1">
        <f t="array" ref="M197">IF(($R$34+SUMPRODUCT(TRANSPOSE(D197:K197),$R$35:$R$42))&lt;0,"-",$R$34+SUMPRODUCT(TRANSPOSE(D197:K197),$R$35:$R$42))</f>
        <v>3196.9699685433534</v>
      </c>
      <c r="N197" s="13" t="str">
        <f t="shared" si="25"/>
        <v>-</v>
      </c>
      <c r="O197" s="13">
        <f t="shared" si="26"/>
        <v>15321.174545578477</v>
      </c>
    </row>
    <row r="198" spans="1:15" x14ac:dyDescent="0.25">
      <c r="A198" s="1" t="s">
        <v>3</v>
      </c>
      <c r="B198" s="1" t="s">
        <v>4</v>
      </c>
      <c r="C198" s="1" t="s">
        <v>6</v>
      </c>
      <c r="D198" s="1">
        <v>19</v>
      </c>
      <c r="E198" s="1">
        <v>30.59</v>
      </c>
      <c r="F198" s="1">
        <v>0</v>
      </c>
      <c r="G198" s="7">
        <f t="shared" si="24"/>
        <v>0</v>
      </c>
      <c r="H198" s="7">
        <f t="shared" si="27"/>
        <v>0</v>
      </c>
      <c r="I198" s="7">
        <f t="shared" si="28"/>
        <v>0</v>
      </c>
      <c r="J198" s="7">
        <f t="shared" si="28"/>
        <v>1</v>
      </c>
      <c r="K198" s="7">
        <f t="shared" si="28"/>
        <v>0</v>
      </c>
      <c r="L198" s="11">
        <v>1639.5631000000001</v>
      </c>
      <c r="M198" s="12" cm="1">
        <f t="array" ref="M198">IF(($R$34+SUMPRODUCT(TRANSPOSE(D198:K198),$R$35:$R$42))&lt;0,"-",$R$34+SUMPRODUCT(TRANSPOSE(D198:K198),$R$35:$R$42))</f>
        <v>2833.3816091782519</v>
      </c>
      <c r="N198" s="13" t="str">
        <f t="shared" si="25"/>
        <v>-</v>
      </c>
      <c r="O198" s="13">
        <f t="shared" si="26"/>
        <v>14957.586186213375</v>
      </c>
    </row>
    <row r="199" spans="1:15" x14ac:dyDescent="0.25">
      <c r="A199" s="1" t="s">
        <v>0</v>
      </c>
      <c r="B199" s="1" t="s">
        <v>4</v>
      </c>
      <c r="C199" s="1" t="s">
        <v>2</v>
      </c>
      <c r="D199" s="1">
        <v>39</v>
      </c>
      <c r="E199" s="1">
        <v>32.799999999999997</v>
      </c>
      <c r="F199" s="1">
        <v>0</v>
      </c>
      <c r="G199" s="7">
        <f t="shared" si="24"/>
        <v>1</v>
      </c>
      <c r="H199" s="7">
        <f t="shared" si="27"/>
        <v>0</v>
      </c>
      <c r="I199" s="7">
        <f t="shared" si="28"/>
        <v>0</v>
      </c>
      <c r="J199" s="7">
        <f t="shared" si="28"/>
        <v>0</v>
      </c>
      <c r="K199" s="7">
        <f t="shared" si="28"/>
        <v>0</v>
      </c>
      <c r="L199" s="11">
        <v>5649.7150000000001</v>
      </c>
      <c r="M199" s="12" cm="1">
        <f t="array" ref="M199">IF(($R$34+SUMPRODUCT(TRANSPOSE(D199:K199),$R$35:$R$42))&lt;0,"-",$R$34+SUMPRODUCT(TRANSPOSE(D199:K199),$R$35:$R$42))</f>
        <v>8244.3534599240847</v>
      </c>
      <c r="N199" s="13" t="str">
        <f t="shared" si="25"/>
        <v>-</v>
      </c>
      <c r="O199" s="13">
        <f t="shared" si="26"/>
        <v>20368.558036959206</v>
      </c>
    </row>
    <row r="200" spans="1:15" x14ac:dyDescent="0.25">
      <c r="A200" s="1" t="s">
        <v>0</v>
      </c>
      <c r="B200" s="1" t="s">
        <v>4</v>
      </c>
      <c r="C200" s="1" t="s">
        <v>5</v>
      </c>
      <c r="D200" s="1">
        <v>45</v>
      </c>
      <c r="E200" s="1">
        <v>28.6</v>
      </c>
      <c r="F200" s="1">
        <v>2</v>
      </c>
      <c r="G200" s="7">
        <f t="shared" si="24"/>
        <v>1</v>
      </c>
      <c r="H200" s="7">
        <f t="shared" si="27"/>
        <v>0</v>
      </c>
      <c r="I200" s="7">
        <f t="shared" si="28"/>
        <v>1</v>
      </c>
      <c r="J200" s="7">
        <f t="shared" si="28"/>
        <v>0</v>
      </c>
      <c r="K200" s="7">
        <f t="shared" si="28"/>
        <v>0</v>
      </c>
      <c r="L200" s="11">
        <v>8516.8289999999997</v>
      </c>
      <c r="M200" s="12" cm="1">
        <f t="array" ref="M200">IF(($R$34+SUMPRODUCT(TRANSPOSE(D200:K200),$R$35:$R$42))&lt;0,"-",$R$34+SUMPRODUCT(TRANSPOSE(D200:K200),$R$35:$R$42))</f>
        <v>9236.9091021939239</v>
      </c>
      <c r="N200" s="13" t="str">
        <f t="shared" si="25"/>
        <v>-</v>
      </c>
      <c r="O200" s="13">
        <f t="shared" si="26"/>
        <v>21361.113679229049</v>
      </c>
    </row>
    <row r="201" spans="1:15" x14ac:dyDescent="0.25">
      <c r="A201" s="1" t="s">
        <v>0</v>
      </c>
      <c r="B201" s="1" t="s">
        <v>4</v>
      </c>
      <c r="C201" s="1" t="s">
        <v>6</v>
      </c>
      <c r="D201" s="1">
        <v>51</v>
      </c>
      <c r="E201" s="1">
        <v>18.05</v>
      </c>
      <c r="F201" s="1">
        <v>0</v>
      </c>
      <c r="G201" s="7">
        <f t="shared" si="24"/>
        <v>1</v>
      </c>
      <c r="H201" s="7">
        <f t="shared" si="27"/>
        <v>0</v>
      </c>
      <c r="I201" s="7">
        <f t="shared" si="28"/>
        <v>0</v>
      </c>
      <c r="J201" s="7">
        <f t="shared" si="28"/>
        <v>1</v>
      </c>
      <c r="K201" s="7">
        <f t="shared" si="28"/>
        <v>0</v>
      </c>
      <c r="L201" s="11">
        <v>9644.2525000000005</v>
      </c>
      <c r="M201" s="12" cm="1">
        <f t="array" ref="M201">IF(($R$34+SUMPRODUCT(TRANSPOSE(D201:K201),$R$35:$R$42))&lt;0,"-",$R$34+SUMPRODUCT(TRANSPOSE(D201:K201),$R$35:$R$42))</f>
        <v>6930.6133414885589</v>
      </c>
      <c r="N201" s="13" t="str">
        <f t="shared" si="25"/>
        <v>-</v>
      </c>
      <c r="O201" s="13">
        <f t="shared" si="26"/>
        <v>19054.81791852368</v>
      </c>
    </row>
    <row r="202" spans="1:15" x14ac:dyDescent="0.25">
      <c r="A202" s="1" t="s">
        <v>0</v>
      </c>
      <c r="B202" s="1" t="s">
        <v>4</v>
      </c>
      <c r="C202" s="1" t="s">
        <v>7</v>
      </c>
      <c r="D202" s="1">
        <v>64</v>
      </c>
      <c r="E202" s="1">
        <v>39.33</v>
      </c>
      <c r="F202" s="1">
        <v>0</v>
      </c>
      <c r="G202" s="7">
        <f t="shared" si="24"/>
        <v>1</v>
      </c>
      <c r="H202" s="7">
        <f t="shared" si="27"/>
        <v>0</v>
      </c>
      <c r="I202" s="7">
        <f t="shared" si="28"/>
        <v>0</v>
      </c>
      <c r="J202" s="7">
        <f t="shared" si="28"/>
        <v>0</v>
      </c>
      <c r="K202" s="7">
        <f t="shared" si="28"/>
        <v>1</v>
      </c>
      <c r="L202" s="11">
        <v>14901.5167</v>
      </c>
      <c r="M202" s="12" cm="1">
        <f t="array" ref="M202">IF(($R$34+SUMPRODUCT(TRANSPOSE(D202:K202),$R$35:$R$42))&lt;0,"-",$R$34+SUMPRODUCT(TRANSPOSE(D202:K202),$R$35:$R$42))</f>
        <v>17840.746516737399</v>
      </c>
      <c r="N202" s="13">
        <f t="shared" si="25"/>
        <v>5716.5419397022761</v>
      </c>
      <c r="O202" s="13">
        <f t="shared" si="26"/>
        <v>29964.951093772521</v>
      </c>
    </row>
    <row r="203" spans="1:15" x14ac:dyDescent="0.25">
      <c r="A203" s="1" t="s">
        <v>0</v>
      </c>
      <c r="B203" s="1" t="s">
        <v>4</v>
      </c>
      <c r="C203" s="1" t="s">
        <v>6</v>
      </c>
      <c r="D203" s="1">
        <v>19</v>
      </c>
      <c r="E203" s="1">
        <v>32.11</v>
      </c>
      <c r="F203" s="1">
        <v>0</v>
      </c>
      <c r="G203" s="7">
        <f t="shared" si="24"/>
        <v>1</v>
      </c>
      <c r="H203" s="7">
        <f t="shared" si="27"/>
        <v>0</v>
      </c>
      <c r="I203" s="7">
        <f t="shared" si="28"/>
        <v>0</v>
      </c>
      <c r="J203" s="7">
        <f t="shared" si="28"/>
        <v>1</v>
      </c>
      <c r="K203" s="7">
        <f t="shared" si="28"/>
        <v>0</v>
      </c>
      <c r="L203" s="11">
        <v>2130.6759000000002</v>
      </c>
      <c r="M203" s="12" cm="1">
        <f t="array" ref="M203">IF(($R$34+SUMPRODUCT(TRANSPOSE(D203:K203),$R$35:$R$42))&lt;0,"-",$R$34+SUMPRODUCT(TRANSPOSE(D203:K203),$R$35:$R$42))</f>
        <v>3480.270018061834</v>
      </c>
      <c r="N203" s="13" t="str">
        <f t="shared" si="25"/>
        <v>-</v>
      </c>
      <c r="O203" s="13">
        <f t="shared" si="26"/>
        <v>15604.474595096957</v>
      </c>
    </row>
    <row r="204" spans="1:15" x14ac:dyDescent="0.25">
      <c r="A204" s="1" t="s">
        <v>0</v>
      </c>
      <c r="B204" s="1" t="s">
        <v>4</v>
      </c>
      <c r="C204" s="1" t="s">
        <v>5</v>
      </c>
      <c r="D204" s="1">
        <v>48</v>
      </c>
      <c r="E204" s="1">
        <v>32.229999999999997</v>
      </c>
      <c r="F204" s="1">
        <v>1</v>
      </c>
      <c r="G204" s="7">
        <f t="shared" si="24"/>
        <v>1</v>
      </c>
      <c r="H204" s="7">
        <f t="shared" si="27"/>
        <v>0</v>
      </c>
      <c r="I204" s="7">
        <f t="shared" si="28"/>
        <v>1</v>
      </c>
      <c r="J204" s="7">
        <f t="shared" si="28"/>
        <v>0</v>
      </c>
      <c r="K204" s="7">
        <f t="shared" si="28"/>
        <v>0</v>
      </c>
      <c r="L204" s="11">
        <v>8871.1517000000003</v>
      </c>
      <c r="M204" s="12" cm="1">
        <f t="array" ref="M204">IF(($R$34+SUMPRODUCT(TRANSPOSE(D204:K204),$R$35:$R$42))&lt;0,"-",$R$34+SUMPRODUCT(TRANSPOSE(D204:K204),$R$35:$R$42))</f>
        <v>10763.249851264183</v>
      </c>
      <c r="N204" s="13" t="str">
        <f t="shared" si="25"/>
        <v>-</v>
      </c>
      <c r="O204" s="13">
        <f t="shared" si="26"/>
        <v>22887.454428299308</v>
      </c>
    </row>
    <row r="205" spans="1:15" x14ac:dyDescent="0.25">
      <c r="A205" s="1" t="s">
        <v>0</v>
      </c>
      <c r="B205" s="1" t="s">
        <v>4</v>
      </c>
      <c r="C205" s="1" t="s">
        <v>6</v>
      </c>
      <c r="D205" s="1">
        <v>60</v>
      </c>
      <c r="E205" s="1">
        <v>24.035</v>
      </c>
      <c r="F205" s="1">
        <v>0</v>
      </c>
      <c r="G205" s="7">
        <f t="shared" si="24"/>
        <v>1</v>
      </c>
      <c r="H205" s="7">
        <f t="shared" si="27"/>
        <v>0</v>
      </c>
      <c r="I205" s="7">
        <f t="shared" si="28"/>
        <v>0</v>
      </c>
      <c r="J205" s="7">
        <f t="shared" si="28"/>
        <v>1</v>
      </c>
      <c r="K205" s="7">
        <f t="shared" si="28"/>
        <v>0</v>
      </c>
      <c r="L205" s="11">
        <v>13012.20865</v>
      </c>
      <c r="M205" s="12" cm="1">
        <f t="array" ref="M205">IF(($R$34+SUMPRODUCT(TRANSPOSE(D205:K205),$R$35:$R$42))&lt;0,"-",$R$34+SUMPRODUCT(TRANSPOSE(D205:K205),$R$35:$R$42))</f>
        <v>11272.39333418557</v>
      </c>
      <c r="N205" s="13" t="str">
        <f t="shared" si="25"/>
        <v>-</v>
      </c>
      <c r="O205" s="13">
        <f t="shared" si="26"/>
        <v>23396.597911220691</v>
      </c>
    </row>
    <row r="206" spans="1:15" x14ac:dyDescent="0.25">
      <c r="A206" s="1" t="s">
        <v>0</v>
      </c>
      <c r="B206" s="1" t="s">
        <v>1</v>
      </c>
      <c r="C206" s="1" t="s">
        <v>5</v>
      </c>
      <c r="D206" s="1">
        <v>27</v>
      </c>
      <c r="E206" s="1">
        <v>36.08</v>
      </c>
      <c r="F206" s="1">
        <v>0</v>
      </c>
      <c r="G206" s="7">
        <f t="shared" si="24"/>
        <v>1</v>
      </c>
      <c r="H206" s="7">
        <f t="shared" si="27"/>
        <v>1</v>
      </c>
      <c r="I206" s="7">
        <f t="shared" si="28"/>
        <v>1</v>
      </c>
      <c r="J206" s="7">
        <f t="shared" si="28"/>
        <v>0</v>
      </c>
      <c r="K206" s="7">
        <f t="shared" si="28"/>
        <v>0</v>
      </c>
      <c r="L206" s="11">
        <v>37133.898200000003</v>
      </c>
      <c r="M206" s="12" cm="1">
        <f t="array" ref="M206">IF(($R$34+SUMPRODUCT(TRANSPOSE(D206:K206),$R$35:$R$42))&lt;0,"-",$R$34+SUMPRODUCT(TRANSPOSE(D206:K206),$R$35:$R$42))</f>
        <v>30048.195241145273</v>
      </c>
      <c r="N206" s="13">
        <f t="shared" si="25"/>
        <v>17923.990664110148</v>
      </c>
      <c r="O206" s="13">
        <f t="shared" si="26"/>
        <v>42172.399818180398</v>
      </c>
    </row>
    <row r="207" spans="1:15" x14ac:dyDescent="0.25">
      <c r="A207" s="1" t="s">
        <v>3</v>
      </c>
      <c r="B207" s="1" t="s">
        <v>4</v>
      </c>
      <c r="C207" s="1" t="s">
        <v>2</v>
      </c>
      <c r="D207" s="1">
        <v>46</v>
      </c>
      <c r="E207" s="1">
        <v>22.3</v>
      </c>
      <c r="F207" s="1">
        <v>0</v>
      </c>
      <c r="G207" s="7">
        <f t="shared" si="24"/>
        <v>0</v>
      </c>
      <c r="H207" s="7">
        <f t="shared" si="27"/>
        <v>0</v>
      </c>
      <c r="I207" s="7">
        <f t="shared" si="28"/>
        <v>0</v>
      </c>
      <c r="J207" s="7">
        <f t="shared" si="28"/>
        <v>0</v>
      </c>
      <c r="K207" s="7">
        <f t="shared" si="28"/>
        <v>0</v>
      </c>
      <c r="L207" s="11">
        <v>7147.1049999999996</v>
      </c>
      <c r="M207" s="12" cm="1">
        <f t="array" ref="M207">IF(($R$34+SUMPRODUCT(TRANSPOSE(D207:K207),$R$35:$R$42))&lt;0,"-",$R$34+SUMPRODUCT(TRANSPOSE(D207:K207),$R$35:$R$42))</f>
        <v>6349.5023053765944</v>
      </c>
      <c r="N207" s="13" t="str">
        <f t="shared" si="25"/>
        <v>-</v>
      </c>
      <c r="O207" s="13">
        <f t="shared" si="26"/>
        <v>18473.706882411716</v>
      </c>
    </row>
    <row r="208" spans="1:15" x14ac:dyDescent="0.25">
      <c r="A208" s="1" t="s">
        <v>0</v>
      </c>
      <c r="B208" s="1" t="s">
        <v>4</v>
      </c>
      <c r="C208" s="1" t="s">
        <v>7</v>
      </c>
      <c r="D208" s="1">
        <v>28</v>
      </c>
      <c r="E208" s="1">
        <v>28.88</v>
      </c>
      <c r="F208" s="1">
        <v>1</v>
      </c>
      <c r="G208" s="7">
        <f t="shared" si="24"/>
        <v>1</v>
      </c>
      <c r="H208" s="7">
        <f t="shared" si="27"/>
        <v>0</v>
      </c>
      <c r="I208" s="7">
        <f t="shared" si="28"/>
        <v>0</v>
      </c>
      <c r="J208" s="7">
        <f t="shared" si="28"/>
        <v>0</v>
      </c>
      <c r="K208" s="7">
        <f t="shared" si="28"/>
        <v>1</v>
      </c>
      <c r="L208" s="11">
        <v>4337.7352000000001</v>
      </c>
      <c r="M208" s="12" cm="1">
        <f t="array" ref="M208">IF(($R$34+SUMPRODUCT(TRANSPOSE(D208:K208),$R$35:$R$42))&lt;0,"-",$R$34+SUMPRODUCT(TRANSPOSE(D208:K208),$R$35:$R$42))</f>
        <v>5524.8467803087296</v>
      </c>
      <c r="N208" s="13" t="str">
        <f t="shared" si="25"/>
        <v>-</v>
      </c>
      <c r="O208" s="13">
        <f t="shared" si="26"/>
        <v>17649.051357343851</v>
      </c>
    </row>
    <row r="209" spans="1:15" x14ac:dyDescent="0.25">
      <c r="A209" s="1" t="s">
        <v>3</v>
      </c>
      <c r="B209" s="1" t="s">
        <v>4</v>
      </c>
      <c r="C209" s="1" t="s">
        <v>5</v>
      </c>
      <c r="D209" s="1">
        <v>59</v>
      </c>
      <c r="E209" s="1">
        <v>26.4</v>
      </c>
      <c r="F209" s="1">
        <v>0</v>
      </c>
      <c r="G209" s="7">
        <f t="shared" si="24"/>
        <v>0</v>
      </c>
      <c r="H209" s="7">
        <f t="shared" si="27"/>
        <v>0</v>
      </c>
      <c r="I209" s="7">
        <f t="shared" si="28"/>
        <v>1</v>
      </c>
      <c r="J209" s="7">
        <f t="shared" si="28"/>
        <v>0</v>
      </c>
      <c r="K209" s="7">
        <f t="shared" si="28"/>
        <v>0</v>
      </c>
      <c r="L209" s="11">
        <v>11743.299000000001</v>
      </c>
      <c r="M209" s="12" cm="1">
        <f t="array" ref="M209">IF(($R$34+SUMPRODUCT(TRANSPOSE(D209:K209),$R$35:$R$42))&lt;0,"-",$R$34+SUMPRODUCT(TRANSPOSE(D209:K209),$R$35:$R$42))</f>
        <v>11004.356990079574</v>
      </c>
      <c r="N209" s="13" t="str">
        <f t="shared" si="25"/>
        <v>-</v>
      </c>
      <c r="O209" s="13">
        <f t="shared" si="26"/>
        <v>23128.561567114695</v>
      </c>
    </row>
    <row r="210" spans="1:15" x14ac:dyDescent="0.25">
      <c r="A210" s="1" t="s">
        <v>3</v>
      </c>
      <c r="B210" s="1" t="s">
        <v>1</v>
      </c>
      <c r="C210" s="1" t="s">
        <v>7</v>
      </c>
      <c r="D210" s="1">
        <v>35</v>
      </c>
      <c r="E210" s="1">
        <v>27.74</v>
      </c>
      <c r="F210" s="1">
        <v>2</v>
      </c>
      <c r="G210" s="7">
        <f t="shared" si="24"/>
        <v>0</v>
      </c>
      <c r="H210" s="7">
        <f t="shared" si="27"/>
        <v>1</v>
      </c>
      <c r="I210" s="7">
        <f t="shared" si="28"/>
        <v>0</v>
      </c>
      <c r="J210" s="7">
        <f t="shared" si="28"/>
        <v>0</v>
      </c>
      <c r="K210" s="7">
        <f t="shared" si="28"/>
        <v>1</v>
      </c>
      <c r="L210" s="11">
        <v>20984.0936</v>
      </c>
      <c r="M210" s="12" cm="1">
        <f t="array" ref="M210">IF(($R$34+SUMPRODUCT(TRANSPOSE(D210:K210),$R$35:$R$42))&lt;0,"-",$R$34+SUMPRODUCT(TRANSPOSE(D210:K210),$R$35:$R$42))</f>
        <v>31128.881438620621</v>
      </c>
      <c r="N210" s="13">
        <f t="shared" si="25"/>
        <v>19004.676861585496</v>
      </c>
      <c r="O210" s="13">
        <f t="shared" si="26"/>
        <v>43253.086015655746</v>
      </c>
    </row>
    <row r="211" spans="1:15" x14ac:dyDescent="0.25">
      <c r="A211" s="1" t="s">
        <v>0</v>
      </c>
      <c r="B211" s="1" t="s">
        <v>4</v>
      </c>
      <c r="C211" s="1" t="s">
        <v>2</v>
      </c>
      <c r="D211" s="1">
        <v>63</v>
      </c>
      <c r="E211" s="1">
        <v>31.8</v>
      </c>
      <c r="F211" s="1">
        <v>0</v>
      </c>
      <c r="G211" s="7">
        <f t="shared" si="24"/>
        <v>1</v>
      </c>
      <c r="H211" s="7">
        <f t="shared" si="27"/>
        <v>0</v>
      </c>
      <c r="I211" s="7">
        <f t="shared" si="28"/>
        <v>0</v>
      </c>
      <c r="J211" s="7">
        <f t="shared" si="28"/>
        <v>0</v>
      </c>
      <c r="K211" s="7">
        <f t="shared" si="28"/>
        <v>0</v>
      </c>
      <c r="L211" s="11">
        <v>13880.949000000001</v>
      </c>
      <c r="M211" s="12" cm="1">
        <f t="array" ref="M211">IF(($R$34+SUMPRODUCT(TRANSPOSE(D211:K211),$R$35:$R$42))&lt;0,"-",$R$34+SUMPRODUCT(TRANSPOSE(D211:K211),$R$35:$R$42))</f>
        <v>14069.712467209592</v>
      </c>
      <c r="N211" s="13">
        <f t="shared" si="25"/>
        <v>1945.5078901744691</v>
      </c>
      <c r="O211" s="13">
        <f t="shared" si="26"/>
        <v>26193.917044244714</v>
      </c>
    </row>
    <row r="212" spans="1:15" x14ac:dyDescent="0.25">
      <c r="A212" s="1" t="s">
        <v>3</v>
      </c>
      <c r="B212" s="1" t="s">
        <v>4</v>
      </c>
      <c r="C212" s="1" t="s">
        <v>7</v>
      </c>
      <c r="D212" s="1">
        <v>40</v>
      </c>
      <c r="E212" s="1">
        <v>41.23</v>
      </c>
      <c r="F212" s="1">
        <v>1</v>
      </c>
      <c r="G212" s="7">
        <f t="shared" si="24"/>
        <v>0</v>
      </c>
      <c r="H212" s="7">
        <f t="shared" si="27"/>
        <v>0</v>
      </c>
      <c r="I212" s="7">
        <f t="shared" si="28"/>
        <v>0</v>
      </c>
      <c r="J212" s="7">
        <f t="shared" si="28"/>
        <v>0</v>
      </c>
      <c r="K212" s="7">
        <f t="shared" si="28"/>
        <v>1</v>
      </c>
      <c r="L212" s="11">
        <v>6610.1097</v>
      </c>
      <c r="M212" s="12" cm="1">
        <f t="array" ref="M212">IF(($R$34+SUMPRODUCT(TRANSPOSE(D212:K212),$R$35:$R$42))&lt;0,"-",$R$34+SUMPRODUCT(TRANSPOSE(D212:K212),$R$35:$R$42))</f>
        <v>12664.847803455672</v>
      </c>
      <c r="N212" s="13">
        <f t="shared" si="25"/>
        <v>540.64322642054867</v>
      </c>
      <c r="O212" s="13">
        <f t="shared" si="26"/>
        <v>24789.052380490793</v>
      </c>
    </row>
    <row r="213" spans="1:15" x14ac:dyDescent="0.25">
      <c r="A213" s="1" t="s">
        <v>3</v>
      </c>
      <c r="B213" s="1" t="s">
        <v>4</v>
      </c>
      <c r="C213" s="1" t="s">
        <v>2</v>
      </c>
      <c r="D213" s="1">
        <v>20</v>
      </c>
      <c r="E213" s="1">
        <v>33</v>
      </c>
      <c r="F213" s="1">
        <v>1</v>
      </c>
      <c r="G213" s="7">
        <f t="shared" si="24"/>
        <v>0</v>
      </c>
      <c r="H213" s="7">
        <f t="shared" si="27"/>
        <v>0</v>
      </c>
      <c r="I213" s="7">
        <f t="shared" si="28"/>
        <v>0</v>
      </c>
      <c r="J213" s="7">
        <f t="shared" si="28"/>
        <v>0</v>
      </c>
      <c r="K213" s="7">
        <f t="shared" si="28"/>
        <v>0</v>
      </c>
      <c r="L213" s="11">
        <v>1980.07</v>
      </c>
      <c r="M213" s="12" cm="1">
        <f t="array" ref="M213">IF(($R$34+SUMPRODUCT(TRANSPOSE(D213:K213),$R$35:$R$42))&lt;0,"-",$R$34+SUMPRODUCT(TRANSPOSE(D213:K213),$R$35:$R$42))</f>
        <v>3776.1076381906678</v>
      </c>
      <c r="N213" s="13" t="str">
        <f t="shared" si="25"/>
        <v>-</v>
      </c>
      <c r="O213" s="13">
        <f t="shared" si="26"/>
        <v>15900.312215225791</v>
      </c>
    </row>
    <row r="214" spans="1:15" x14ac:dyDescent="0.25">
      <c r="A214" s="1" t="s">
        <v>3</v>
      </c>
      <c r="B214" s="1" t="s">
        <v>4</v>
      </c>
      <c r="C214" s="1" t="s">
        <v>6</v>
      </c>
      <c r="D214" s="1">
        <v>40</v>
      </c>
      <c r="E214" s="1">
        <v>30.875</v>
      </c>
      <c r="F214" s="1">
        <v>4</v>
      </c>
      <c r="G214" s="7">
        <f t="shared" si="24"/>
        <v>0</v>
      </c>
      <c r="H214" s="7">
        <f t="shared" si="27"/>
        <v>0</v>
      </c>
      <c r="I214" s="7">
        <f t="shared" si="28"/>
        <v>0</v>
      </c>
      <c r="J214" s="7">
        <f t="shared" si="28"/>
        <v>1</v>
      </c>
      <c r="K214" s="7">
        <f t="shared" si="28"/>
        <v>0</v>
      </c>
      <c r="L214" s="11">
        <v>8162.7162500000004</v>
      </c>
      <c r="M214" s="12" cm="1">
        <f t="array" ref="M214">IF(($R$34+SUMPRODUCT(TRANSPOSE(D214:K214),$R$35:$R$42))&lt;0,"-",$R$34+SUMPRODUCT(TRANSPOSE(D214:K214),$R$35:$R$42))</f>
        <v>10226.037327338177</v>
      </c>
      <c r="N214" s="13" t="str">
        <f t="shared" si="25"/>
        <v>-</v>
      </c>
      <c r="O214" s="13">
        <f t="shared" si="26"/>
        <v>22350.241904373303</v>
      </c>
    </row>
    <row r="215" spans="1:15" x14ac:dyDescent="0.25">
      <c r="A215" s="1" t="s">
        <v>3</v>
      </c>
      <c r="B215" s="1" t="s">
        <v>4</v>
      </c>
      <c r="C215" s="1" t="s">
        <v>6</v>
      </c>
      <c r="D215" s="1">
        <v>24</v>
      </c>
      <c r="E215" s="1">
        <v>28.5</v>
      </c>
      <c r="F215" s="1">
        <v>2</v>
      </c>
      <c r="G215" s="7">
        <f t="shared" si="24"/>
        <v>0</v>
      </c>
      <c r="H215" s="7">
        <f t="shared" si="27"/>
        <v>0</v>
      </c>
      <c r="I215" s="7">
        <f t="shared" si="28"/>
        <v>0</v>
      </c>
      <c r="J215" s="7">
        <f t="shared" si="28"/>
        <v>1</v>
      </c>
      <c r="K215" s="7">
        <f t="shared" si="28"/>
        <v>0</v>
      </c>
      <c r="L215" s="11">
        <v>3537.703</v>
      </c>
      <c r="M215" s="12" cm="1">
        <f t="array" ref="M215">IF(($R$34+SUMPRODUCT(TRANSPOSE(D215:K215),$R$35:$R$42))&lt;0,"-",$R$34+SUMPRODUCT(TRANSPOSE(D215:K215),$R$35:$R$42))</f>
        <v>4359.7501441166023</v>
      </c>
      <c r="N215" s="13" t="str">
        <f t="shared" si="25"/>
        <v>-</v>
      </c>
      <c r="O215" s="13">
        <f t="shared" si="26"/>
        <v>16483.954721151727</v>
      </c>
    </row>
    <row r="216" spans="1:15" x14ac:dyDescent="0.25">
      <c r="A216" s="1" t="s">
        <v>0</v>
      </c>
      <c r="B216" s="1" t="s">
        <v>4</v>
      </c>
      <c r="C216" s="1" t="s">
        <v>5</v>
      </c>
      <c r="D216" s="1">
        <v>34</v>
      </c>
      <c r="E216" s="1">
        <v>26.73</v>
      </c>
      <c r="F216" s="1">
        <v>1</v>
      </c>
      <c r="G216" s="7">
        <f t="shared" si="24"/>
        <v>1</v>
      </c>
      <c r="H216" s="7">
        <f t="shared" si="27"/>
        <v>0</v>
      </c>
      <c r="I216" s="7">
        <f t="shared" si="28"/>
        <v>1</v>
      </c>
      <c r="J216" s="7">
        <f t="shared" si="28"/>
        <v>0</v>
      </c>
      <c r="K216" s="7">
        <f t="shared" si="28"/>
        <v>0</v>
      </c>
      <c r="L216" s="11">
        <v>5002.7826999999997</v>
      </c>
      <c r="M216" s="12" cm="1">
        <f t="array" ref="M216">IF(($R$34+SUMPRODUCT(TRANSPOSE(D216:K216),$R$35:$R$42))&lt;0,"-",$R$34+SUMPRODUCT(TRANSPOSE(D216:K216),$R$35:$R$42))</f>
        <v>5301.6969208816954</v>
      </c>
      <c r="N216" s="13" t="str">
        <f t="shared" si="25"/>
        <v>-</v>
      </c>
      <c r="O216" s="13">
        <f t="shared" si="26"/>
        <v>17425.901497916821</v>
      </c>
    </row>
    <row r="217" spans="1:15" x14ac:dyDescent="0.25">
      <c r="A217" s="1" t="s">
        <v>0</v>
      </c>
      <c r="B217" s="1" t="s">
        <v>4</v>
      </c>
      <c r="C217" s="1" t="s">
        <v>2</v>
      </c>
      <c r="D217" s="1">
        <v>45</v>
      </c>
      <c r="E217" s="1">
        <v>30.9</v>
      </c>
      <c r="F217" s="1">
        <v>2</v>
      </c>
      <c r="G217" s="7">
        <f t="shared" si="24"/>
        <v>1</v>
      </c>
      <c r="H217" s="7">
        <f t="shared" si="27"/>
        <v>0</v>
      </c>
      <c r="I217" s="7">
        <f t="shared" si="28"/>
        <v>0</v>
      </c>
      <c r="J217" s="7">
        <f t="shared" si="28"/>
        <v>0</v>
      </c>
      <c r="K217" s="7">
        <f t="shared" si="28"/>
        <v>0</v>
      </c>
      <c r="L217" s="11">
        <v>8520.0259999999998</v>
      </c>
      <c r="M217" s="12" cm="1">
        <f t="array" ref="M217">IF(($R$34+SUMPRODUCT(TRANSPOSE(D217:K217),$R$35:$R$42))&lt;0,"-",$R$34+SUMPRODUCT(TRANSPOSE(D217:K217),$R$35:$R$42))</f>
        <v>10092.025103585838</v>
      </c>
      <c r="N217" s="13" t="str">
        <f t="shared" si="25"/>
        <v>-</v>
      </c>
      <c r="O217" s="13">
        <f t="shared" si="26"/>
        <v>22216.229680620963</v>
      </c>
    </row>
    <row r="218" spans="1:15" x14ac:dyDescent="0.25">
      <c r="A218" s="1" t="s">
        <v>0</v>
      </c>
      <c r="B218" s="1" t="s">
        <v>4</v>
      </c>
      <c r="C218" s="1" t="s">
        <v>2</v>
      </c>
      <c r="D218" s="1">
        <v>41</v>
      </c>
      <c r="E218" s="1">
        <v>37.1</v>
      </c>
      <c r="F218" s="1">
        <v>2</v>
      </c>
      <c r="G218" s="7">
        <f t="shared" si="24"/>
        <v>1</v>
      </c>
      <c r="H218" s="7">
        <f t="shared" si="27"/>
        <v>0</v>
      </c>
      <c r="I218" s="7">
        <f t="shared" si="28"/>
        <v>0</v>
      </c>
      <c r="J218" s="7">
        <f t="shared" si="28"/>
        <v>0</v>
      </c>
      <c r="K218" s="7">
        <f t="shared" si="28"/>
        <v>0</v>
      </c>
      <c r="L218" s="11">
        <v>7371.7719999999999</v>
      </c>
      <c r="M218" s="12" cm="1">
        <f t="array" ref="M218">IF(($R$34+SUMPRODUCT(TRANSPOSE(D218:K218),$R$35:$R$42))&lt;0,"-",$R$34+SUMPRODUCT(TRANSPOSE(D218:K218),$R$35:$R$42))</f>
        <v>11167.599105823658</v>
      </c>
      <c r="N218" s="13" t="str">
        <f t="shared" si="25"/>
        <v>-</v>
      </c>
      <c r="O218" s="13">
        <f t="shared" si="26"/>
        <v>23291.803682858779</v>
      </c>
    </row>
    <row r="219" spans="1:15" x14ac:dyDescent="0.25">
      <c r="A219" s="1" t="s">
        <v>0</v>
      </c>
      <c r="B219" s="1" t="s">
        <v>4</v>
      </c>
      <c r="C219" s="1" t="s">
        <v>6</v>
      </c>
      <c r="D219" s="1">
        <v>53</v>
      </c>
      <c r="E219" s="1">
        <v>26.6</v>
      </c>
      <c r="F219" s="1">
        <v>0</v>
      </c>
      <c r="G219" s="7">
        <f t="shared" si="24"/>
        <v>1</v>
      </c>
      <c r="H219" s="7">
        <f t="shared" si="27"/>
        <v>0</v>
      </c>
      <c r="I219" s="7">
        <f t="shared" si="28"/>
        <v>0</v>
      </c>
      <c r="J219" s="7">
        <f t="shared" si="28"/>
        <v>1</v>
      </c>
      <c r="K219" s="7">
        <f t="shared" si="28"/>
        <v>0</v>
      </c>
      <c r="L219" s="11">
        <v>10355.641</v>
      </c>
      <c r="M219" s="12" cm="1">
        <f t="array" ref="M219">IF(($R$34+SUMPRODUCT(TRANSPOSE(D219:K219),$R$35:$R$42))&lt;0,"-",$R$34+SUMPRODUCT(TRANSPOSE(D219:K219),$R$35:$R$42))</f>
        <v>10344.430074935939</v>
      </c>
      <c r="N219" s="13" t="str">
        <f t="shared" si="25"/>
        <v>-</v>
      </c>
      <c r="O219" s="13">
        <f t="shared" si="26"/>
        <v>22468.634651971064</v>
      </c>
    </row>
    <row r="220" spans="1:15" x14ac:dyDescent="0.25">
      <c r="A220" s="1" t="s">
        <v>3</v>
      </c>
      <c r="B220" s="1" t="s">
        <v>4</v>
      </c>
      <c r="C220" s="1" t="s">
        <v>5</v>
      </c>
      <c r="D220" s="1">
        <v>27</v>
      </c>
      <c r="E220" s="1">
        <v>23.1</v>
      </c>
      <c r="F220" s="1">
        <v>0</v>
      </c>
      <c r="G220" s="7">
        <f t="shared" si="24"/>
        <v>0</v>
      </c>
      <c r="H220" s="7">
        <f t="shared" si="27"/>
        <v>0</v>
      </c>
      <c r="I220" s="7">
        <f t="shared" si="28"/>
        <v>1</v>
      </c>
      <c r="J220" s="7">
        <f t="shared" si="28"/>
        <v>0</v>
      </c>
      <c r="K220" s="7">
        <f t="shared" si="28"/>
        <v>0</v>
      </c>
      <c r="L220" s="11">
        <v>2483.7359999999999</v>
      </c>
      <c r="M220" s="12" cm="1">
        <f t="array" ref="M220">IF(($R$34+SUMPRODUCT(TRANSPOSE(D220:K220),$R$35:$R$42))&lt;0,"-",$R$34+SUMPRODUCT(TRANSPOSE(D220:K220),$R$35:$R$42))</f>
        <v>1665.6153119686678</v>
      </c>
      <c r="N220" s="13" t="str">
        <f t="shared" si="25"/>
        <v>-</v>
      </c>
      <c r="O220" s="13">
        <f t="shared" si="26"/>
        <v>13789.819889003791</v>
      </c>
    </row>
    <row r="221" spans="1:15" x14ac:dyDescent="0.25">
      <c r="A221" s="1" t="s">
        <v>0</v>
      </c>
      <c r="B221" s="1" t="s">
        <v>4</v>
      </c>
      <c r="C221" s="1" t="s">
        <v>5</v>
      </c>
      <c r="D221" s="1">
        <v>26</v>
      </c>
      <c r="E221" s="1">
        <v>29.92</v>
      </c>
      <c r="F221" s="1">
        <v>1</v>
      </c>
      <c r="G221" s="7">
        <f t="shared" si="24"/>
        <v>1</v>
      </c>
      <c r="H221" s="7">
        <f t="shared" si="27"/>
        <v>0</v>
      </c>
      <c r="I221" s="7">
        <f t="shared" si="28"/>
        <v>1</v>
      </c>
      <c r="J221" s="7">
        <f t="shared" si="28"/>
        <v>0</v>
      </c>
      <c r="K221" s="7">
        <f t="shared" si="28"/>
        <v>0</v>
      </c>
      <c r="L221" s="11">
        <v>3392.9767999999999</v>
      </c>
      <c r="M221" s="12" cm="1">
        <f t="array" ref="M221">IF(($R$34+SUMPRODUCT(TRANSPOSE(D221:K221),$R$35:$R$42))&lt;0,"-",$R$34+SUMPRODUCT(TRANSPOSE(D221:K221),$R$35:$R$42))</f>
        <v>4328.8732176014892</v>
      </c>
      <c r="N221" s="13" t="str">
        <f t="shared" si="25"/>
        <v>-</v>
      </c>
      <c r="O221" s="13">
        <f t="shared" si="26"/>
        <v>16453.077794636614</v>
      </c>
    </row>
    <row r="222" spans="1:15" x14ac:dyDescent="0.25">
      <c r="A222" s="1" t="s">
        <v>0</v>
      </c>
      <c r="B222" s="1" t="s">
        <v>4</v>
      </c>
      <c r="C222" s="1" t="s">
        <v>5</v>
      </c>
      <c r="D222" s="1">
        <v>24</v>
      </c>
      <c r="E222" s="1">
        <v>23.21</v>
      </c>
      <c r="F222" s="1">
        <v>0</v>
      </c>
      <c r="G222" s="7">
        <f t="shared" si="24"/>
        <v>1</v>
      </c>
      <c r="H222" s="7">
        <f t="shared" si="27"/>
        <v>0</v>
      </c>
      <c r="I222" s="7">
        <f t="shared" si="28"/>
        <v>1</v>
      </c>
      <c r="J222" s="7">
        <f t="shared" si="28"/>
        <v>0</v>
      </c>
      <c r="K222" s="7">
        <f t="shared" si="28"/>
        <v>0</v>
      </c>
      <c r="L222" s="11">
        <v>25081.76784</v>
      </c>
      <c r="M222" s="12" cm="1">
        <f t="array" ref="M222">IF(($R$34+SUMPRODUCT(TRANSPOSE(D222:K222),$R$35:$R$42))&lt;0,"-",$R$34+SUMPRODUCT(TRANSPOSE(D222:K222),$R$35:$R$42))</f>
        <v>1063.6718936489233</v>
      </c>
      <c r="N222" s="13" t="str">
        <f t="shared" si="25"/>
        <v>-</v>
      </c>
      <c r="O222" s="13">
        <f t="shared" si="26"/>
        <v>13187.876470684047</v>
      </c>
    </row>
    <row r="223" spans="1:15" x14ac:dyDescent="0.25">
      <c r="A223" s="1" t="s">
        <v>0</v>
      </c>
      <c r="B223" s="1" t="s">
        <v>4</v>
      </c>
      <c r="C223" s="1" t="s">
        <v>2</v>
      </c>
      <c r="D223" s="1">
        <v>34</v>
      </c>
      <c r="E223" s="1">
        <v>33.700000000000003</v>
      </c>
      <c r="F223" s="1">
        <v>1</v>
      </c>
      <c r="G223" s="7">
        <f t="shared" si="24"/>
        <v>1</v>
      </c>
      <c r="H223" s="7">
        <f t="shared" si="27"/>
        <v>0</v>
      </c>
      <c r="I223" s="7">
        <f t="shared" si="28"/>
        <v>0</v>
      </c>
      <c r="J223" s="7">
        <f t="shared" si="28"/>
        <v>0</v>
      </c>
      <c r="K223" s="7">
        <f t="shared" si="28"/>
        <v>0</v>
      </c>
      <c r="L223" s="11">
        <v>5012.4709999999995</v>
      </c>
      <c r="M223" s="12" cm="1">
        <f t="array" ref="M223">IF(($R$34+SUMPRODUCT(TRANSPOSE(D223:K223),$R$35:$R$42))&lt;0,"-",$R$34+SUMPRODUCT(TRANSPOSE(D223:K223),$R$35:$R$42))</f>
        <v>7740.8463506362386</v>
      </c>
      <c r="N223" s="13" t="str">
        <f t="shared" si="25"/>
        <v>-</v>
      </c>
      <c r="O223" s="13">
        <f t="shared" si="26"/>
        <v>19865.050927671364</v>
      </c>
    </row>
    <row r="224" spans="1:15" x14ac:dyDescent="0.25">
      <c r="A224" s="1" t="s">
        <v>0</v>
      </c>
      <c r="B224" s="1" t="s">
        <v>4</v>
      </c>
      <c r="C224" s="1" t="s">
        <v>7</v>
      </c>
      <c r="D224" s="1">
        <v>53</v>
      </c>
      <c r="E224" s="1">
        <v>33.25</v>
      </c>
      <c r="F224" s="1">
        <v>0</v>
      </c>
      <c r="G224" s="7">
        <f t="shared" si="24"/>
        <v>1</v>
      </c>
      <c r="H224" s="7">
        <f t="shared" si="27"/>
        <v>0</v>
      </c>
      <c r="I224" s="7">
        <f t="shared" si="28"/>
        <v>0</v>
      </c>
      <c r="J224" s="7">
        <f t="shared" si="28"/>
        <v>0</v>
      </c>
      <c r="K224" s="7">
        <f t="shared" si="28"/>
        <v>1</v>
      </c>
      <c r="L224" s="11">
        <v>10564.8845</v>
      </c>
      <c r="M224" s="12" cm="1">
        <f t="array" ref="M224">IF(($R$34+SUMPRODUCT(TRANSPOSE(D224:K224),$R$35:$R$42))&lt;0,"-",$R$34+SUMPRODUCT(TRANSPOSE(D224:K224),$R$35:$R$42))</f>
        <v>12953.030440872666</v>
      </c>
      <c r="N224" s="13">
        <f t="shared" si="25"/>
        <v>828.82586383754278</v>
      </c>
      <c r="O224" s="13">
        <f t="shared" si="26"/>
        <v>25077.235017907791</v>
      </c>
    </row>
    <row r="225" spans="1:15" x14ac:dyDescent="0.25">
      <c r="A225" s="1" t="s">
        <v>3</v>
      </c>
      <c r="B225" s="1" t="s">
        <v>4</v>
      </c>
      <c r="C225" s="1" t="s">
        <v>2</v>
      </c>
      <c r="D225" s="1">
        <v>32</v>
      </c>
      <c r="E225" s="1">
        <v>30.8</v>
      </c>
      <c r="F225" s="1">
        <v>3</v>
      </c>
      <c r="G225" s="7">
        <f t="shared" si="24"/>
        <v>0</v>
      </c>
      <c r="H225" s="7">
        <f t="shared" si="27"/>
        <v>0</v>
      </c>
      <c r="I225" s="7">
        <f t="shared" si="28"/>
        <v>0</v>
      </c>
      <c r="J225" s="7">
        <f t="shared" si="28"/>
        <v>0</v>
      </c>
      <c r="K225" s="7">
        <f t="shared" si="28"/>
        <v>0</v>
      </c>
      <c r="L225" s="11">
        <v>5253.5240000000003</v>
      </c>
      <c r="M225" s="12" cm="1">
        <f t="array" ref="M225">IF(($R$34+SUMPRODUCT(TRANSPOSE(D225:K225),$R$35:$R$42))&lt;0,"-",$R$34+SUMPRODUCT(TRANSPOSE(D225:K225),$R$35:$R$42))</f>
        <v>7063.1593609932606</v>
      </c>
      <c r="N225" s="13" t="str">
        <f t="shared" si="25"/>
        <v>-</v>
      </c>
      <c r="O225" s="13">
        <f t="shared" si="26"/>
        <v>19187.363938028386</v>
      </c>
    </row>
    <row r="226" spans="1:15" x14ac:dyDescent="0.25">
      <c r="A226" s="1" t="s">
        <v>3</v>
      </c>
      <c r="B226" s="1" t="s">
        <v>1</v>
      </c>
      <c r="C226" s="1" t="s">
        <v>2</v>
      </c>
      <c r="D226" s="1">
        <v>19</v>
      </c>
      <c r="E226" s="1">
        <v>34.799999999999997</v>
      </c>
      <c r="F226" s="1">
        <v>0</v>
      </c>
      <c r="G226" s="7">
        <f t="shared" si="24"/>
        <v>0</v>
      </c>
      <c r="H226" s="7">
        <f t="shared" si="27"/>
        <v>1</v>
      </c>
      <c r="I226" s="7">
        <f t="shared" si="28"/>
        <v>0</v>
      </c>
      <c r="J226" s="7">
        <f t="shared" si="28"/>
        <v>0</v>
      </c>
      <c r="K226" s="7">
        <f t="shared" si="28"/>
        <v>0</v>
      </c>
      <c r="L226" s="11">
        <v>34779.614999999998</v>
      </c>
      <c r="M226" s="12" cm="1">
        <f t="array" ref="M226">IF(($R$34+SUMPRODUCT(TRANSPOSE(D226:K226),$R$35:$R$42))&lt;0,"-",$R$34+SUMPRODUCT(TRANSPOSE(D226:K226),$R$35:$R$42))</f>
        <v>27502.833498916487</v>
      </c>
      <c r="N226" s="13">
        <f t="shared" si="25"/>
        <v>15378.628921881364</v>
      </c>
      <c r="O226" s="13">
        <f t="shared" si="26"/>
        <v>39627.038075951612</v>
      </c>
    </row>
    <row r="227" spans="1:15" x14ac:dyDescent="0.25">
      <c r="A227" s="1" t="s">
        <v>3</v>
      </c>
      <c r="B227" s="1" t="s">
        <v>1</v>
      </c>
      <c r="C227" s="1" t="s">
        <v>5</v>
      </c>
      <c r="D227" s="1">
        <v>42</v>
      </c>
      <c r="E227" s="1">
        <v>24.64</v>
      </c>
      <c r="F227" s="1">
        <v>0</v>
      </c>
      <c r="G227" s="7">
        <f t="shared" si="24"/>
        <v>0</v>
      </c>
      <c r="H227" s="7">
        <f t="shared" si="27"/>
        <v>1</v>
      </c>
      <c r="I227" s="7">
        <f t="shared" si="28"/>
        <v>1</v>
      </c>
      <c r="J227" s="7">
        <f t="shared" si="28"/>
        <v>0</v>
      </c>
      <c r="K227" s="7">
        <f t="shared" si="28"/>
        <v>0</v>
      </c>
      <c r="L227" s="11">
        <v>19515.5416</v>
      </c>
      <c r="M227" s="12" cm="1">
        <f t="array" ref="M227">IF(($R$34+SUMPRODUCT(TRANSPOSE(D227:K227),$R$35:$R$42))&lt;0,"-",$R$34+SUMPRODUCT(TRANSPOSE(D227:K227),$R$35:$R$42))</f>
        <v>29889.35306050237</v>
      </c>
      <c r="N227" s="13">
        <f t="shared" si="25"/>
        <v>17765.148483467245</v>
      </c>
      <c r="O227" s="13">
        <f t="shared" si="26"/>
        <v>42013.557637537495</v>
      </c>
    </row>
    <row r="228" spans="1:15" x14ac:dyDescent="0.25">
      <c r="A228" s="1" t="s">
        <v>3</v>
      </c>
      <c r="B228" s="1" t="s">
        <v>4</v>
      </c>
      <c r="C228" s="1" t="s">
        <v>5</v>
      </c>
      <c r="D228" s="1">
        <v>55</v>
      </c>
      <c r="E228" s="1">
        <v>33.880000000000003</v>
      </c>
      <c r="F228" s="1">
        <v>3</v>
      </c>
      <c r="G228" s="7">
        <f t="shared" si="24"/>
        <v>0</v>
      </c>
      <c r="H228" s="7">
        <f t="shared" si="27"/>
        <v>0</v>
      </c>
      <c r="I228" s="7">
        <f t="shared" si="28"/>
        <v>1</v>
      </c>
      <c r="J228" s="7">
        <f t="shared" si="28"/>
        <v>0</v>
      </c>
      <c r="K228" s="7">
        <f t="shared" si="28"/>
        <v>0</v>
      </c>
      <c r="L228" s="11">
        <v>11987.1682</v>
      </c>
      <c r="M228" s="12" cm="1">
        <f t="array" ref="M228">IF(($R$34+SUMPRODUCT(TRANSPOSE(D228:K228),$R$35:$R$42))&lt;0,"-",$R$34+SUMPRODUCT(TRANSPOSE(D228:K228),$R$35:$R$42))</f>
        <v>13940.600248386665</v>
      </c>
      <c r="N228" s="13">
        <f t="shared" si="25"/>
        <v>1816.3956713515418</v>
      </c>
      <c r="O228" s="13">
        <f t="shared" si="26"/>
        <v>26064.804825421787</v>
      </c>
    </row>
    <row r="229" spans="1:15" x14ac:dyDescent="0.25">
      <c r="A229" s="1" t="s">
        <v>3</v>
      </c>
      <c r="B229" s="1" t="s">
        <v>4</v>
      </c>
      <c r="C229" s="1" t="s">
        <v>5</v>
      </c>
      <c r="D229" s="1">
        <v>28</v>
      </c>
      <c r="E229" s="1">
        <v>38.06</v>
      </c>
      <c r="F229" s="1">
        <v>0</v>
      </c>
      <c r="G229" s="7">
        <f t="shared" si="24"/>
        <v>0</v>
      </c>
      <c r="H229" s="7">
        <f t="shared" si="27"/>
        <v>0</v>
      </c>
      <c r="I229" s="7">
        <f t="shared" si="28"/>
        <v>1</v>
      </c>
      <c r="J229" s="7">
        <f t="shared" si="28"/>
        <v>0</v>
      </c>
      <c r="K229" s="7">
        <f t="shared" si="28"/>
        <v>0</v>
      </c>
      <c r="L229" s="11">
        <v>2689.4953999999998</v>
      </c>
      <c r="M229" s="12" cm="1">
        <f t="array" ref="M229">IF(($R$34+SUMPRODUCT(TRANSPOSE(D229:K229),$R$35:$R$42))&lt;0,"-",$R$34+SUMPRODUCT(TRANSPOSE(D229:K229),$R$35:$R$42))</f>
        <v>6996.8057305241819</v>
      </c>
      <c r="N229" s="13" t="str">
        <f t="shared" si="25"/>
        <v>-</v>
      </c>
      <c r="O229" s="13">
        <f t="shared" si="26"/>
        <v>19121.010307559307</v>
      </c>
    </row>
    <row r="230" spans="1:15" x14ac:dyDescent="0.25">
      <c r="A230" s="1" t="s">
        <v>0</v>
      </c>
      <c r="B230" s="1" t="s">
        <v>4</v>
      </c>
      <c r="C230" s="1" t="s">
        <v>5</v>
      </c>
      <c r="D230" s="1">
        <v>58</v>
      </c>
      <c r="E230" s="1">
        <v>41.91</v>
      </c>
      <c r="F230" s="1">
        <v>0</v>
      </c>
      <c r="G230" s="7">
        <f t="shared" si="24"/>
        <v>1</v>
      </c>
      <c r="H230" s="7">
        <f t="shared" si="27"/>
        <v>0</v>
      </c>
      <c r="I230" s="7">
        <f t="shared" si="28"/>
        <v>1</v>
      </c>
      <c r="J230" s="7">
        <f t="shared" si="28"/>
        <v>0</v>
      </c>
      <c r="K230" s="7">
        <f t="shared" si="28"/>
        <v>0</v>
      </c>
      <c r="L230" s="11">
        <v>24227.337240000001</v>
      </c>
      <c r="M230" s="12" cm="1">
        <f t="array" ref="M230">IF(($R$34+SUMPRODUCT(TRANSPOSE(D230:K230),$R$35:$R$42))&lt;0,"-",$R$34+SUMPRODUCT(TRANSPOSE(D230:K230),$R$35:$R$42))</f>
        <v>16139.70546244146</v>
      </c>
      <c r="N230" s="13">
        <f t="shared" si="25"/>
        <v>4015.5008854063362</v>
      </c>
      <c r="O230" s="13">
        <f t="shared" si="26"/>
        <v>28263.910039476585</v>
      </c>
    </row>
    <row r="231" spans="1:15" x14ac:dyDescent="0.25">
      <c r="A231" s="1" t="s">
        <v>0</v>
      </c>
      <c r="B231" s="1" t="s">
        <v>4</v>
      </c>
      <c r="C231" s="1" t="s">
        <v>7</v>
      </c>
      <c r="D231" s="1">
        <v>41</v>
      </c>
      <c r="E231" s="1">
        <v>31.635000000000002</v>
      </c>
      <c r="F231" s="1">
        <v>1</v>
      </c>
      <c r="G231" s="7">
        <f t="shared" si="24"/>
        <v>1</v>
      </c>
      <c r="H231" s="7">
        <f t="shared" si="27"/>
        <v>0</v>
      </c>
      <c r="I231" s="7">
        <f t="shared" si="28"/>
        <v>0</v>
      </c>
      <c r="J231" s="7">
        <f t="shared" si="28"/>
        <v>0</v>
      </c>
      <c r="K231" s="7">
        <f t="shared" si="28"/>
        <v>1</v>
      </c>
      <c r="L231" s="11">
        <v>7358.1756500000001</v>
      </c>
      <c r="M231" s="12" cm="1">
        <f t="array" ref="M231">IF(($R$34+SUMPRODUCT(TRANSPOSE(D231:K231),$R$35:$R$42))&lt;0,"-",$R$34+SUMPRODUCT(TRANSPOSE(D231:K231),$R$35:$R$42))</f>
        <v>9798.4573279921206</v>
      </c>
      <c r="N231" s="13" t="str">
        <f t="shared" si="25"/>
        <v>-</v>
      </c>
      <c r="O231" s="13">
        <f t="shared" si="26"/>
        <v>21922.661905027242</v>
      </c>
    </row>
    <row r="232" spans="1:15" x14ac:dyDescent="0.25">
      <c r="A232" s="1" t="s">
        <v>3</v>
      </c>
      <c r="B232" s="1" t="s">
        <v>4</v>
      </c>
      <c r="C232" s="1" t="s">
        <v>7</v>
      </c>
      <c r="D232" s="1">
        <v>47</v>
      </c>
      <c r="E232" s="1">
        <v>25.46</v>
      </c>
      <c r="F232" s="1">
        <v>2</v>
      </c>
      <c r="G232" s="7">
        <f t="shared" si="24"/>
        <v>0</v>
      </c>
      <c r="H232" s="7">
        <f t="shared" si="27"/>
        <v>0</v>
      </c>
      <c r="I232" s="7">
        <f t="shared" si="28"/>
        <v>0</v>
      </c>
      <c r="J232" s="7">
        <f t="shared" si="28"/>
        <v>0</v>
      </c>
      <c r="K232" s="7">
        <f t="shared" si="28"/>
        <v>1</v>
      </c>
      <c r="L232" s="11">
        <v>9225.2564000000002</v>
      </c>
      <c r="M232" s="12" cm="1">
        <f t="array" ref="M232">IF(($R$34+SUMPRODUCT(TRANSPOSE(D232:K232),$R$35:$R$42))&lt;0,"-",$R$34+SUMPRODUCT(TRANSPOSE(D232:K232),$R$35:$R$42))</f>
        <v>9589.2620529232954</v>
      </c>
      <c r="N232" s="13" t="str">
        <f t="shared" si="25"/>
        <v>-</v>
      </c>
      <c r="O232" s="13">
        <f t="shared" si="26"/>
        <v>21713.466629958421</v>
      </c>
    </row>
    <row r="233" spans="1:15" x14ac:dyDescent="0.25">
      <c r="A233" s="1" t="s">
        <v>0</v>
      </c>
      <c r="B233" s="1" t="s">
        <v>4</v>
      </c>
      <c r="C233" s="1" t="s">
        <v>6</v>
      </c>
      <c r="D233" s="1">
        <v>42</v>
      </c>
      <c r="E233" s="1">
        <v>36.195</v>
      </c>
      <c r="F233" s="1">
        <v>1</v>
      </c>
      <c r="G233" s="7">
        <f t="shared" si="24"/>
        <v>1</v>
      </c>
      <c r="H233" s="7">
        <f t="shared" si="27"/>
        <v>0</v>
      </c>
      <c r="I233" s="7">
        <f t="shared" si="28"/>
        <v>0</v>
      </c>
      <c r="J233" s="7">
        <f t="shared" si="28"/>
        <v>1</v>
      </c>
      <c r="K233" s="7">
        <f t="shared" si="28"/>
        <v>0</v>
      </c>
      <c r="L233" s="11">
        <v>7443.6430499999997</v>
      </c>
      <c r="M233" s="12" cm="1">
        <f t="array" ref="M233">IF(($R$34+SUMPRODUCT(TRANSPOSE(D233:K233),$R$35:$R$42))&lt;0,"-",$R$34+SUMPRODUCT(TRANSPOSE(D233:K233),$R$35:$R$42))</f>
        <v>11249.071929570255</v>
      </c>
      <c r="N233" s="13" t="str">
        <f t="shared" si="25"/>
        <v>-</v>
      </c>
      <c r="O233" s="13">
        <f t="shared" si="26"/>
        <v>23373.276506605376</v>
      </c>
    </row>
    <row r="234" spans="1:15" x14ac:dyDescent="0.25">
      <c r="A234" s="1" t="s">
        <v>0</v>
      </c>
      <c r="B234" s="1" t="s">
        <v>4</v>
      </c>
      <c r="C234" s="1" t="s">
        <v>5</v>
      </c>
      <c r="D234" s="1">
        <v>59</v>
      </c>
      <c r="E234" s="1">
        <v>27.83</v>
      </c>
      <c r="F234" s="1">
        <v>3</v>
      </c>
      <c r="G234" s="7">
        <f t="shared" si="24"/>
        <v>1</v>
      </c>
      <c r="H234" s="7">
        <f t="shared" si="27"/>
        <v>0</v>
      </c>
      <c r="I234" s="7">
        <f t="shared" si="28"/>
        <v>1</v>
      </c>
      <c r="J234" s="7">
        <f t="shared" si="28"/>
        <v>0</v>
      </c>
      <c r="K234" s="7">
        <f t="shared" si="28"/>
        <v>0</v>
      </c>
      <c r="L234" s="11">
        <v>14001.286700000001</v>
      </c>
      <c r="M234" s="12" cm="1">
        <f t="array" ref="M234">IF(($R$34+SUMPRODUCT(TRANSPOSE(D234:K234),$R$35:$R$42))&lt;0,"-",$R$34+SUMPRODUCT(TRANSPOSE(D234:K234),$R$35:$R$42))</f>
        <v>13047.219623585577</v>
      </c>
      <c r="N234" s="13">
        <f t="shared" si="25"/>
        <v>923.01504655045392</v>
      </c>
      <c r="O234" s="13">
        <f t="shared" si="26"/>
        <v>25171.424200620699</v>
      </c>
    </row>
    <row r="235" spans="1:15" x14ac:dyDescent="0.25">
      <c r="A235" s="1" t="s">
        <v>0</v>
      </c>
      <c r="B235" s="1" t="s">
        <v>4</v>
      </c>
      <c r="C235" s="1" t="s">
        <v>2</v>
      </c>
      <c r="D235" s="1">
        <v>19</v>
      </c>
      <c r="E235" s="1">
        <v>17.8</v>
      </c>
      <c r="F235" s="1">
        <v>0</v>
      </c>
      <c r="G235" s="7">
        <f t="shared" si="24"/>
        <v>1</v>
      </c>
      <c r="H235" s="7">
        <f t="shared" si="27"/>
        <v>0</v>
      </c>
      <c r="I235" s="7">
        <f t="shared" si="28"/>
        <v>0</v>
      </c>
      <c r="J235" s="7">
        <f t="shared" si="28"/>
        <v>0</v>
      </c>
      <c r="K235" s="7">
        <f t="shared" si="28"/>
        <v>0</v>
      </c>
      <c r="L235" s="11">
        <v>1727.7850000000001</v>
      </c>
      <c r="M235" s="12" t="str" cm="1">
        <f t="array" ref="M235">IF(($R$34+SUMPRODUCT(TRANSPOSE(D235:K235),$R$35:$R$42))&lt;0,"-",$R$34+SUMPRODUCT(TRANSPOSE(D235:K235),$R$35:$R$42))</f>
        <v>-</v>
      </c>
      <c r="N235" s="13" t="str">
        <f t="shared" si="25"/>
        <v>-</v>
      </c>
      <c r="O235" s="13" t="str">
        <f t="shared" si="26"/>
        <v>-</v>
      </c>
    </row>
    <row r="236" spans="1:15" x14ac:dyDescent="0.25">
      <c r="A236" s="1" t="s">
        <v>3</v>
      </c>
      <c r="B236" s="1" t="s">
        <v>4</v>
      </c>
      <c r="C236" s="1" t="s">
        <v>2</v>
      </c>
      <c r="D236" s="1">
        <v>59</v>
      </c>
      <c r="E236" s="1">
        <v>27.5</v>
      </c>
      <c r="F236" s="1">
        <v>1</v>
      </c>
      <c r="G236" s="7">
        <f t="shared" si="24"/>
        <v>0</v>
      </c>
      <c r="H236" s="7">
        <f t="shared" si="27"/>
        <v>0</v>
      </c>
      <c r="I236" s="7">
        <f t="shared" si="28"/>
        <v>0</v>
      </c>
      <c r="J236" s="7">
        <f t="shared" si="28"/>
        <v>0</v>
      </c>
      <c r="K236" s="7">
        <f t="shared" si="28"/>
        <v>0</v>
      </c>
      <c r="L236" s="11">
        <v>12333.828</v>
      </c>
      <c r="M236" s="12" cm="1">
        <f t="array" ref="M236">IF(($R$34+SUMPRODUCT(TRANSPOSE(D236:K236),$R$35:$R$42))&lt;0,"-",$R$34+SUMPRODUCT(TRANSPOSE(D236:K236),$R$35:$R$42))</f>
        <v>11927.941392287619</v>
      </c>
      <c r="N236" s="13" t="str">
        <f t="shared" si="25"/>
        <v>-</v>
      </c>
      <c r="O236" s="13">
        <f t="shared" si="26"/>
        <v>24052.145969322744</v>
      </c>
    </row>
    <row r="237" spans="1:15" x14ac:dyDescent="0.25">
      <c r="A237" s="1" t="s">
        <v>3</v>
      </c>
      <c r="B237" s="1" t="s">
        <v>4</v>
      </c>
      <c r="C237" s="1" t="s">
        <v>6</v>
      </c>
      <c r="D237" s="1">
        <v>39</v>
      </c>
      <c r="E237" s="1">
        <v>24.51</v>
      </c>
      <c r="F237" s="1">
        <v>2</v>
      </c>
      <c r="G237" s="7">
        <f t="shared" si="24"/>
        <v>0</v>
      </c>
      <c r="H237" s="7">
        <f t="shared" si="27"/>
        <v>0</v>
      </c>
      <c r="I237" s="7">
        <f t="shared" si="28"/>
        <v>0</v>
      </c>
      <c r="J237" s="7">
        <f t="shared" si="28"/>
        <v>1</v>
      </c>
      <c r="K237" s="7">
        <f t="shared" si="28"/>
        <v>0</v>
      </c>
      <c r="L237" s="11">
        <v>6710.1918999999998</v>
      </c>
      <c r="M237" s="12" cm="1">
        <f t="array" ref="M237">IF(($R$34+SUMPRODUCT(TRANSPOSE(D237:K237),$R$35:$R$42))&lt;0,"-",$R$34+SUMPRODUCT(TRANSPOSE(D237:K237),$R$35:$R$42))</f>
        <v>6859.213552269568</v>
      </c>
      <c r="N237" s="13" t="str">
        <f t="shared" si="25"/>
        <v>-</v>
      </c>
      <c r="O237" s="13">
        <f t="shared" si="26"/>
        <v>18983.418129304693</v>
      </c>
    </row>
    <row r="238" spans="1:15" x14ac:dyDescent="0.25">
      <c r="A238" s="1" t="s">
        <v>0</v>
      </c>
      <c r="B238" s="1" t="s">
        <v>1</v>
      </c>
      <c r="C238" s="1" t="s">
        <v>5</v>
      </c>
      <c r="D238" s="1">
        <v>40</v>
      </c>
      <c r="E238" s="1">
        <v>22.22</v>
      </c>
      <c r="F238" s="1">
        <v>2</v>
      </c>
      <c r="G238" s="7">
        <f t="shared" si="24"/>
        <v>1</v>
      </c>
      <c r="H238" s="7">
        <f t="shared" si="27"/>
        <v>1</v>
      </c>
      <c r="I238" s="7">
        <f t="shared" si="28"/>
        <v>1</v>
      </c>
      <c r="J238" s="7">
        <f t="shared" si="28"/>
        <v>0</v>
      </c>
      <c r="K238" s="7">
        <f t="shared" si="28"/>
        <v>0</v>
      </c>
      <c r="L238" s="11">
        <v>19444.265800000001</v>
      </c>
      <c r="M238" s="12" cm="1">
        <f t="array" ref="M238">IF(($R$34+SUMPRODUCT(TRANSPOSE(D238:K238),$R$35:$R$42))&lt;0,"-",$R$34+SUMPRODUCT(TRANSPOSE(D238:K238),$R$35:$R$42))</f>
        <v>29637.107647382814</v>
      </c>
      <c r="N238" s="13">
        <f t="shared" si="25"/>
        <v>17512.903070347689</v>
      </c>
      <c r="O238" s="13">
        <f t="shared" si="26"/>
        <v>41761.312224417939</v>
      </c>
    </row>
    <row r="239" spans="1:15" x14ac:dyDescent="0.25">
      <c r="A239" s="1" t="s">
        <v>0</v>
      </c>
      <c r="B239" s="1" t="s">
        <v>4</v>
      </c>
      <c r="C239" s="1" t="s">
        <v>5</v>
      </c>
      <c r="D239" s="1">
        <v>18</v>
      </c>
      <c r="E239" s="1">
        <v>26.73</v>
      </c>
      <c r="F239" s="1">
        <v>0</v>
      </c>
      <c r="G239" s="7">
        <f t="shared" si="24"/>
        <v>1</v>
      </c>
      <c r="H239" s="7">
        <f t="shared" si="27"/>
        <v>0</v>
      </c>
      <c r="I239" s="7">
        <f t="shared" si="28"/>
        <v>1</v>
      </c>
      <c r="J239" s="7">
        <f t="shared" si="28"/>
        <v>0</v>
      </c>
      <c r="K239" s="7">
        <f t="shared" si="28"/>
        <v>0</v>
      </c>
      <c r="L239" s="11">
        <v>1615.7666999999999</v>
      </c>
      <c r="M239" s="12" cm="1">
        <f t="array" ref="M239">IF(($R$34+SUMPRODUCT(TRANSPOSE(D239:K239),$R$35:$R$42))&lt;0,"-",$R$34+SUMPRODUCT(TRANSPOSE(D239:K239),$R$35:$R$42))</f>
        <v>716.49473513499106</v>
      </c>
      <c r="N239" s="13" t="str">
        <f t="shared" si="25"/>
        <v>-</v>
      </c>
      <c r="O239" s="13">
        <f t="shared" si="26"/>
        <v>12840.699312170114</v>
      </c>
    </row>
    <row r="240" spans="1:15" x14ac:dyDescent="0.25">
      <c r="A240" s="1" t="s">
        <v>3</v>
      </c>
      <c r="B240" s="1" t="s">
        <v>4</v>
      </c>
      <c r="C240" s="1" t="s">
        <v>5</v>
      </c>
      <c r="D240" s="1">
        <v>31</v>
      </c>
      <c r="E240" s="1">
        <v>38.39</v>
      </c>
      <c r="F240" s="1">
        <v>2</v>
      </c>
      <c r="G240" s="7">
        <f t="shared" si="24"/>
        <v>0</v>
      </c>
      <c r="H240" s="7">
        <f t="shared" si="27"/>
        <v>0</v>
      </c>
      <c r="I240" s="7">
        <f t="shared" si="28"/>
        <v>1</v>
      </c>
      <c r="J240" s="7">
        <f t="shared" si="28"/>
        <v>0</v>
      </c>
      <c r="K240" s="7">
        <f t="shared" si="28"/>
        <v>0</v>
      </c>
      <c r="L240" s="11">
        <v>4463.2051000000001</v>
      </c>
      <c r="M240" s="12" cm="1">
        <f t="array" ref="M240">IF(($R$34+SUMPRODUCT(TRANSPOSE(D240:K240),$R$35:$R$42))&lt;0,"-",$R$34+SUMPRODUCT(TRANSPOSE(D240:K240),$R$35:$R$42))</f>
        <v>8830.3097181260673</v>
      </c>
      <c r="N240" s="13" t="str">
        <f t="shared" si="25"/>
        <v>-</v>
      </c>
      <c r="O240" s="13">
        <f t="shared" si="26"/>
        <v>20954.514295161192</v>
      </c>
    </row>
    <row r="241" spans="1:15" x14ac:dyDescent="0.25">
      <c r="A241" s="1" t="s">
        <v>3</v>
      </c>
      <c r="B241" s="1" t="s">
        <v>1</v>
      </c>
      <c r="C241" s="1" t="s">
        <v>6</v>
      </c>
      <c r="D241" s="1">
        <v>19</v>
      </c>
      <c r="E241" s="1">
        <v>29.07</v>
      </c>
      <c r="F241" s="1">
        <v>0</v>
      </c>
      <c r="G241" s="7">
        <f t="shared" si="24"/>
        <v>0</v>
      </c>
      <c r="H241" s="7">
        <f t="shared" si="27"/>
        <v>1</v>
      </c>
      <c r="I241" s="7">
        <f t="shared" si="28"/>
        <v>0</v>
      </c>
      <c r="J241" s="7">
        <f t="shared" si="28"/>
        <v>1</v>
      </c>
      <c r="K241" s="7">
        <f t="shared" si="28"/>
        <v>0</v>
      </c>
      <c r="L241" s="11">
        <v>17352.6803</v>
      </c>
      <c r="M241" s="12" cm="1">
        <f t="array" ref="M241">IF(($R$34+SUMPRODUCT(TRANSPOSE(D241:K241),$R$35:$R$42))&lt;0,"-",$R$34+SUMPRODUCT(TRANSPOSE(D241:K241),$R$35:$R$42))</f>
        <v>26166.342101602568</v>
      </c>
      <c r="N241" s="13">
        <f t="shared" si="25"/>
        <v>14042.137524567444</v>
      </c>
      <c r="O241" s="13">
        <f t="shared" si="26"/>
        <v>38290.546678637693</v>
      </c>
    </row>
    <row r="242" spans="1:15" x14ac:dyDescent="0.25">
      <c r="A242" s="1" t="s">
        <v>3</v>
      </c>
      <c r="B242" s="1" t="s">
        <v>4</v>
      </c>
      <c r="C242" s="1" t="s">
        <v>5</v>
      </c>
      <c r="D242" s="1">
        <v>44</v>
      </c>
      <c r="E242" s="1">
        <v>38.06</v>
      </c>
      <c r="F242" s="1">
        <v>1</v>
      </c>
      <c r="G242" s="7">
        <f t="shared" si="24"/>
        <v>0</v>
      </c>
      <c r="H242" s="7">
        <f t="shared" si="27"/>
        <v>0</v>
      </c>
      <c r="I242" s="7">
        <f t="shared" si="28"/>
        <v>1</v>
      </c>
      <c r="J242" s="7">
        <f t="shared" si="28"/>
        <v>0</v>
      </c>
      <c r="K242" s="7">
        <f t="shared" si="28"/>
        <v>0</v>
      </c>
      <c r="L242" s="11">
        <v>7152.6714000000002</v>
      </c>
      <c r="M242" s="12" cm="1">
        <f t="array" ref="M242">IF(($R$34+SUMPRODUCT(TRANSPOSE(D242:K242),$R$35:$R$42))&lt;0,"-",$R$34+SUMPRODUCT(TRANSPOSE(D242:K242),$R$35:$R$42))</f>
        <v>11582.007916270883</v>
      </c>
      <c r="N242" s="13" t="str">
        <f t="shared" si="25"/>
        <v>-</v>
      </c>
      <c r="O242" s="13">
        <f t="shared" si="26"/>
        <v>23706.212493306004</v>
      </c>
    </row>
    <row r="243" spans="1:15" x14ac:dyDescent="0.25">
      <c r="A243" s="1" t="s">
        <v>0</v>
      </c>
      <c r="B243" s="1" t="s">
        <v>1</v>
      </c>
      <c r="C243" s="1" t="s">
        <v>7</v>
      </c>
      <c r="D243" s="1">
        <v>23</v>
      </c>
      <c r="E243" s="1">
        <v>36.67</v>
      </c>
      <c r="F243" s="1">
        <v>2</v>
      </c>
      <c r="G243" s="7">
        <f t="shared" si="24"/>
        <v>1</v>
      </c>
      <c r="H243" s="7">
        <f t="shared" si="27"/>
        <v>1</v>
      </c>
      <c r="I243" s="7">
        <f t="shared" si="28"/>
        <v>0</v>
      </c>
      <c r="J243" s="7">
        <f t="shared" si="28"/>
        <v>0</v>
      </c>
      <c r="K243" s="7">
        <f t="shared" si="28"/>
        <v>1</v>
      </c>
      <c r="L243" s="11">
        <v>38511.628299999997</v>
      </c>
      <c r="M243" s="12" cm="1">
        <f t="array" ref="M243">IF(($R$34+SUMPRODUCT(TRANSPOSE(D243:K243),$R$35:$R$42))&lt;0,"-",$R$34+SUMPRODUCT(TRANSPOSE(D243:K243),$R$35:$R$42))</f>
        <v>31206.917108312351</v>
      </c>
      <c r="N243" s="13">
        <f t="shared" si="25"/>
        <v>19082.712531277226</v>
      </c>
      <c r="O243" s="13">
        <f t="shared" si="26"/>
        <v>43331.121685347476</v>
      </c>
    </row>
    <row r="244" spans="1:15" x14ac:dyDescent="0.25">
      <c r="A244" s="1" t="s">
        <v>0</v>
      </c>
      <c r="B244" s="1" t="s">
        <v>4</v>
      </c>
      <c r="C244" s="1" t="s">
        <v>7</v>
      </c>
      <c r="D244" s="1">
        <v>33</v>
      </c>
      <c r="E244" s="1">
        <v>22.135000000000002</v>
      </c>
      <c r="F244" s="1">
        <v>1</v>
      </c>
      <c r="G244" s="7">
        <f t="shared" si="24"/>
        <v>1</v>
      </c>
      <c r="H244" s="7">
        <f t="shared" si="27"/>
        <v>0</v>
      </c>
      <c r="I244" s="7">
        <f t="shared" si="28"/>
        <v>0</v>
      </c>
      <c r="J244" s="7">
        <f t="shared" si="28"/>
        <v>0</v>
      </c>
      <c r="K244" s="7">
        <f t="shared" si="28"/>
        <v>1</v>
      </c>
      <c r="L244" s="11">
        <v>5354.0746499999996</v>
      </c>
      <c r="M244" s="12" cm="1">
        <f t="array" ref="M244">IF(($R$34+SUMPRODUCT(TRANSPOSE(D244:K244),$R$35:$R$42))&lt;0,"-",$R$34+SUMPRODUCT(TRANSPOSE(D244:K244),$R$35:$R$42))</f>
        <v>4521.268698390355</v>
      </c>
      <c r="N244" s="13" t="str">
        <f t="shared" si="25"/>
        <v>-</v>
      </c>
      <c r="O244" s="13">
        <f t="shared" si="26"/>
        <v>16645.47327542548</v>
      </c>
    </row>
    <row r="245" spans="1:15" x14ac:dyDescent="0.25">
      <c r="A245" s="1" t="s">
        <v>0</v>
      </c>
      <c r="B245" s="1" t="s">
        <v>4</v>
      </c>
      <c r="C245" s="1" t="s">
        <v>2</v>
      </c>
      <c r="D245" s="1">
        <v>55</v>
      </c>
      <c r="E245" s="1">
        <v>26.8</v>
      </c>
      <c r="F245" s="1">
        <v>1</v>
      </c>
      <c r="G245" s="7">
        <f t="shared" si="24"/>
        <v>1</v>
      </c>
      <c r="H245" s="7">
        <f t="shared" si="27"/>
        <v>0</v>
      </c>
      <c r="I245" s="7">
        <f t="shared" si="28"/>
        <v>0</v>
      </c>
      <c r="J245" s="7">
        <f t="shared" si="28"/>
        <v>0</v>
      </c>
      <c r="K245" s="7">
        <f t="shared" si="28"/>
        <v>0</v>
      </c>
      <c r="L245" s="11">
        <v>35160.134570000002</v>
      </c>
      <c r="M245" s="12" cm="1">
        <f t="array" ref="M245">IF(($R$34+SUMPRODUCT(TRANSPOSE(D245:K245),$R$35:$R$42))&lt;0,"-",$R$34+SUMPRODUCT(TRANSPOSE(D245:K245),$R$35:$R$42))</f>
        <v>10794.394924005748</v>
      </c>
      <c r="N245" s="13" t="str">
        <f t="shared" si="25"/>
        <v>-</v>
      </c>
      <c r="O245" s="13">
        <f t="shared" si="26"/>
        <v>22918.599501040873</v>
      </c>
    </row>
    <row r="246" spans="1:15" x14ac:dyDescent="0.25">
      <c r="A246" s="1" t="s">
        <v>3</v>
      </c>
      <c r="B246" s="1" t="s">
        <v>4</v>
      </c>
      <c r="C246" s="1" t="s">
        <v>2</v>
      </c>
      <c r="D246" s="1">
        <v>40</v>
      </c>
      <c r="E246" s="1">
        <v>35.299999999999997</v>
      </c>
      <c r="F246" s="1">
        <v>3</v>
      </c>
      <c r="G246" s="7">
        <f t="shared" si="24"/>
        <v>0</v>
      </c>
      <c r="H246" s="7">
        <f t="shared" si="27"/>
        <v>0</v>
      </c>
      <c r="I246" s="7">
        <f t="shared" si="28"/>
        <v>0</v>
      </c>
      <c r="J246" s="7">
        <f t="shared" si="28"/>
        <v>0</v>
      </c>
      <c r="K246" s="7">
        <f t="shared" si="28"/>
        <v>0</v>
      </c>
      <c r="L246" s="11">
        <v>7196.8670000000002</v>
      </c>
      <c r="M246" s="12" cm="1">
        <f t="array" ref="M246">IF(($R$34+SUMPRODUCT(TRANSPOSE(D246:K246),$R$35:$R$42))&lt;0,"-",$R$34+SUMPRODUCT(TRANSPOSE(D246:K246),$R$35:$R$42))</f>
        <v>10644.380722540824</v>
      </c>
      <c r="N246" s="13" t="str">
        <f t="shared" si="25"/>
        <v>-</v>
      </c>
      <c r="O246" s="13">
        <f t="shared" si="26"/>
        <v>22768.585299575949</v>
      </c>
    </row>
    <row r="247" spans="1:15" x14ac:dyDescent="0.25">
      <c r="A247" s="1" t="s">
        <v>0</v>
      </c>
      <c r="B247" s="1" t="s">
        <v>1</v>
      </c>
      <c r="C247" s="1" t="s">
        <v>7</v>
      </c>
      <c r="D247" s="1">
        <v>63</v>
      </c>
      <c r="E247" s="1">
        <v>27.74</v>
      </c>
      <c r="F247" s="1">
        <v>0</v>
      </c>
      <c r="G247" s="7">
        <f t="shared" si="24"/>
        <v>1</v>
      </c>
      <c r="H247" s="7">
        <f t="shared" si="27"/>
        <v>1</v>
      </c>
      <c r="I247" s="7">
        <f t="shared" si="28"/>
        <v>0</v>
      </c>
      <c r="J247" s="7">
        <f t="shared" si="28"/>
        <v>0</v>
      </c>
      <c r="K247" s="7">
        <f t="shared" si="28"/>
        <v>1</v>
      </c>
      <c r="L247" s="11">
        <v>29523.1656</v>
      </c>
      <c r="M247" s="12" cm="1">
        <f t="array" ref="M247">IF(($R$34+SUMPRODUCT(TRANSPOSE(D247:K247),$R$35:$R$42))&lt;0,"-",$R$34+SUMPRODUCT(TRANSPOSE(D247:K247),$R$35:$R$42))</f>
        <v>37501.172578763209</v>
      </c>
      <c r="N247" s="13">
        <f t="shared" si="25"/>
        <v>25376.968001728084</v>
      </c>
      <c r="O247" s="13">
        <f t="shared" si="26"/>
        <v>49625.377155798335</v>
      </c>
    </row>
    <row r="248" spans="1:15" x14ac:dyDescent="0.25">
      <c r="A248" s="1" t="s">
        <v>3</v>
      </c>
      <c r="B248" s="1" t="s">
        <v>4</v>
      </c>
      <c r="C248" s="1" t="s">
        <v>6</v>
      </c>
      <c r="D248" s="1">
        <v>54</v>
      </c>
      <c r="E248" s="1">
        <v>30.02</v>
      </c>
      <c r="F248" s="1">
        <v>0</v>
      </c>
      <c r="G248" s="7">
        <f t="shared" si="24"/>
        <v>0</v>
      </c>
      <c r="H248" s="7">
        <f t="shared" si="27"/>
        <v>0</v>
      </c>
      <c r="I248" s="7">
        <f t="shared" si="28"/>
        <v>0</v>
      </c>
      <c r="J248" s="7">
        <f t="shared" si="28"/>
        <v>1</v>
      </c>
      <c r="K248" s="7">
        <f t="shared" si="28"/>
        <v>0</v>
      </c>
      <c r="L248" s="11">
        <v>24476.478510000001</v>
      </c>
      <c r="M248" s="12" cm="1">
        <f t="array" ref="M248">IF(($R$34+SUMPRODUCT(TRANSPOSE(D248:K248),$R$35:$R$42))&lt;0,"-",$R$34+SUMPRODUCT(TRANSPOSE(D248:K248),$R$35:$R$42))</f>
        <v>11630.013679427251</v>
      </c>
      <c r="N248" s="13" t="str">
        <f t="shared" si="25"/>
        <v>-</v>
      </c>
      <c r="O248" s="13">
        <f t="shared" si="26"/>
        <v>23754.218256462373</v>
      </c>
    </row>
    <row r="249" spans="1:15" x14ac:dyDescent="0.25">
      <c r="A249" s="1" t="s">
        <v>0</v>
      </c>
      <c r="B249" s="1" t="s">
        <v>4</v>
      </c>
      <c r="C249" s="1" t="s">
        <v>5</v>
      </c>
      <c r="D249" s="1">
        <v>60</v>
      </c>
      <c r="E249" s="1">
        <v>38.06</v>
      </c>
      <c r="F249" s="1">
        <v>0</v>
      </c>
      <c r="G249" s="7">
        <f t="shared" si="24"/>
        <v>1</v>
      </c>
      <c r="H249" s="7">
        <f t="shared" si="27"/>
        <v>0</v>
      </c>
      <c r="I249" s="7">
        <f t="shared" si="28"/>
        <v>1</v>
      </c>
      <c r="J249" s="7">
        <f t="shared" si="28"/>
        <v>0</v>
      </c>
      <c r="K249" s="7">
        <f t="shared" si="28"/>
        <v>0</v>
      </c>
      <c r="L249" s="11">
        <v>12648.7034</v>
      </c>
      <c r="M249" s="12" cm="1">
        <f t="array" ref="M249">IF(($R$34+SUMPRODUCT(TRANSPOSE(D249:K249),$R$35:$R$42))&lt;0,"-",$R$34+SUMPRODUCT(TRANSPOSE(D249:K249),$R$35:$R$42))</f>
        <v>15347.523371114425</v>
      </c>
      <c r="N249" s="13">
        <f t="shared" si="25"/>
        <v>3223.3187940793014</v>
      </c>
      <c r="O249" s="13">
        <f t="shared" si="26"/>
        <v>27471.72794814955</v>
      </c>
    </row>
    <row r="250" spans="1:15" x14ac:dyDescent="0.25">
      <c r="A250" s="1" t="s">
        <v>3</v>
      </c>
      <c r="B250" s="1" t="s">
        <v>4</v>
      </c>
      <c r="C250" s="1" t="s">
        <v>5</v>
      </c>
      <c r="D250" s="1">
        <v>24</v>
      </c>
      <c r="E250" s="1">
        <v>35.86</v>
      </c>
      <c r="F250" s="1">
        <v>0</v>
      </c>
      <c r="G250" s="7">
        <f t="shared" si="24"/>
        <v>0</v>
      </c>
      <c r="H250" s="7">
        <f t="shared" si="27"/>
        <v>0</v>
      </c>
      <c r="I250" s="7">
        <f t="shared" si="28"/>
        <v>1</v>
      </c>
      <c r="J250" s="7">
        <f t="shared" si="28"/>
        <v>0</v>
      </c>
      <c r="K250" s="7">
        <f t="shared" si="28"/>
        <v>0</v>
      </c>
      <c r="L250" s="11">
        <v>1986.9333999999999</v>
      </c>
      <c r="M250" s="12" cm="1">
        <f t="array" ref="M250">IF(($R$34+SUMPRODUCT(TRANSPOSE(D250:K250),$R$35:$R$42))&lt;0,"-",$R$34+SUMPRODUCT(TRANSPOSE(D250:K250),$R$35:$R$42))</f>
        <v>5223.1547224309397</v>
      </c>
      <c r="N250" s="13" t="str">
        <f t="shared" si="25"/>
        <v>-</v>
      </c>
      <c r="O250" s="13">
        <f t="shared" si="26"/>
        <v>17347.359299466065</v>
      </c>
    </row>
    <row r="251" spans="1:15" x14ac:dyDescent="0.25">
      <c r="A251" s="1" t="s">
        <v>3</v>
      </c>
      <c r="B251" s="1" t="s">
        <v>4</v>
      </c>
      <c r="C251" s="1" t="s">
        <v>2</v>
      </c>
      <c r="D251" s="1">
        <v>19</v>
      </c>
      <c r="E251" s="1">
        <v>20.9</v>
      </c>
      <c r="F251" s="1">
        <v>1</v>
      </c>
      <c r="G251" s="7">
        <f t="shared" si="24"/>
        <v>0</v>
      </c>
      <c r="H251" s="7">
        <f t="shared" si="27"/>
        <v>0</v>
      </c>
      <c r="I251" s="7">
        <f t="shared" si="28"/>
        <v>0</v>
      </c>
      <c r="J251" s="7">
        <f t="shared" si="28"/>
        <v>0</v>
      </c>
      <c r="K251" s="7">
        <f t="shared" si="28"/>
        <v>0</v>
      </c>
      <c r="L251" s="11">
        <v>1832.0940000000001</v>
      </c>
      <c r="M251" s="12" t="str" cm="1">
        <f t="array" ref="M251">IF(($R$34+SUMPRODUCT(TRANSPOSE(D251:K251),$R$35:$R$42))&lt;0,"-",$R$34+SUMPRODUCT(TRANSPOSE(D251:K251),$R$35:$R$42))</f>
        <v>-</v>
      </c>
      <c r="N251" s="13" t="str">
        <f t="shared" si="25"/>
        <v>-</v>
      </c>
      <c r="O251" s="13" t="str">
        <f t="shared" si="26"/>
        <v>-</v>
      </c>
    </row>
    <row r="252" spans="1:15" x14ac:dyDescent="0.25">
      <c r="A252" s="1" t="s">
        <v>3</v>
      </c>
      <c r="B252" s="1" t="s">
        <v>4</v>
      </c>
      <c r="C252" s="1" t="s">
        <v>7</v>
      </c>
      <c r="D252" s="1">
        <v>29</v>
      </c>
      <c r="E252" s="1">
        <v>28.975000000000001</v>
      </c>
      <c r="F252" s="1">
        <v>1</v>
      </c>
      <c r="G252" s="7">
        <f t="shared" si="24"/>
        <v>0</v>
      </c>
      <c r="H252" s="7">
        <f t="shared" si="27"/>
        <v>0</v>
      </c>
      <c r="I252" s="7">
        <f t="shared" si="28"/>
        <v>0</v>
      </c>
      <c r="J252" s="7">
        <f t="shared" si="28"/>
        <v>0</v>
      </c>
      <c r="K252" s="7">
        <f t="shared" si="28"/>
        <v>1</v>
      </c>
      <c r="L252" s="11">
        <v>4040.55825</v>
      </c>
      <c r="M252" s="12" cm="1">
        <f t="array" ref="M252">IF(($R$34+SUMPRODUCT(TRANSPOSE(D252:K252),$R$35:$R$42))&lt;0,"-",$R$34+SUMPRODUCT(TRANSPOSE(D252:K252),$R$35:$R$42))</f>
        <v>5682.6121515440027</v>
      </c>
      <c r="N252" s="13" t="str">
        <f t="shared" si="25"/>
        <v>-</v>
      </c>
      <c r="O252" s="13">
        <f t="shared" si="26"/>
        <v>17806.816728579128</v>
      </c>
    </row>
    <row r="253" spans="1:15" x14ac:dyDescent="0.25">
      <c r="A253" s="1" t="s">
        <v>3</v>
      </c>
      <c r="B253" s="1" t="s">
        <v>1</v>
      </c>
      <c r="C253" s="1" t="s">
        <v>7</v>
      </c>
      <c r="D253" s="1">
        <v>18</v>
      </c>
      <c r="E253" s="1">
        <v>17.29</v>
      </c>
      <c r="F253" s="1">
        <v>2</v>
      </c>
      <c r="G253" s="7">
        <f t="shared" si="24"/>
        <v>0</v>
      </c>
      <c r="H253" s="7">
        <f t="shared" si="27"/>
        <v>1</v>
      </c>
      <c r="I253" s="7">
        <f t="shared" si="28"/>
        <v>0</v>
      </c>
      <c r="J253" s="7">
        <f t="shared" si="28"/>
        <v>0</v>
      </c>
      <c r="K253" s="7">
        <f t="shared" si="28"/>
        <v>1</v>
      </c>
      <c r="L253" s="11">
        <v>12829.455099999999</v>
      </c>
      <c r="M253" s="12" cm="1">
        <f t="array" ref="M253">IF(($R$34+SUMPRODUCT(TRANSPOSE(D253:K253),$R$35:$R$42))&lt;0,"-",$R$34+SUMPRODUCT(TRANSPOSE(D253:K253),$R$35:$R$42))</f>
        <v>23217.751855252427</v>
      </c>
      <c r="N253" s="13">
        <f t="shared" si="25"/>
        <v>11093.547278217304</v>
      </c>
      <c r="O253" s="13">
        <f t="shared" si="26"/>
        <v>35341.956432287552</v>
      </c>
    </row>
    <row r="254" spans="1:15" x14ac:dyDescent="0.25">
      <c r="A254" s="1" t="s">
        <v>0</v>
      </c>
      <c r="B254" s="1" t="s">
        <v>1</v>
      </c>
      <c r="C254" s="1" t="s">
        <v>2</v>
      </c>
      <c r="D254" s="1">
        <v>63</v>
      </c>
      <c r="E254" s="1">
        <v>32.200000000000003</v>
      </c>
      <c r="F254" s="1">
        <v>2</v>
      </c>
      <c r="G254" s="7">
        <f t="shared" si="24"/>
        <v>1</v>
      </c>
      <c r="H254" s="7">
        <f t="shared" si="27"/>
        <v>1</v>
      </c>
      <c r="I254" s="7">
        <f t="shared" si="28"/>
        <v>0</v>
      </c>
      <c r="J254" s="7">
        <f t="shared" si="28"/>
        <v>0</v>
      </c>
      <c r="K254" s="7">
        <f t="shared" si="28"/>
        <v>0</v>
      </c>
      <c r="L254" s="11">
        <v>47305.305</v>
      </c>
      <c r="M254" s="12" cm="1">
        <f t="array" ref="M254">IF(($R$34+SUMPRODUCT(TRANSPOSE(D254:K254),$R$35:$R$42))&lt;0,"-",$R$34+SUMPRODUCT(TRANSPOSE(D254:K254),$R$35:$R$42))</f>
        <v>39004.925480864986</v>
      </c>
      <c r="N254" s="13">
        <f t="shared" si="25"/>
        <v>26880.720903829861</v>
      </c>
      <c r="O254" s="13">
        <f t="shared" si="26"/>
        <v>51129.130057900111</v>
      </c>
    </row>
    <row r="255" spans="1:15" x14ac:dyDescent="0.25">
      <c r="A255" s="1" t="s">
        <v>3</v>
      </c>
      <c r="B255" s="1" t="s">
        <v>1</v>
      </c>
      <c r="C255" s="1" t="s">
        <v>5</v>
      </c>
      <c r="D255" s="1">
        <v>54</v>
      </c>
      <c r="E255" s="1">
        <v>34.21</v>
      </c>
      <c r="F255" s="1">
        <v>2</v>
      </c>
      <c r="G255" s="7">
        <f t="shared" si="24"/>
        <v>0</v>
      </c>
      <c r="H255" s="7">
        <f t="shared" si="27"/>
        <v>1</v>
      </c>
      <c r="I255" s="7">
        <f t="shared" si="28"/>
        <v>1</v>
      </c>
      <c r="J255" s="7">
        <f t="shared" si="28"/>
        <v>0</v>
      </c>
      <c r="K255" s="7">
        <f t="shared" si="28"/>
        <v>0</v>
      </c>
      <c r="L255" s="11">
        <v>44260.749900000003</v>
      </c>
      <c r="M255" s="12" cm="1">
        <f t="array" ref="M255">IF(($R$34+SUMPRODUCT(TRANSPOSE(D255:K255),$R$35:$R$42))&lt;0,"-",$R$34+SUMPRODUCT(TRANSPOSE(D255:K255),$R$35:$R$42))</f>
        <v>37168.711732304553</v>
      </c>
      <c r="N255" s="13">
        <f t="shared" si="25"/>
        <v>25044.507155269428</v>
      </c>
      <c r="O255" s="13">
        <f t="shared" si="26"/>
        <v>49292.916309339678</v>
      </c>
    </row>
    <row r="256" spans="1:15" x14ac:dyDescent="0.25">
      <c r="A256" s="1" t="s">
        <v>3</v>
      </c>
      <c r="B256" s="1" t="s">
        <v>4</v>
      </c>
      <c r="C256" s="1" t="s">
        <v>2</v>
      </c>
      <c r="D256" s="1">
        <v>27</v>
      </c>
      <c r="E256" s="1">
        <v>30.3</v>
      </c>
      <c r="F256" s="1">
        <v>3</v>
      </c>
      <c r="G256" s="7">
        <f t="shared" si="24"/>
        <v>0</v>
      </c>
      <c r="H256" s="7">
        <f t="shared" si="27"/>
        <v>0</v>
      </c>
      <c r="I256" s="7">
        <f t="shared" si="28"/>
        <v>0</v>
      </c>
      <c r="J256" s="7">
        <f t="shared" si="28"/>
        <v>0</v>
      </c>
      <c r="K256" s="7">
        <f t="shared" si="28"/>
        <v>0</v>
      </c>
      <c r="L256" s="11">
        <v>4260.7439999999997</v>
      </c>
      <c r="M256" s="12" cm="1">
        <f t="array" ref="M256">IF(($R$34+SUMPRODUCT(TRANSPOSE(D256:K256),$R$35:$R$42))&lt;0,"-",$R$34+SUMPRODUCT(TRANSPOSE(D256:K256),$R$35:$R$42))</f>
        <v>5609.2808715011015</v>
      </c>
      <c r="N256" s="13" t="str">
        <f t="shared" si="25"/>
        <v>-</v>
      </c>
      <c r="O256" s="13">
        <f t="shared" si="26"/>
        <v>17733.485448536223</v>
      </c>
    </row>
    <row r="257" spans="1:15" x14ac:dyDescent="0.25">
      <c r="A257" s="1" t="s">
        <v>3</v>
      </c>
      <c r="B257" s="1" t="s">
        <v>1</v>
      </c>
      <c r="C257" s="1" t="s">
        <v>7</v>
      </c>
      <c r="D257" s="1">
        <v>50</v>
      </c>
      <c r="E257" s="1">
        <v>31.824999999999999</v>
      </c>
      <c r="F257" s="1">
        <v>0</v>
      </c>
      <c r="G257" s="7">
        <f t="shared" si="24"/>
        <v>0</v>
      </c>
      <c r="H257" s="7">
        <f t="shared" si="27"/>
        <v>1</v>
      </c>
      <c r="I257" s="7">
        <f t="shared" si="28"/>
        <v>0</v>
      </c>
      <c r="J257" s="7">
        <f t="shared" si="28"/>
        <v>0</v>
      </c>
      <c r="K257" s="7">
        <f t="shared" si="28"/>
        <v>1</v>
      </c>
      <c r="L257" s="11">
        <v>41097.161749999999</v>
      </c>
      <c r="M257" s="12" cm="1">
        <f t="array" ref="M257">IF(($R$34+SUMPRODUCT(TRANSPOSE(D257:K257),$R$35:$R$42))&lt;0,"-",$R$34+SUMPRODUCT(TRANSPOSE(D257:K257),$R$35:$R$42))</f>
        <v>35416.33089438286</v>
      </c>
      <c r="N257" s="13">
        <f t="shared" si="25"/>
        <v>23292.126317347735</v>
      </c>
      <c r="O257" s="13">
        <f t="shared" si="26"/>
        <v>47540.535471417985</v>
      </c>
    </row>
    <row r="258" spans="1:15" x14ac:dyDescent="0.25">
      <c r="A258" s="1" t="s">
        <v>0</v>
      </c>
      <c r="B258" s="1" t="s">
        <v>4</v>
      </c>
      <c r="C258" s="1" t="s">
        <v>7</v>
      </c>
      <c r="D258" s="1">
        <v>55</v>
      </c>
      <c r="E258" s="1">
        <v>25.364999999999998</v>
      </c>
      <c r="F258" s="1">
        <v>3</v>
      </c>
      <c r="G258" s="7">
        <f t="shared" si="24"/>
        <v>1</v>
      </c>
      <c r="H258" s="7">
        <f t="shared" si="27"/>
        <v>0</v>
      </c>
      <c r="I258" s="7">
        <f t="shared" si="28"/>
        <v>0</v>
      </c>
      <c r="J258" s="7">
        <f t="shared" si="28"/>
        <v>0</v>
      </c>
      <c r="K258" s="7">
        <f t="shared" si="28"/>
        <v>1</v>
      </c>
      <c r="L258" s="11">
        <v>13047.332350000001</v>
      </c>
      <c r="M258" s="12" cm="1">
        <f t="array" ref="M258">IF(($R$34+SUMPRODUCT(TRANSPOSE(D258:K258),$R$35:$R$42))&lt;0,"-",$R$34+SUMPRODUCT(TRANSPOSE(D258:K258),$R$35:$R$42))</f>
        <v>12218.704399673286</v>
      </c>
      <c r="N258" s="13">
        <f t="shared" si="25"/>
        <v>94.499822638163096</v>
      </c>
      <c r="O258" s="13">
        <f t="shared" si="26"/>
        <v>24342.908976708408</v>
      </c>
    </row>
    <row r="259" spans="1:15" x14ac:dyDescent="0.25">
      <c r="A259" s="1" t="s">
        <v>3</v>
      </c>
      <c r="B259" s="1" t="s">
        <v>1</v>
      </c>
      <c r="C259" s="1" t="s">
        <v>6</v>
      </c>
      <c r="D259" s="1">
        <v>56</v>
      </c>
      <c r="E259" s="1">
        <v>33.630000000000003</v>
      </c>
      <c r="F259" s="1">
        <v>0</v>
      </c>
      <c r="G259" s="7">
        <f t="shared" ref="G259:G322" si="29">IF($A259=G$2,1,0)</f>
        <v>0</v>
      </c>
      <c r="H259" s="7">
        <f t="shared" si="27"/>
        <v>1</v>
      </c>
      <c r="I259" s="7">
        <f t="shared" si="28"/>
        <v>0</v>
      </c>
      <c r="J259" s="7">
        <f t="shared" si="28"/>
        <v>1</v>
      </c>
      <c r="K259" s="7">
        <f t="shared" si="28"/>
        <v>0</v>
      </c>
      <c r="L259" s="11">
        <v>43921.183700000001</v>
      </c>
      <c r="M259" s="12" cm="1">
        <f t="array" ref="M259">IF(($R$34+SUMPRODUCT(TRANSPOSE(D259:K259),$R$35:$R$42))&lt;0,"-",$R$34+SUMPRODUCT(TRANSPOSE(D259:K259),$R$35:$R$42))</f>
        <v>37216.74929394987</v>
      </c>
      <c r="N259" s="13">
        <f t="shared" ref="N259:N322" si="30">IFERROR(IF($M259-(2*$R$24)&lt;0,"-",($M259-(2*$R$24))),"-")</f>
        <v>25092.544716914745</v>
      </c>
      <c r="O259" s="13">
        <f t="shared" ref="O259:O322" si="31">IFERROR(IF($L259+(2*$R$24)&lt;0,"-",($M259+(2*$R$24))),"-")</f>
        <v>49340.953870984995</v>
      </c>
    </row>
    <row r="260" spans="1:15" x14ac:dyDescent="0.25">
      <c r="A260" s="1" t="s">
        <v>0</v>
      </c>
      <c r="B260" s="1" t="s">
        <v>4</v>
      </c>
      <c r="C260" s="1" t="s">
        <v>5</v>
      </c>
      <c r="D260" s="1">
        <v>38</v>
      </c>
      <c r="E260" s="1">
        <v>40.15</v>
      </c>
      <c r="F260" s="1">
        <v>0</v>
      </c>
      <c r="G260" s="7">
        <f t="shared" si="29"/>
        <v>1</v>
      </c>
      <c r="H260" s="7">
        <f t="shared" ref="H260:H323" si="32">IF(B260="yes",1,0)</f>
        <v>0</v>
      </c>
      <c r="I260" s="7">
        <f t="shared" ref="I260:K323" si="33">IF($C260=I$2,1,0)</f>
        <v>1</v>
      </c>
      <c r="J260" s="7">
        <f t="shared" si="33"/>
        <v>0</v>
      </c>
      <c r="K260" s="7">
        <f t="shared" si="33"/>
        <v>0</v>
      </c>
      <c r="L260" s="11">
        <v>5400.9804999999997</v>
      </c>
      <c r="M260" s="12" cm="1">
        <f t="array" ref="M260">IF(($R$34+SUMPRODUCT(TRANSPOSE(D260:K260),$R$35:$R$42))&lt;0,"-",$R$34+SUMPRODUCT(TRANSPOSE(D260:K260),$R$35:$R$42))</f>
        <v>10405.597933339424</v>
      </c>
      <c r="N260" s="13" t="str">
        <f t="shared" si="30"/>
        <v>-</v>
      </c>
      <c r="O260" s="13">
        <f t="shared" si="31"/>
        <v>22529.802510374546</v>
      </c>
    </row>
    <row r="261" spans="1:15" x14ac:dyDescent="0.25">
      <c r="A261" s="1" t="s">
        <v>3</v>
      </c>
      <c r="B261" s="1" t="s">
        <v>4</v>
      </c>
      <c r="C261" s="1" t="s">
        <v>6</v>
      </c>
      <c r="D261" s="1">
        <v>51</v>
      </c>
      <c r="E261" s="1">
        <v>24.414999999999999</v>
      </c>
      <c r="F261" s="1">
        <v>4</v>
      </c>
      <c r="G261" s="7">
        <f t="shared" si="29"/>
        <v>0</v>
      </c>
      <c r="H261" s="7">
        <f t="shared" si="32"/>
        <v>0</v>
      </c>
      <c r="I261" s="7">
        <f t="shared" si="33"/>
        <v>0</v>
      </c>
      <c r="J261" s="7">
        <f t="shared" si="33"/>
        <v>1</v>
      </c>
      <c r="K261" s="7">
        <f t="shared" si="33"/>
        <v>0</v>
      </c>
      <c r="L261" s="11">
        <v>11520.099850000001</v>
      </c>
      <c r="M261" s="12" cm="1">
        <f t="array" ref="M261">IF(($R$34+SUMPRODUCT(TRANSPOSE(D261:K261),$R$35:$R$42))&lt;0,"-",$R$34+SUMPRODUCT(TRANSPOSE(D261:K261),$R$35:$R$42))</f>
        <v>10860.26749492298</v>
      </c>
      <c r="N261" s="13" t="str">
        <f t="shared" si="30"/>
        <v>-</v>
      </c>
      <c r="O261" s="13">
        <f t="shared" si="31"/>
        <v>22984.472071958102</v>
      </c>
    </row>
    <row r="262" spans="1:15" x14ac:dyDescent="0.25">
      <c r="A262" s="1" t="s">
        <v>3</v>
      </c>
      <c r="B262" s="1" t="s">
        <v>1</v>
      </c>
      <c r="C262" s="1" t="s">
        <v>6</v>
      </c>
      <c r="D262" s="1">
        <v>19</v>
      </c>
      <c r="E262" s="1">
        <v>31.92</v>
      </c>
      <c r="F262" s="1">
        <v>0</v>
      </c>
      <c r="G262" s="7">
        <f t="shared" si="29"/>
        <v>0</v>
      </c>
      <c r="H262" s="7">
        <f t="shared" si="32"/>
        <v>1</v>
      </c>
      <c r="I262" s="7">
        <f t="shared" si="33"/>
        <v>0</v>
      </c>
      <c r="J262" s="7">
        <f t="shared" si="33"/>
        <v>1</v>
      </c>
      <c r="K262" s="7">
        <f t="shared" si="33"/>
        <v>0</v>
      </c>
      <c r="L262" s="11">
        <v>33750.291799999999</v>
      </c>
      <c r="M262" s="12" cm="1">
        <f t="array" ref="M262">IF(($R$34+SUMPRODUCT(TRANSPOSE(D262:K262),$R$35:$R$42))&lt;0,"-",$R$34+SUMPRODUCT(TRANSPOSE(D262:K262),$R$35:$R$42))</f>
        <v>27133.043444393465</v>
      </c>
      <c r="N262" s="13">
        <f t="shared" si="30"/>
        <v>15008.838867358341</v>
      </c>
      <c r="O262" s="13">
        <f t="shared" si="31"/>
        <v>39257.24802142859</v>
      </c>
    </row>
    <row r="263" spans="1:15" x14ac:dyDescent="0.25">
      <c r="A263" s="1" t="s">
        <v>0</v>
      </c>
      <c r="B263" s="1" t="s">
        <v>4</v>
      </c>
      <c r="C263" s="1" t="s">
        <v>2</v>
      </c>
      <c r="D263" s="1">
        <v>58</v>
      </c>
      <c r="E263" s="1">
        <v>25.2</v>
      </c>
      <c r="F263" s="1">
        <v>0</v>
      </c>
      <c r="G263" s="7">
        <f t="shared" si="29"/>
        <v>1</v>
      </c>
      <c r="H263" s="7">
        <f t="shared" si="32"/>
        <v>0</v>
      </c>
      <c r="I263" s="7">
        <f t="shared" si="33"/>
        <v>0</v>
      </c>
      <c r="J263" s="7">
        <f t="shared" si="33"/>
        <v>0</v>
      </c>
      <c r="K263" s="7">
        <f t="shared" si="33"/>
        <v>0</v>
      </c>
      <c r="L263" s="11">
        <v>11837.16</v>
      </c>
      <c r="M263" s="12" cm="1">
        <f t="array" ref="M263">IF(($R$34+SUMPRODUCT(TRANSPOSE(D263:K263),$R$35:$R$42))&lt;0,"-",$R$34+SUMPRODUCT(TRANSPOSE(D263:K263),$R$35:$R$42))</f>
        <v>10546.75391069131</v>
      </c>
      <c r="N263" s="13" t="str">
        <f t="shared" si="30"/>
        <v>-</v>
      </c>
      <c r="O263" s="13">
        <f t="shared" si="31"/>
        <v>22670.958487726435</v>
      </c>
    </row>
    <row r="264" spans="1:15" x14ac:dyDescent="0.25">
      <c r="A264" s="1" t="s">
        <v>0</v>
      </c>
      <c r="B264" s="1" t="s">
        <v>1</v>
      </c>
      <c r="C264" s="1" t="s">
        <v>5</v>
      </c>
      <c r="D264" s="1">
        <v>20</v>
      </c>
      <c r="E264" s="1">
        <v>26.84</v>
      </c>
      <c r="F264" s="1">
        <v>1</v>
      </c>
      <c r="G264" s="7">
        <f t="shared" si="29"/>
        <v>1</v>
      </c>
      <c r="H264" s="7">
        <f t="shared" si="32"/>
        <v>1</v>
      </c>
      <c r="I264" s="7">
        <f t="shared" si="33"/>
        <v>1</v>
      </c>
      <c r="J264" s="7">
        <f t="shared" si="33"/>
        <v>0</v>
      </c>
      <c r="K264" s="7">
        <f t="shared" si="33"/>
        <v>0</v>
      </c>
      <c r="L264" s="11">
        <v>17085.267599999999</v>
      </c>
      <c r="M264" s="12" cm="1">
        <f t="array" ref="M264">IF(($R$34+SUMPRODUCT(TRANSPOSE(D264:K264),$R$35:$R$42))&lt;0,"-",$R$34+SUMPRODUCT(TRANSPOSE(D264:K264),$R$35:$R$42))</f>
        <v>25591.553807168806</v>
      </c>
      <c r="N264" s="13">
        <f t="shared" si="30"/>
        <v>13467.349230133683</v>
      </c>
      <c r="O264" s="13">
        <f t="shared" si="31"/>
        <v>37715.758384203931</v>
      </c>
    </row>
    <row r="265" spans="1:15" x14ac:dyDescent="0.25">
      <c r="A265" s="1" t="s">
        <v>3</v>
      </c>
      <c r="B265" s="1" t="s">
        <v>1</v>
      </c>
      <c r="C265" s="1" t="s">
        <v>7</v>
      </c>
      <c r="D265" s="1">
        <v>52</v>
      </c>
      <c r="E265" s="1">
        <v>24.32</v>
      </c>
      <c r="F265" s="1">
        <v>3</v>
      </c>
      <c r="G265" s="7">
        <f t="shared" si="29"/>
        <v>0</v>
      </c>
      <c r="H265" s="7">
        <f t="shared" si="32"/>
        <v>1</v>
      </c>
      <c r="I265" s="7">
        <f t="shared" si="33"/>
        <v>0</v>
      </c>
      <c r="J265" s="7">
        <f t="shared" si="33"/>
        <v>0</v>
      </c>
      <c r="K265" s="7">
        <f t="shared" si="33"/>
        <v>1</v>
      </c>
      <c r="L265" s="11">
        <v>24869.836800000001</v>
      </c>
      <c r="M265" s="12" cm="1">
        <f t="array" ref="M265">IF(($R$34+SUMPRODUCT(TRANSPOSE(D265:K265),$R$35:$R$42))&lt;0,"-",$R$34+SUMPRODUCT(TRANSPOSE(D265:K265),$R$35:$R$42))</f>
        <v>34810.8983655556</v>
      </c>
      <c r="N265" s="13">
        <f t="shared" si="30"/>
        <v>22686.693788520475</v>
      </c>
      <c r="O265" s="13">
        <f t="shared" si="31"/>
        <v>46935.102942590725</v>
      </c>
    </row>
    <row r="266" spans="1:15" x14ac:dyDescent="0.25">
      <c r="A266" s="1" t="s">
        <v>3</v>
      </c>
      <c r="B266" s="1" t="s">
        <v>1</v>
      </c>
      <c r="C266" s="1" t="s">
        <v>6</v>
      </c>
      <c r="D266" s="1">
        <v>19</v>
      </c>
      <c r="E266" s="1">
        <v>36.954999999999998</v>
      </c>
      <c r="F266" s="1">
        <v>0</v>
      </c>
      <c r="G266" s="7">
        <f t="shared" si="29"/>
        <v>0</v>
      </c>
      <c r="H266" s="7">
        <f t="shared" si="32"/>
        <v>1</v>
      </c>
      <c r="I266" s="7">
        <f t="shared" si="33"/>
        <v>0</v>
      </c>
      <c r="J266" s="7">
        <f t="shared" si="33"/>
        <v>1</v>
      </c>
      <c r="K266" s="7">
        <f t="shared" si="33"/>
        <v>0</v>
      </c>
      <c r="L266" s="11">
        <v>36219.405449999998</v>
      </c>
      <c r="M266" s="12" cm="1">
        <f t="array" ref="M266">IF(($R$34+SUMPRODUCT(TRANSPOSE(D266:K266),$R$35:$R$42))&lt;0,"-",$R$34+SUMPRODUCT(TRANSPOSE(D266:K266),$R$35:$R$42))</f>
        <v>28840.882483324043</v>
      </c>
      <c r="N266" s="13">
        <f t="shared" si="30"/>
        <v>16716.677906288918</v>
      </c>
      <c r="O266" s="13">
        <f t="shared" si="31"/>
        <v>40965.087060359168</v>
      </c>
    </row>
    <row r="267" spans="1:15" x14ac:dyDescent="0.25">
      <c r="A267" s="1" t="s">
        <v>0</v>
      </c>
      <c r="B267" s="1" t="s">
        <v>4</v>
      </c>
      <c r="C267" s="1" t="s">
        <v>5</v>
      </c>
      <c r="D267" s="1">
        <v>53</v>
      </c>
      <c r="E267" s="1">
        <v>38.06</v>
      </c>
      <c r="F267" s="1">
        <v>3</v>
      </c>
      <c r="G267" s="7">
        <f t="shared" si="29"/>
        <v>1</v>
      </c>
      <c r="H267" s="7">
        <f t="shared" si="32"/>
        <v>0</v>
      </c>
      <c r="I267" s="7">
        <f t="shared" si="33"/>
        <v>1</v>
      </c>
      <c r="J267" s="7">
        <f t="shared" si="33"/>
        <v>0</v>
      </c>
      <c r="K267" s="7">
        <f t="shared" si="33"/>
        <v>0</v>
      </c>
      <c r="L267" s="11">
        <v>20462.997660000001</v>
      </c>
      <c r="M267" s="12" cm="1">
        <f t="array" ref="M267">IF(($R$34+SUMPRODUCT(TRANSPOSE(D267:K267),$R$35:$R$42))&lt;0,"-",$R$34+SUMPRODUCT(TRANSPOSE(D267:K267),$R$35:$R$42))</f>
        <v>14976.030538800387</v>
      </c>
      <c r="N267" s="13">
        <f t="shared" si="30"/>
        <v>2851.8259617652639</v>
      </c>
      <c r="O267" s="13">
        <f t="shared" si="31"/>
        <v>27100.235115835509</v>
      </c>
    </row>
    <row r="268" spans="1:15" x14ac:dyDescent="0.25">
      <c r="A268" s="1" t="s">
        <v>3</v>
      </c>
      <c r="B268" s="1" t="s">
        <v>1</v>
      </c>
      <c r="C268" s="1" t="s">
        <v>5</v>
      </c>
      <c r="D268" s="1">
        <v>46</v>
      </c>
      <c r="E268" s="1">
        <v>42.35</v>
      </c>
      <c r="F268" s="1">
        <v>3</v>
      </c>
      <c r="G268" s="7">
        <f t="shared" si="29"/>
        <v>0</v>
      </c>
      <c r="H268" s="7">
        <f t="shared" si="32"/>
        <v>1</v>
      </c>
      <c r="I268" s="7">
        <f t="shared" si="33"/>
        <v>1</v>
      </c>
      <c r="J268" s="7">
        <f t="shared" si="33"/>
        <v>0</v>
      </c>
      <c r="K268" s="7">
        <f t="shared" si="33"/>
        <v>0</v>
      </c>
      <c r="L268" s="11">
        <v>46151.124499999998</v>
      </c>
      <c r="M268" s="12" cm="1">
        <f t="array" ref="M268">IF(($R$34+SUMPRODUCT(TRANSPOSE(D268:K268),$R$35:$R$42))&lt;0,"-",$R$34+SUMPRODUCT(TRANSPOSE(D268:K268),$R$35:$R$42))</f>
        <v>38350.396169547144</v>
      </c>
      <c r="N268" s="13">
        <f t="shared" si="30"/>
        <v>26226.191592512019</v>
      </c>
      <c r="O268" s="13">
        <f t="shared" si="31"/>
        <v>50474.600746582269</v>
      </c>
    </row>
    <row r="269" spans="1:15" x14ac:dyDescent="0.25">
      <c r="A269" s="1" t="s">
        <v>3</v>
      </c>
      <c r="B269" s="1" t="s">
        <v>1</v>
      </c>
      <c r="C269" s="1" t="s">
        <v>5</v>
      </c>
      <c r="D269" s="1">
        <v>40</v>
      </c>
      <c r="E269" s="1">
        <v>19.8</v>
      </c>
      <c r="F269" s="1">
        <v>1</v>
      </c>
      <c r="G269" s="7">
        <f t="shared" si="29"/>
        <v>0</v>
      </c>
      <c r="H269" s="7">
        <f t="shared" si="32"/>
        <v>1</v>
      </c>
      <c r="I269" s="7">
        <f t="shared" si="33"/>
        <v>1</v>
      </c>
      <c r="J269" s="7">
        <f t="shared" si="33"/>
        <v>0</v>
      </c>
      <c r="K269" s="7">
        <f t="shared" si="33"/>
        <v>0</v>
      </c>
      <c r="L269" s="11">
        <v>17179.522000000001</v>
      </c>
      <c r="M269" s="12" cm="1">
        <f t="array" ref="M269">IF(($R$34+SUMPRODUCT(TRANSPOSE(D269:K269),$R$35:$R$42))&lt;0,"-",$R$34+SUMPRODUCT(TRANSPOSE(D269:K269),$R$35:$R$42))</f>
        <v>28209.444585100347</v>
      </c>
      <c r="N269" s="13">
        <f t="shared" si="30"/>
        <v>16085.240008065224</v>
      </c>
      <c r="O269" s="13">
        <f t="shared" si="31"/>
        <v>40333.649162135473</v>
      </c>
    </row>
    <row r="270" spans="1:15" x14ac:dyDescent="0.25">
      <c r="A270" s="1" t="s">
        <v>0</v>
      </c>
      <c r="B270" s="1" t="s">
        <v>4</v>
      </c>
      <c r="C270" s="1" t="s">
        <v>7</v>
      </c>
      <c r="D270" s="1">
        <v>59</v>
      </c>
      <c r="E270" s="1">
        <v>32.395000000000003</v>
      </c>
      <c r="F270" s="1">
        <v>3</v>
      </c>
      <c r="G270" s="7">
        <f t="shared" si="29"/>
        <v>1</v>
      </c>
      <c r="H270" s="7">
        <f t="shared" si="32"/>
        <v>0</v>
      </c>
      <c r="I270" s="7">
        <f t="shared" si="33"/>
        <v>0</v>
      </c>
      <c r="J270" s="7">
        <f t="shared" si="33"/>
        <v>0</v>
      </c>
      <c r="K270" s="7">
        <f t="shared" si="33"/>
        <v>1</v>
      </c>
      <c r="L270" s="11">
        <v>14590.63205</v>
      </c>
      <c r="M270" s="12" cm="1">
        <f t="array" ref="M270">IF(($R$34+SUMPRODUCT(TRANSPOSE(D270:K270),$R$35:$R$42))&lt;0,"-",$R$34+SUMPRODUCT(TRANSPOSE(D270:K270),$R$35:$R$42))</f>
        <v>15630.659788706886</v>
      </c>
      <c r="N270" s="13">
        <f t="shared" si="30"/>
        <v>3506.4552116717623</v>
      </c>
      <c r="O270" s="13">
        <f t="shared" si="31"/>
        <v>27754.864365742011</v>
      </c>
    </row>
    <row r="271" spans="1:15" x14ac:dyDescent="0.25">
      <c r="A271" s="1" t="s">
        <v>3</v>
      </c>
      <c r="B271" s="1" t="s">
        <v>4</v>
      </c>
      <c r="C271" s="1" t="s">
        <v>2</v>
      </c>
      <c r="D271" s="1">
        <v>45</v>
      </c>
      <c r="E271" s="1">
        <v>30.2</v>
      </c>
      <c r="F271" s="1">
        <v>1</v>
      </c>
      <c r="G271" s="7">
        <f t="shared" si="29"/>
        <v>0</v>
      </c>
      <c r="H271" s="7">
        <f t="shared" si="32"/>
        <v>0</v>
      </c>
      <c r="I271" s="7">
        <f t="shared" si="33"/>
        <v>0</v>
      </c>
      <c r="J271" s="7">
        <f t="shared" si="33"/>
        <v>0</v>
      </c>
      <c r="K271" s="7">
        <f t="shared" si="33"/>
        <v>0</v>
      </c>
      <c r="L271" s="11">
        <v>7441.0529999999999</v>
      </c>
      <c r="M271" s="12" cm="1">
        <f t="array" ref="M271">IF(($R$34+SUMPRODUCT(TRANSPOSE(D271:K271),$R$35:$R$42))&lt;0,"-",$R$34+SUMPRODUCT(TRANSPOSE(D271:K271),$R$35:$R$42))</f>
        <v>9247.7747815140137</v>
      </c>
      <c r="N271" s="13" t="str">
        <f t="shared" si="30"/>
        <v>-</v>
      </c>
      <c r="O271" s="13">
        <f t="shared" si="31"/>
        <v>21371.979358549135</v>
      </c>
    </row>
    <row r="272" spans="1:15" x14ac:dyDescent="0.25">
      <c r="A272" s="1" t="s">
        <v>3</v>
      </c>
      <c r="B272" s="1" t="s">
        <v>4</v>
      </c>
      <c r="C272" s="1" t="s">
        <v>7</v>
      </c>
      <c r="D272" s="1">
        <v>49</v>
      </c>
      <c r="E272" s="1">
        <v>25.84</v>
      </c>
      <c r="F272" s="1">
        <v>1</v>
      </c>
      <c r="G272" s="7">
        <f t="shared" si="29"/>
        <v>0</v>
      </c>
      <c r="H272" s="7">
        <f t="shared" si="32"/>
        <v>0</v>
      </c>
      <c r="I272" s="7">
        <f t="shared" si="33"/>
        <v>0</v>
      </c>
      <c r="J272" s="7">
        <f t="shared" si="33"/>
        <v>0</v>
      </c>
      <c r="K272" s="7">
        <f t="shared" si="33"/>
        <v>1</v>
      </c>
      <c r="L272" s="11">
        <v>9282.4806000000008</v>
      </c>
      <c r="M272" s="12" cm="1">
        <f t="array" ref="M272">IF(($R$34+SUMPRODUCT(TRANSPOSE(D272:K272),$R$35:$R$42))&lt;0,"-",$R$34+SUMPRODUCT(TRANSPOSE(D272:K272),$R$35:$R$42))</f>
        <v>9756.3677252209745</v>
      </c>
      <c r="N272" s="13" t="str">
        <f t="shared" si="30"/>
        <v>-</v>
      </c>
      <c r="O272" s="13">
        <f t="shared" si="31"/>
        <v>21880.5723022561</v>
      </c>
    </row>
    <row r="273" spans="1:15" x14ac:dyDescent="0.25">
      <c r="A273" s="1" t="s">
        <v>3</v>
      </c>
      <c r="B273" s="1" t="s">
        <v>4</v>
      </c>
      <c r="C273" s="1" t="s">
        <v>5</v>
      </c>
      <c r="D273" s="1">
        <v>18</v>
      </c>
      <c r="E273" s="1">
        <v>29.37</v>
      </c>
      <c r="F273" s="1">
        <v>1</v>
      </c>
      <c r="G273" s="7">
        <f t="shared" si="29"/>
        <v>0</v>
      </c>
      <c r="H273" s="7">
        <f t="shared" si="32"/>
        <v>0</v>
      </c>
      <c r="I273" s="7">
        <f t="shared" si="33"/>
        <v>1</v>
      </c>
      <c r="J273" s="7">
        <f t="shared" si="33"/>
        <v>0</v>
      </c>
      <c r="K273" s="7">
        <f t="shared" si="33"/>
        <v>0</v>
      </c>
      <c r="L273" s="11">
        <v>1719.4363000000001</v>
      </c>
      <c r="M273" s="12" cm="1">
        <f t="array" ref="M273">IF(($R$34+SUMPRODUCT(TRANSPOSE(D273:K273),$R$35:$R$42))&lt;0,"-",$R$34+SUMPRODUCT(TRANSPOSE(D273:K273),$R$35:$R$42))</f>
        <v>1956.1516384216357</v>
      </c>
      <c r="N273" s="13" t="str">
        <f t="shared" si="30"/>
        <v>-</v>
      </c>
      <c r="O273" s="13">
        <f t="shared" si="31"/>
        <v>14080.356215456759</v>
      </c>
    </row>
    <row r="274" spans="1:15" x14ac:dyDescent="0.25">
      <c r="A274" s="1" t="s">
        <v>3</v>
      </c>
      <c r="B274" s="1" t="s">
        <v>1</v>
      </c>
      <c r="C274" s="1" t="s">
        <v>2</v>
      </c>
      <c r="D274" s="1">
        <v>50</v>
      </c>
      <c r="E274" s="1">
        <v>34.200000000000003</v>
      </c>
      <c r="F274" s="1">
        <v>2</v>
      </c>
      <c r="G274" s="7">
        <f t="shared" si="29"/>
        <v>0</v>
      </c>
      <c r="H274" s="7">
        <f t="shared" si="32"/>
        <v>1</v>
      </c>
      <c r="I274" s="7">
        <f t="shared" si="33"/>
        <v>0</v>
      </c>
      <c r="J274" s="7">
        <f t="shared" si="33"/>
        <v>0</v>
      </c>
      <c r="K274" s="7">
        <f t="shared" si="33"/>
        <v>0</v>
      </c>
      <c r="L274" s="11">
        <v>42856.838000000003</v>
      </c>
      <c r="M274" s="12" cm="1">
        <f t="array" ref="M274">IF(($R$34+SUMPRODUCT(TRANSPOSE(D274:K274),$R$35:$R$42))&lt;0,"-",$R$34+SUMPRODUCT(TRANSPOSE(D274:K274),$R$35:$R$42))</f>
        <v>36212.86544570604</v>
      </c>
      <c r="N274" s="13">
        <f t="shared" si="30"/>
        <v>24088.660868670915</v>
      </c>
      <c r="O274" s="13">
        <f t="shared" si="31"/>
        <v>48337.070022741165</v>
      </c>
    </row>
    <row r="275" spans="1:15" x14ac:dyDescent="0.25">
      <c r="A275" s="1" t="s">
        <v>3</v>
      </c>
      <c r="B275" s="1" t="s">
        <v>4</v>
      </c>
      <c r="C275" s="1" t="s">
        <v>6</v>
      </c>
      <c r="D275" s="1">
        <v>41</v>
      </c>
      <c r="E275" s="1">
        <v>37.049999999999997</v>
      </c>
      <c r="F275" s="1">
        <v>2</v>
      </c>
      <c r="G275" s="7">
        <f t="shared" si="29"/>
        <v>0</v>
      </c>
      <c r="H275" s="7">
        <f t="shared" si="32"/>
        <v>0</v>
      </c>
      <c r="I275" s="7">
        <f t="shared" si="33"/>
        <v>0</v>
      </c>
      <c r="J275" s="7">
        <f t="shared" si="33"/>
        <v>1</v>
      </c>
      <c r="K275" s="7">
        <f t="shared" si="33"/>
        <v>0</v>
      </c>
      <c r="L275" s="11">
        <v>7265.7025000000003</v>
      </c>
      <c r="M275" s="12" cm="1">
        <f t="array" ref="M275">IF(($R$34+SUMPRODUCT(TRANSPOSE(D275:K275),$R$35:$R$42))&lt;0,"-",$R$34+SUMPRODUCT(TRANSPOSE(D275:K275),$R$35:$R$42))</f>
        <v>11626.412165624199</v>
      </c>
      <c r="N275" s="13" t="str">
        <f t="shared" si="30"/>
        <v>-</v>
      </c>
      <c r="O275" s="13">
        <f t="shared" si="31"/>
        <v>23750.616742659324</v>
      </c>
    </row>
    <row r="276" spans="1:15" x14ac:dyDescent="0.25">
      <c r="A276" s="1" t="s">
        <v>3</v>
      </c>
      <c r="B276" s="1" t="s">
        <v>4</v>
      </c>
      <c r="C276" s="1" t="s">
        <v>7</v>
      </c>
      <c r="D276" s="1">
        <v>50</v>
      </c>
      <c r="E276" s="1">
        <v>27.454999999999998</v>
      </c>
      <c r="F276" s="1">
        <v>1</v>
      </c>
      <c r="G276" s="7">
        <f t="shared" si="29"/>
        <v>0</v>
      </c>
      <c r="H276" s="7">
        <f t="shared" si="32"/>
        <v>0</v>
      </c>
      <c r="I276" s="7">
        <f t="shared" si="33"/>
        <v>0</v>
      </c>
      <c r="J276" s="7">
        <f t="shared" si="33"/>
        <v>0</v>
      </c>
      <c r="K276" s="7">
        <f t="shared" si="33"/>
        <v>1</v>
      </c>
      <c r="L276" s="11">
        <v>9617.6624499999998</v>
      </c>
      <c r="M276" s="12" cm="1">
        <f t="array" ref="M276">IF(($R$34+SUMPRODUCT(TRANSPOSE(D276:K276),$R$35:$R$42))&lt;0,"-",$R$34+SUMPRODUCT(TRANSPOSE(D276:K276),$R$35:$R$42))</f>
        <v>10561.021505339831</v>
      </c>
      <c r="N276" s="13" t="str">
        <f t="shared" si="30"/>
        <v>-</v>
      </c>
      <c r="O276" s="13">
        <f t="shared" si="31"/>
        <v>22685.226082374953</v>
      </c>
    </row>
    <row r="277" spans="1:15" x14ac:dyDescent="0.25">
      <c r="A277" s="1" t="s">
        <v>3</v>
      </c>
      <c r="B277" s="1" t="s">
        <v>4</v>
      </c>
      <c r="C277" s="1" t="s">
        <v>6</v>
      </c>
      <c r="D277" s="1">
        <v>25</v>
      </c>
      <c r="E277" s="1">
        <v>27.55</v>
      </c>
      <c r="F277" s="1">
        <v>0</v>
      </c>
      <c r="G277" s="7">
        <f t="shared" si="29"/>
        <v>0</v>
      </c>
      <c r="H277" s="7">
        <f t="shared" si="32"/>
        <v>0</v>
      </c>
      <c r="I277" s="7">
        <f t="shared" si="33"/>
        <v>0</v>
      </c>
      <c r="J277" s="7">
        <f t="shared" si="33"/>
        <v>1</v>
      </c>
      <c r="K277" s="7">
        <f t="shared" si="33"/>
        <v>0</v>
      </c>
      <c r="L277" s="11">
        <v>2523.1695</v>
      </c>
      <c r="M277" s="12" cm="1">
        <f t="array" ref="M277">IF(($R$34+SUMPRODUCT(TRANSPOSE(D277:K277),$R$35:$R$42))&lt;0,"-",$R$34+SUMPRODUCT(TRANSPOSE(D277:K277),$R$35:$R$42))</f>
        <v>3343.371625425385</v>
      </c>
      <c r="N277" s="13" t="str">
        <f t="shared" si="30"/>
        <v>-</v>
      </c>
      <c r="O277" s="13">
        <f t="shared" si="31"/>
        <v>15467.576202460508</v>
      </c>
    </row>
    <row r="278" spans="1:15" x14ac:dyDescent="0.25">
      <c r="A278" s="1" t="s">
        <v>0</v>
      </c>
      <c r="B278" s="1" t="s">
        <v>4</v>
      </c>
      <c r="C278" s="1" t="s">
        <v>7</v>
      </c>
      <c r="D278" s="1">
        <v>47</v>
      </c>
      <c r="E278" s="1">
        <v>26.6</v>
      </c>
      <c r="F278" s="1">
        <v>2</v>
      </c>
      <c r="G278" s="7">
        <f t="shared" si="29"/>
        <v>1</v>
      </c>
      <c r="H278" s="7">
        <f t="shared" si="32"/>
        <v>0</v>
      </c>
      <c r="I278" s="7">
        <f t="shared" si="33"/>
        <v>0</v>
      </c>
      <c r="J278" s="7">
        <f t="shared" si="33"/>
        <v>0</v>
      </c>
      <c r="K278" s="7">
        <f t="shared" si="33"/>
        <v>1</v>
      </c>
      <c r="L278" s="11">
        <v>9715.8410000000003</v>
      </c>
      <c r="M278" s="12" cm="1">
        <f t="array" ref="M278">IF(($R$34+SUMPRODUCT(TRANSPOSE(D278:K278),$R$35:$R$42))&lt;0,"-",$R$34+SUMPRODUCT(TRANSPOSE(D278:K278),$R$35:$R$42))</f>
        <v>10107.256949434759</v>
      </c>
      <c r="N278" s="13" t="str">
        <f t="shared" si="30"/>
        <v>-</v>
      </c>
      <c r="O278" s="13">
        <f t="shared" si="31"/>
        <v>22231.46152646988</v>
      </c>
    </row>
    <row r="279" spans="1:15" x14ac:dyDescent="0.25">
      <c r="A279" s="1" t="s">
        <v>3</v>
      </c>
      <c r="B279" s="1" t="s">
        <v>4</v>
      </c>
      <c r="C279" s="1" t="s">
        <v>6</v>
      </c>
      <c r="D279" s="1">
        <v>19</v>
      </c>
      <c r="E279" s="1">
        <v>20.614999999999998</v>
      </c>
      <c r="F279" s="1">
        <v>2</v>
      </c>
      <c r="G279" s="7">
        <f t="shared" si="29"/>
        <v>0</v>
      </c>
      <c r="H279" s="7">
        <f t="shared" si="32"/>
        <v>0</v>
      </c>
      <c r="I279" s="7">
        <f t="shared" si="33"/>
        <v>0</v>
      </c>
      <c r="J279" s="7">
        <f t="shared" si="33"/>
        <v>1</v>
      </c>
      <c r="K279" s="7">
        <f t="shared" si="33"/>
        <v>0</v>
      </c>
      <c r="L279" s="11">
        <v>2803.69785</v>
      </c>
      <c r="M279" s="12" cm="1">
        <f t="array" ref="M279">IF(($R$34+SUMPRODUCT(TRANSPOSE(D279:K279),$R$35:$R$42))&lt;0,"-",$R$34+SUMPRODUCT(TRANSPOSE(D279:K279),$R$35:$R$42))</f>
        <v>400.92799970838678</v>
      </c>
      <c r="N279" s="13" t="str">
        <f t="shared" si="30"/>
        <v>-</v>
      </c>
      <c r="O279" s="13">
        <f t="shared" si="31"/>
        <v>12525.13257674351</v>
      </c>
    </row>
    <row r="280" spans="1:15" x14ac:dyDescent="0.25">
      <c r="A280" s="1" t="s">
        <v>0</v>
      </c>
      <c r="B280" s="1" t="s">
        <v>4</v>
      </c>
      <c r="C280" s="1" t="s">
        <v>2</v>
      </c>
      <c r="D280" s="1">
        <v>22</v>
      </c>
      <c r="E280" s="1">
        <v>24.3</v>
      </c>
      <c r="F280" s="1">
        <v>0</v>
      </c>
      <c r="G280" s="7">
        <f t="shared" si="29"/>
        <v>1</v>
      </c>
      <c r="H280" s="7">
        <f t="shared" si="32"/>
        <v>0</v>
      </c>
      <c r="I280" s="7">
        <f t="shared" si="33"/>
        <v>0</v>
      </c>
      <c r="J280" s="7">
        <f t="shared" si="33"/>
        <v>0</v>
      </c>
      <c r="K280" s="7">
        <f t="shared" si="33"/>
        <v>0</v>
      </c>
      <c r="L280" s="11">
        <v>2150.4690000000001</v>
      </c>
      <c r="M280" s="12" cm="1">
        <f t="array" ref="M280">IF(($R$34+SUMPRODUCT(TRANSPOSE(D280:K280),$R$35:$R$42))&lt;0,"-",$R$34+SUMPRODUCT(TRANSPOSE(D280:K280),$R$35:$R$42))</f>
        <v>994.65111109702775</v>
      </c>
      <c r="N280" s="13" t="str">
        <f t="shared" si="30"/>
        <v>-</v>
      </c>
      <c r="O280" s="13">
        <f t="shared" si="31"/>
        <v>13118.855688132151</v>
      </c>
    </row>
    <row r="281" spans="1:15" x14ac:dyDescent="0.25">
      <c r="A281" s="1" t="s">
        <v>3</v>
      </c>
      <c r="B281" s="1" t="s">
        <v>4</v>
      </c>
      <c r="C281" s="1" t="s">
        <v>5</v>
      </c>
      <c r="D281" s="1">
        <v>59</v>
      </c>
      <c r="E281" s="1">
        <v>31.79</v>
      </c>
      <c r="F281" s="1">
        <v>2</v>
      </c>
      <c r="G281" s="7">
        <f t="shared" si="29"/>
        <v>0</v>
      </c>
      <c r="H281" s="7">
        <f t="shared" si="32"/>
        <v>0</v>
      </c>
      <c r="I281" s="7">
        <f t="shared" si="33"/>
        <v>1</v>
      </c>
      <c r="J281" s="7">
        <f t="shared" si="33"/>
        <v>0</v>
      </c>
      <c r="K281" s="7">
        <f t="shared" si="33"/>
        <v>0</v>
      </c>
      <c r="L281" s="11">
        <v>12928.7911</v>
      </c>
      <c r="M281" s="12" cm="1">
        <f t="array" ref="M281">IF(($R$34+SUMPRODUCT(TRANSPOSE(D281:K281),$R$35:$R$42))&lt;0,"-",$R$34+SUMPRODUCT(TRANSPOSE(D281:K281),$R$35:$R$42))</f>
        <v>13783.610795340264</v>
      </c>
      <c r="N281" s="13">
        <f t="shared" si="30"/>
        <v>1659.406218305141</v>
      </c>
      <c r="O281" s="13">
        <f t="shared" si="31"/>
        <v>25907.815372375386</v>
      </c>
    </row>
    <row r="282" spans="1:15" x14ac:dyDescent="0.25">
      <c r="A282" s="1" t="s">
        <v>0</v>
      </c>
      <c r="B282" s="1" t="s">
        <v>4</v>
      </c>
      <c r="C282" s="1" t="s">
        <v>5</v>
      </c>
      <c r="D282" s="1">
        <v>51</v>
      </c>
      <c r="E282" s="1">
        <v>21.56</v>
      </c>
      <c r="F282" s="1">
        <v>1</v>
      </c>
      <c r="G282" s="7">
        <f t="shared" si="29"/>
        <v>1</v>
      </c>
      <c r="H282" s="7">
        <f t="shared" si="32"/>
        <v>0</v>
      </c>
      <c r="I282" s="7">
        <f t="shared" si="33"/>
        <v>1</v>
      </c>
      <c r="J282" s="7">
        <f t="shared" si="33"/>
        <v>0</v>
      </c>
      <c r="K282" s="7">
        <f t="shared" si="33"/>
        <v>0</v>
      </c>
      <c r="L282" s="11">
        <v>9855.1314000000002</v>
      </c>
      <c r="M282" s="12" cm="1">
        <f t="array" ref="M282">IF(($R$34+SUMPRODUCT(TRANSPOSE(D282:K282),$R$35:$R$42))&lt;0,"-",$R$34+SUMPRODUCT(TRANSPOSE(D282:K282),$R$35:$R$42))</f>
        <v>7914.6247588485639</v>
      </c>
      <c r="N282" s="13" t="str">
        <f t="shared" si="30"/>
        <v>-</v>
      </c>
      <c r="O282" s="13">
        <f t="shared" si="31"/>
        <v>20038.829335883689</v>
      </c>
    </row>
    <row r="283" spans="1:15" x14ac:dyDescent="0.25">
      <c r="A283" s="1" t="s">
        <v>0</v>
      </c>
      <c r="B283" s="1" t="s">
        <v>1</v>
      </c>
      <c r="C283" s="1" t="s">
        <v>7</v>
      </c>
      <c r="D283" s="1">
        <v>40</v>
      </c>
      <c r="E283" s="1">
        <v>28.12</v>
      </c>
      <c r="F283" s="1">
        <v>1</v>
      </c>
      <c r="G283" s="7">
        <f t="shared" si="29"/>
        <v>1</v>
      </c>
      <c r="H283" s="7">
        <f t="shared" si="32"/>
        <v>1</v>
      </c>
      <c r="I283" s="7">
        <f t="shared" si="33"/>
        <v>0</v>
      </c>
      <c r="J283" s="7">
        <f t="shared" si="33"/>
        <v>0</v>
      </c>
      <c r="K283" s="7">
        <f t="shared" si="33"/>
        <v>1</v>
      </c>
      <c r="L283" s="11">
        <v>22331.566800000001</v>
      </c>
      <c r="M283" s="12" cm="1">
        <f t="array" ref="M283">IF(($R$34+SUMPRODUCT(TRANSPOSE(D283:K283),$R$35:$R$42))&lt;0,"-",$R$34+SUMPRODUCT(TRANSPOSE(D283:K283),$R$35:$R$42))</f>
        <v>32197.870527925465</v>
      </c>
      <c r="N283" s="13">
        <f t="shared" si="30"/>
        <v>20073.665950890339</v>
      </c>
      <c r="O283" s="13">
        <f t="shared" si="31"/>
        <v>44322.07510496059</v>
      </c>
    </row>
    <row r="284" spans="1:15" x14ac:dyDescent="0.25">
      <c r="A284" s="1" t="s">
        <v>3</v>
      </c>
      <c r="B284" s="1" t="s">
        <v>1</v>
      </c>
      <c r="C284" s="1" t="s">
        <v>7</v>
      </c>
      <c r="D284" s="1">
        <v>54</v>
      </c>
      <c r="E284" s="1">
        <v>40.564999999999998</v>
      </c>
      <c r="F284" s="1">
        <v>3</v>
      </c>
      <c r="G284" s="7">
        <f t="shared" si="29"/>
        <v>0</v>
      </c>
      <c r="H284" s="7">
        <f t="shared" si="32"/>
        <v>1</v>
      </c>
      <c r="I284" s="7">
        <f t="shared" si="33"/>
        <v>0</v>
      </c>
      <c r="J284" s="7">
        <f t="shared" si="33"/>
        <v>0</v>
      </c>
      <c r="K284" s="7">
        <f t="shared" si="33"/>
        <v>1</v>
      </c>
      <c r="L284" s="11">
        <v>48549.178350000002</v>
      </c>
      <c r="M284" s="12" cm="1">
        <f t="array" ref="M284">IF(($R$34+SUMPRODUCT(TRANSPOSE(D284:K284),$R$35:$R$42))&lt;0,"-",$R$34+SUMPRODUCT(TRANSPOSE(D284:K284),$R$35:$R$42))</f>
        <v>40834.808724538394</v>
      </c>
      <c r="N284" s="13">
        <f t="shared" si="30"/>
        <v>28710.604147503269</v>
      </c>
      <c r="O284" s="13">
        <f t="shared" si="31"/>
        <v>52959.013301573519</v>
      </c>
    </row>
    <row r="285" spans="1:15" x14ac:dyDescent="0.25">
      <c r="A285" s="1" t="s">
        <v>3</v>
      </c>
      <c r="B285" s="1" t="s">
        <v>4</v>
      </c>
      <c r="C285" s="1" t="s">
        <v>7</v>
      </c>
      <c r="D285" s="1">
        <v>30</v>
      </c>
      <c r="E285" s="1">
        <v>27.645</v>
      </c>
      <c r="F285" s="1">
        <v>1</v>
      </c>
      <c r="G285" s="7">
        <f t="shared" si="29"/>
        <v>0</v>
      </c>
      <c r="H285" s="7">
        <f t="shared" si="32"/>
        <v>0</v>
      </c>
      <c r="I285" s="7">
        <f t="shared" si="33"/>
        <v>0</v>
      </c>
      <c r="J285" s="7">
        <f t="shared" si="33"/>
        <v>0</v>
      </c>
      <c r="K285" s="7">
        <f t="shared" si="33"/>
        <v>1</v>
      </c>
      <c r="L285" s="11">
        <v>4237.12655</v>
      </c>
      <c r="M285" s="12" cm="1">
        <f t="array" ref="M285">IF(($R$34+SUMPRODUCT(TRANSPOSE(D285:K285),$R$35:$R$42))&lt;0,"-",$R$34+SUMPRODUCT(TRANSPOSE(D285:K285),$R$35:$R$42))</f>
        <v>5488.34121077893</v>
      </c>
      <c r="N285" s="13" t="str">
        <f t="shared" si="30"/>
        <v>-</v>
      </c>
      <c r="O285" s="13">
        <f t="shared" si="31"/>
        <v>17612.545787814051</v>
      </c>
    </row>
    <row r="286" spans="1:15" x14ac:dyDescent="0.25">
      <c r="A286" s="1" t="s">
        <v>0</v>
      </c>
      <c r="B286" s="1" t="s">
        <v>4</v>
      </c>
      <c r="C286" s="1" t="s">
        <v>7</v>
      </c>
      <c r="D286" s="1">
        <v>55</v>
      </c>
      <c r="E286" s="1">
        <v>32.395000000000003</v>
      </c>
      <c r="F286" s="1">
        <v>1</v>
      </c>
      <c r="G286" s="7">
        <f t="shared" si="29"/>
        <v>1</v>
      </c>
      <c r="H286" s="7">
        <f t="shared" si="32"/>
        <v>0</v>
      </c>
      <c r="I286" s="7">
        <f t="shared" si="33"/>
        <v>0</v>
      </c>
      <c r="J286" s="7">
        <f t="shared" si="33"/>
        <v>0</v>
      </c>
      <c r="K286" s="7">
        <f t="shared" si="33"/>
        <v>1</v>
      </c>
      <c r="L286" s="11">
        <v>11879.10405</v>
      </c>
      <c r="M286" s="12" cm="1">
        <f t="array" ref="M286">IF(($R$34+SUMPRODUCT(TRANSPOSE(D286:K286),$R$35:$R$42))&lt;0,"-",$R$34+SUMPRODUCT(TRANSPOSE(D286:K286),$R$35:$R$42))</f>
        <v>13652.233288259227</v>
      </c>
      <c r="N286" s="13">
        <f t="shared" si="30"/>
        <v>1528.028711224104</v>
      </c>
      <c r="O286" s="13">
        <f t="shared" si="31"/>
        <v>25776.437865294349</v>
      </c>
    </row>
    <row r="287" spans="1:15" x14ac:dyDescent="0.25">
      <c r="A287" s="1" t="s">
        <v>0</v>
      </c>
      <c r="B287" s="1" t="s">
        <v>4</v>
      </c>
      <c r="C287" s="1" t="s">
        <v>2</v>
      </c>
      <c r="D287" s="1">
        <v>52</v>
      </c>
      <c r="E287" s="1">
        <v>31.2</v>
      </c>
      <c r="F287" s="1">
        <v>0</v>
      </c>
      <c r="G287" s="7">
        <f t="shared" si="29"/>
        <v>1</v>
      </c>
      <c r="H287" s="7">
        <f t="shared" si="32"/>
        <v>0</v>
      </c>
      <c r="I287" s="7">
        <f t="shared" si="33"/>
        <v>0</v>
      </c>
      <c r="J287" s="7">
        <f t="shared" si="33"/>
        <v>0</v>
      </c>
      <c r="K287" s="7">
        <f t="shared" si="33"/>
        <v>0</v>
      </c>
      <c r="L287" s="11">
        <v>9625.92</v>
      </c>
      <c r="M287" s="12" cm="1">
        <f t="array" ref="M287">IF(($R$34+SUMPRODUCT(TRANSPOSE(D287:K287),$R$35:$R$42))&lt;0,"-",$R$34+SUMPRODUCT(TRANSPOSE(D287:K287),$R$35:$R$42))</f>
        <v>11040.776517132264</v>
      </c>
      <c r="N287" s="13" t="str">
        <f t="shared" si="30"/>
        <v>-</v>
      </c>
      <c r="O287" s="13">
        <f t="shared" si="31"/>
        <v>23164.981094167386</v>
      </c>
    </row>
    <row r="288" spans="1:15" x14ac:dyDescent="0.25">
      <c r="A288" s="1" t="s">
        <v>3</v>
      </c>
      <c r="B288" s="1" t="s">
        <v>4</v>
      </c>
      <c r="C288" s="1" t="s">
        <v>5</v>
      </c>
      <c r="D288" s="1">
        <v>46</v>
      </c>
      <c r="E288" s="1">
        <v>26.62</v>
      </c>
      <c r="F288" s="1">
        <v>1</v>
      </c>
      <c r="G288" s="7">
        <f t="shared" si="29"/>
        <v>0</v>
      </c>
      <c r="H288" s="7">
        <f t="shared" si="32"/>
        <v>0</v>
      </c>
      <c r="I288" s="7">
        <f t="shared" si="33"/>
        <v>1</v>
      </c>
      <c r="J288" s="7">
        <f t="shared" si="33"/>
        <v>0</v>
      </c>
      <c r="K288" s="7">
        <f t="shared" si="33"/>
        <v>0</v>
      </c>
      <c r="L288" s="11">
        <v>7742.1098000000002</v>
      </c>
      <c r="M288" s="12" cm="1">
        <f t="array" ref="M288">IF(($R$34+SUMPRODUCT(TRANSPOSE(D288:K288),$R$35:$R$42))&lt;0,"-",$R$34+SUMPRODUCT(TRANSPOSE(D288:K288),$R$35:$R$42))</f>
        <v>8215.3475120375697</v>
      </c>
      <c r="N288" s="13" t="str">
        <f t="shared" si="30"/>
        <v>-</v>
      </c>
      <c r="O288" s="13">
        <f t="shared" si="31"/>
        <v>20339.552089072691</v>
      </c>
    </row>
    <row r="289" spans="1:15" x14ac:dyDescent="0.25">
      <c r="A289" s="1" t="s">
        <v>0</v>
      </c>
      <c r="B289" s="1" t="s">
        <v>4</v>
      </c>
      <c r="C289" s="1" t="s">
        <v>7</v>
      </c>
      <c r="D289" s="1">
        <v>46</v>
      </c>
      <c r="E289" s="1">
        <v>48.07</v>
      </c>
      <c r="F289" s="1">
        <v>2</v>
      </c>
      <c r="G289" s="7">
        <f t="shared" si="29"/>
        <v>1</v>
      </c>
      <c r="H289" s="7">
        <f t="shared" si="32"/>
        <v>0</v>
      </c>
      <c r="I289" s="7">
        <f t="shared" si="33"/>
        <v>0</v>
      </c>
      <c r="J289" s="7">
        <f t="shared" si="33"/>
        <v>0</v>
      </c>
      <c r="K289" s="7">
        <f t="shared" si="33"/>
        <v>1</v>
      </c>
      <c r="L289" s="11">
        <v>9432.9253000000008</v>
      </c>
      <c r="M289" s="12" cm="1">
        <f t="array" ref="M289">IF(($R$34+SUMPRODUCT(TRANSPOSE(D289:K289),$R$35:$R$42))&lt;0,"-",$R$34+SUMPRODUCT(TRANSPOSE(D289:K289),$R$35:$R$42))</f>
        <v>17132.884045922143</v>
      </c>
      <c r="N289" s="13">
        <f t="shared" si="30"/>
        <v>5008.6794688870195</v>
      </c>
      <c r="O289" s="13">
        <f t="shared" si="31"/>
        <v>29257.088622957264</v>
      </c>
    </row>
    <row r="290" spans="1:15" x14ac:dyDescent="0.25">
      <c r="A290" s="1" t="s">
        <v>0</v>
      </c>
      <c r="B290" s="1" t="s">
        <v>4</v>
      </c>
      <c r="C290" s="1" t="s">
        <v>6</v>
      </c>
      <c r="D290" s="1">
        <v>63</v>
      </c>
      <c r="E290" s="1">
        <v>26.22</v>
      </c>
      <c r="F290" s="1">
        <v>0</v>
      </c>
      <c r="G290" s="7">
        <f t="shared" si="29"/>
        <v>1</v>
      </c>
      <c r="H290" s="7">
        <f t="shared" si="32"/>
        <v>0</v>
      </c>
      <c r="I290" s="7">
        <f t="shared" si="33"/>
        <v>0</v>
      </c>
      <c r="J290" s="7">
        <f t="shared" si="33"/>
        <v>1</v>
      </c>
      <c r="K290" s="7">
        <f t="shared" si="33"/>
        <v>0</v>
      </c>
      <c r="L290" s="11">
        <v>14256.192800000001</v>
      </c>
      <c r="M290" s="12" cm="1">
        <f t="array" ref="M290">IF(($R$34+SUMPRODUCT(TRANSPOSE(D290:K290),$R$35:$R$42))&lt;0,"-",$R$34+SUMPRODUCT(TRANSPOSE(D290:K290),$R$35:$R$42))</f>
        <v>12784.100087937295</v>
      </c>
      <c r="N290" s="13">
        <f t="shared" si="30"/>
        <v>659.89551090217174</v>
      </c>
      <c r="O290" s="13">
        <f t="shared" si="31"/>
        <v>24908.30466497242</v>
      </c>
    </row>
    <row r="291" spans="1:15" x14ac:dyDescent="0.25">
      <c r="A291" s="1" t="s">
        <v>0</v>
      </c>
      <c r="B291" s="1" t="s">
        <v>1</v>
      </c>
      <c r="C291" s="1" t="s">
        <v>7</v>
      </c>
      <c r="D291" s="1">
        <v>59</v>
      </c>
      <c r="E291" s="1">
        <v>36.765000000000001</v>
      </c>
      <c r="F291" s="1">
        <v>1</v>
      </c>
      <c r="G291" s="7">
        <f t="shared" si="29"/>
        <v>1</v>
      </c>
      <c r="H291" s="7">
        <f t="shared" si="32"/>
        <v>1</v>
      </c>
      <c r="I291" s="7">
        <f t="shared" si="33"/>
        <v>0</v>
      </c>
      <c r="J291" s="7">
        <f t="shared" si="33"/>
        <v>0</v>
      </c>
      <c r="K291" s="7">
        <f t="shared" si="33"/>
        <v>1</v>
      </c>
      <c r="L291" s="11">
        <v>47896.79135</v>
      </c>
      <c r="M291" s="12" cm="1">
        <f t="array" ref="M291">IF(($R$34+SUMPRODUCT(TRANSPOSE(D291:K291),$R$35:$R$42))&lt;0,"-",$R$34+SUMPRODUCT(TRANSPOSE(D291:K291),$R$35:$R$42))</f>
        <v>40010.46863260078</v>
      </c>
      <c r="N291" s="13">
        <f t="shared" si="30"/>
        <v>27886.264055565654</v>
      </c>
      <c r="O291" s="13">
        <f t="shared" si="31"/>
        <v>52134.673209635905</v>
      </c>
    </row>
    <row r="292" spans="1:15" x14ac:dyDescent="0.25">
      <c r="A292" s="1" t="s">
        <v>3</v>
      </c>
      <c r="B292" s="1" t="s">
        <v>4</v>
      </c>
      <c r="C292" s="1" t="s">
        <v>5</v>
      </c>
      <c r="D292" s="1">
        <v>52</v>
      </c>
      <c r="E292" s="1">
        <v>26.4</v>
      </c>
      <c r="F292" s="1">
        <v>3</v>
      </c>
      <c r="G292" s="7">
        <f t="shared" si="29"/>
        <v>0</v>
      </c>
      <c r="H292" s="7">
        <f t="shared" si="32"/>
        <v>0</v>
      </c>
      <c r="I292" s="7">
        <f t="shared" si="33"/>
        <v>1</v>
      </c>
      <c r="J292" s="7">
        <f t="shared" si="33"/>
        <v>0</v>
      </c>
      <c r="K292" s="7">
        <f t="shared" si="33"/>
        <v>0</v>
      </c>
      <c r="L292" s="11">
        <v>25992.821039999999</v>
      </c>
      <c r="M292" s="12" cm="1">
        <f t="array" ref="M292">IF(($R$34+SUMPRODUCT(TRANSPOSE(D292:K292),$R$35:$R$42))&lt;0,"-",$R$34+SUMPRODUCT(TRANSPOSE(D292:K292),$R$35:$R$42))</f>
        <v>10632.864157765536</v>
      </c>
      <c r="N292" s="13" t="str">
        <f t="shared" si="30"/>
        <v>-</v>
      </c>
      <c r="O292" s="13">
        <f t="shared" si="31"/>
        <v>22757.068734800661</v>
      </c>
    </row>
    <row r="293" spans="1:15" x14ac:dyDescent="0.25">
      <c r="A293" s="1" t="s">
        <v>0</v>
      </c>
      <c r="B293" s="1" t="s">
        <v>4</v>
      </c>
      <c r="C293" s="1" t="s">
        <v>2</v>
      </c>
      <c r="D293" s="1">
        <v>28</v>
      </c>
      <c r="E293" s="1">
        <v>33.4</v>
      </c>
      <c r="F293" s="1">
        <v>0</v>
      </c>
      <c r="G293" s="7">
        <f t="shared" si="29"/>
        <v>1</v>
      </c>
      <c r="H293" s="7">
        <f t="shared" si="32"/>
        <v>0</v>
      </c>
      <c r="I293" s="7">
        <f t="shared" si="33"/>
        <v>0</v>
      </c>
      <c r="J293" s="7">
        <f t="shared" si="33"/>
        <v>0</v>
      </c>
      <c r="K293" s="7">
        <f t="shared" si="33"/>
        <v>0</v>
      </c>
      <c r="L293" s="11">
        <v>3172.018</v>
      </c>
      <c r="M293" s="12" cm="1">
        <f t="array" ref="M293">IF(($R$34+SUMPRODUCT(TRANSPOSE(D293:K293),$R$35:$R$42))&lt;0,"-",$R$34+SUMPRODUCT(TRANSPOSE(D293:K293),$R$35:$R$42))</f>
        <v>5622.4496541797598</v>
      </c>
      <c r="N293" s="13" t="str">
        <f t="shared" si="30"/>
        <v>-</v>
      </c>
      <c r="O293" s="13">
        <f t="shared" si="31"/>
        <v>17746.654231214881</v>
      </c>
    </row>
    <row r="294" spans="1:15" x14ac:dyDescent="0.25">
      <c r="A294" s="1" t="s">
        <v>3</v>
      </c>
      <c r="B294" s="1" t="s">
        <v>4</v>
      </c>
      <c r="C294" s="1" t="s">
        <v>7</v>
      </c>
      <c r="D294" s="1">
        <v>29</v>
      </c>
      <c r="E294" s="1">
        <v>29.64</v>
      </c>
      <c r="F294" s="1">
        <v>1</v>
      </c>
      <c r="G294" s="7">
        <f t="shared" si="29"/>
        <v>0</v>
      </c>
      <c r="H294" s="7">
        <f t="shared" si="32"/>
        <v>0</v>
      </c>
      <c r="I294" s="7">
        <f t="shared" si="33"/>
        <v>0</v>
      </c>
      <c r="J294" s="7">
        <f t="shared" si="33"/>
        <v>0</v>
      </c>
      <c r="K294" s="7">
        <f t="shared" si="33"/>
        <v>1</v>
      </c>
      <c r="L294" s="11">
        <v>20277.807509999999</v>
      </c>
      <c r="M294" s="12" cm="1">
        <f t="array" ref="M294">IF(($R$34+SUMPRODUCT(TRANSPOSE(D294:K294),$R$35:$R$42))&lt;0,"-",$R$34+SUMPRODUCT(TRANSPOSE(D294:K294),$R$35:$R$42))</f>
        <v>5908.1757981952105</v>
      </c>
      <c r="N294" s="13" t="str">
        <f t="shared" si="30"/>
        <v>-</v>
      </c>
      <c r="O294" s="13">
        <f t="shared" si="31"/>
        <v>18032.380375230336</v>
      </c>
    </row>
    <row r="295" spans="1:15" x14ac:dyDescent="0.25">
      <c r="A295" s="1" t="s">
        <v>3</v>
      </c>
      <c r="B295" s="1" t="s">
        <v>1</v>
      </c>
      <c r="C295" s="1" t="s">
        <v>5</v>
      </c>
      <c r="D295" s="1">
        <v>25</v>
      </c>
      <c r="E295" s="1">
        <v>45.54</v>
      </c>
      <c r="F295" s="1">
        <v>2</v>
      </c>
      <c r="G295" s="7">
        <f t="shared" si="29"/>
        <v>0</v>
      </c>
      <c r="H295" s="7">
        <f t="shared" si="32"/>
        <v>1</v>
      </c>
      <c r="I295" s="7">
        <f t="shared" si="33"/>
        <v>1</v>
      </c>
      <c r="J295" s="7">
        <f t="shared" si="33"/>
        <v>0</v>
      </c>
      <c r="K295" s="7">
        <f t="shared" si="33"/>
        <v>0</v>
      </c>
      <c r="L295" s="11">
        <v>42112.2356</v>
      </c>
      <c r="M295" s="12" cm="1">
        <f t="array" ref="M295">IF(($R$34+SUMPRODUCT(TRANSPOSE(D295:K295),$R$35:$R$42))&lt;0,"-",$R$34+SUMPRODUCT(TRANSPOSE(D295:K295),$R$35:$R$42))</f>
        <v>33562.939338132281</v>
      </c>
      <c r="N295" s="13">
        <f t="shared" si="30"/>
        <v>21438.734761097156</v>
      </c>
      <c r="O295" s="13">
        <f t="shared" si="31"/>
        <v>45687.143915167406</v>
      </c>
    </row>
    <row r="296" spans="1:15" x14ac:dyDescent="0.25">
      <c r="A296" s="1" t="s">
        <v>0</v>
      </c>
      <c r="B296" s="1" t="s">
        <v>4</v>
      </c>
      <c r="C296" s="1" t="s">
        <v>5</v>
      </c>
      <c r="D296" s="1">
        <v>22</v>
      </c>
      <c r="E296" s="1">
        <v>28.82</v>
      </c>
      <c r="F296" s="1">
        <v>0</v>
      </c>
      <c r="G296" s="7">
        <f t="shared" si="29"/>
        <v>1</v>
      </c>
      <c r="H296" s="7">
        <f t="shared" si="32"/>
        <v>0</v>
      </c>
      <c r="I296" s="7">
        <f t="shared" si="33"/>
        <v>1</v>
      </c>
      <c r="J296" s="7">
        <f t="shared" si="33"/>
        <v>0</v>
      </c>
      <c r="K296" s="7">
        <f t="shared" si="33"/>
        <v>0</v>
      </c>
      <c r="L296" s="11">
        <v>2156.7518</v>
      </c>
      <c r="M296" s="12" cm="1">
        <f t="array" ref="M296">IF(($R$34+SUMPRODUCT(TRANSPOSE(D296:K296),$R$35:$R$42))&lt;0,"-",$R$34+SUMPRODUCT(TRANSPOSE(D296:K296),$R$35:$R$42))</f>
        <v>2452.8344633310389</v>
      </c>
      <c r="N296" s="13" t="str">
        <f t="shared" si="30"/>
        <v>-</v>
      </c>
      <c r="O296" s="13">
        <f t="shared" si="31"/>
        <v>14577.039040366162</v>
      </c>
    </row>
    <row r="297" spans="1:15" x14ac:dyDescent="0.25">
      <c r="A297" s="1" t="s">
        <v>3</v>
      </c>
      <c r="B297" s="1" t="s">
        <v>4</v>
      </c>
      <c r="C297" s="1" t="s">
        <v>2</v>
      </c>
      <c r="D297" s="1">
        <v>25</v>
      </c>
      <c r="E297" s="1">
        <v>26.8</v>
      </c>
      <c r="F297" s="1">
        <v>3</v>
      </c>
      <c r="G297" s="7">
        <f t="shared" si="29"/>
        <v>0</v>
      </c>
      <c r="H297" s="7">
        <f t="shared" si="32"/>
        <v>0</v>
      </c>
      <c r="I297" s="7">
        <f t="shared" si="33"/>
        <v>0</v>
      </c>
      <c r="J297" s="7">
        <f t="shared" si="33"/>
        <v>0</v>
      </c>
      <c r="K297" s="7">
        <f t="shared" si="33"/>
        <v>0</v>
      </c>
      <c r="L297" s="11">
        <v>3906.127</v>
      </c>
      <c r="M297" s="12" cm="1">
        <f t="array" ref="M297">IF(($R$34+SUMPRODUCT(TRANSPOSE(D297:K297),$R$35:$R$42))&lt;0,"-",$R$34+SUMPRODUCT(TRANSPOSE(D297:K297),$R$35:$R$42))</f>
        <v>3908.391078788467</v>
      </c>
      <c r="N297" s="13" t="str">
        <f t="shared" si="30"/>
        <v>-</v>
      </c>
      <c r="O297" s="13">
        <f t="shared" si="31"/>
        <v>16032.59565582359</v>
      </c>
    </row>
    <row r="298" spans="1:15" x14ac:dyDescent="0.25">
      <c r="A298" s="1" t="s">
        <v>3</v>
      </c>
      <c r="B298" s="1" t="s">
        <v>4</v>
      </c>
      <c r="C298" s="1" t="s">
        <v>7</v>
      </c>
      <c r="D298" s="1">
        <v>18</v>
      </c>
      <c r="E298" s="1">
        <v>22.99</v>
      </c>
      <c r="F298" s="1">
        <v>0</v>
      </c>
      <c r="G298" s="7">
        <f t="shared" si="29"/>
        <v>0</v>
      </c>
      <c r="H298" s="7">
        <f t="shared" si="32"/>
        <v>0</v>
      </c>
      <c r="I298" s="7">
        <f t="shared" si="33"/>
        <v>0</v>
      </c>
      <c r="J298" s="7">
        <f t="shared" si="33"/>
        <v>0</v>
      </c>
      <c r="K298" s="7">
        <f t="shared" si="33"/>
        <v>1</v>
      </c>
      <c r="L298" s="11">
        <v>1704.5681</v>
      </c>
      <c r="M298" s="12" cm="1">
        <f t="array" ref="M298">IF(($R$34+SUMPRODUCT(TRANSPOSE(D298:K298),$R$35:$R$42))&lt;0,"-",$R$34+SUMPRODUCT(TRANSPOSE(D298:K298),$R$35:$R$42))</f>
        <v>351.61890862316068</v>
      </c>
      <c r="N298" s="13" t="str">
        <f t="shared" si="30"/>
        <v>-</v>
      </c>
      <c r="O298" s="13">
        <f t="shared" si="31"/>
        <v>12475.823485658284</v>
      </c>
    </row>
    <row r="299" spans="1:15" x14ac:dyDescent="0.25">
      <c r="A299" s="1" t="s">
        <v>3</v>
      </c>
      <c r="B299" s="1" t="s">
        <v>1</v>
      </c>
      <c r="C299" s="1" t="s">
        <v>2</v>
      </c>
      <c r="D299" s="1">
        <v>19</v>
      </c>
      <c r="E299" s="1">
        <v>27.7</v>
      </c>
      <c r="F299" s="1">
        <v>0</v>
      </c>
      <c r="G299" s="7">
        <f t="shared" si="29"/>
        <v>0</v>
      </c>
      <c r="H299" s="7">
        <f t="shared" si="32"/>
        <v>1</v>
      </c>
      <c r="I299" s="7">
        <f t="shared" si="33"/>
        <v>0</v>
      </c>
      <c r="J299" s="7">
        <f t="shared" si="33"/>
        <v>0</v>
      </c>
      <c r="K299" s="7">
        <f t="shared" si="33"/>
        <v>0</v>
      </c>
      <c r="L299" s="11">
        <v>16297.846</v>
      </c>
      <c r="M299" s="12" cm="1">
        <f t="array" ref="M299">IF(($R$34+SUMPRODUCT(TRANSPOSE(D299:K299),$R$35:$R$42))&lt;0,"-",$R$34+SUMPRODUCT(TRANSPOSE(D299:K299),$R$35:$R$42))</f>
        <v>25094.559978279533</v>
      </c>
      <c r="N299" s="13">
        <f t="shared" si="30"/>
        <v>12970.355401244409</v>
      </c>
      <c r="O299" s="13">
        <f t="shared" si="31"/>
        <v>37218.764555314658</v>
      </c>
    </row>
    <row r="300" spans="1:15" x14ac:dyDescent="0.25">
      <c r="A300" s="1" t="s">
        <v>3</v>
      </c>
      <c r="B300" s="1" t="s">
        <v>1</v>
      </c>
      <c r="C300" s="1" t="s">
        <v>5</v>
      </c>
      <c r="D300" s="1">
        <v>47</v>
      </c>
      <c r="E300" s="1">
        <v>25.41</v>
      </c>
      <c r="F300" s="1">
        <v>1</v>
      </c>
      <c r="G300" s="7">
        <f t="shared" si="29"/>
        <v>0</v>
      </c>
      <c r="H300" s="7">
        <f t="shared" si="32"/>
        <v>1</v>
      </c>
      <c r="I300" s="7">
        <f t="shared" si="33"/>
        <v>1</v>
      </c>
      <c r="J300" s="7">
        <f t="shared" si="33"/>
        <v>0</v>
      </c>
      <c r="K300" s="7">
        <f t="shared" si="33"/>
        <v>0</v>
      </c>
      <c r="L300" s="11">
        <v>21978.676899999999</v>
      </c>
      <c r="M300" s="12" cm="1">
        <f t="array" ref="M300">IF(($R$34+SUMPRODUCT(TRANSPOSE(D300:K300),$R$35:$R$42))&lt;0,"-",$R$34+SUMPRODUCT(TRANSPOSE(D300:K300),$R$35:$R$42))</f>
        <v>31910.314327618595</v>
      </c>
      <c r="N300" s="13">
        <f t="shared" si="30"/>
        <v>19786.10975058347</v>
      </c>
      <c r="O300" s="13">
        <f t="shared" si="31"/>
        <v>44034.51890465372</v>
      </c>
    </row>
    <row r="301" spans="1:15" x14ac:dyDescent="0.25">
      <c r="A301" s="1" t="s">
        <v>3</v>
      </c>
      <c r="B301" s="1" t="s">
        <v>1</v>
      </c>
      <c r="C301" s="1" t="s">
        <v>6</v>
      </c>
      <c r="D301" s="1">
        <v>31</v>
      </c>
      <c r="E301" s="1">
        <v>34.39</v>
      </c>
      <c r="F301" s="1">
        <v>3</v>
      </c>
      <c r="G301" s="7">
        <f t="shared" si="29"/>
        <v>0</v>
      </c>
      <c r="H301" s="7">
        <f t="shared" si="32"/>
        <v>1</v>
      </c>
      <c r="I301" s="7">
        <f t="shared" si="33"/>
        <v>0</v>
      </c>
      <c r="J301" s="7">
        <f t="shared" si="33"/>
        <v>1</v>
      </c>
      <c r="K301" s="7">
        <f t="shared" si="33"/>
        <v>0</v>
      </c>
      <c r="L301" s="11">
        <v>38746.355100000001</v>
      </c>
      <c r="M301" s="12" cm="1">
        <f t="array" ref="M301">IF(($R$34+SUMPRODUCT(TRANSPOSE(D301:K301),$R$35:$R$42))&lt;0,"-",$R$34+SUMPRODUCT(TRANSPOSE(D301:K301),$R$35:$R$42))</f>
        <v>32479.62914070781</v>
      </c>
      <c r="N301" s="13">
        <f t="shared" si="30"/>
        <v>20355.424563672685</v>
      </c>
      <c r="O301" s="13">
        <f t="shared" si="31"/>
        <v>44603.833717742935</v>
      </c>
    </row>
    <row r="302" spans="1:15" x14ac:dyDescent="0.25">
      <c r="A302" s="1" t="s">
        <v>0</v>
      </c>
      <c r="B302" s="1" t="s">
        <v>4</v>
      </c>
      <c r="C302" s="1" t="s">
        <v>6</v>
      </c>
      <c r="D302" s="1">
        <v>48</v>
      </c>
      <c r="E302" s="1">
        <v>28.88</v>
      </c>
      <c r="F302" s="1">
        <v>1</v>
      </c>
      <c r="G302" s="7">
        <f t="shared" si="29"/>
        <v>1</v>
      </c>
      <c r="H302" s="7">
        <f t="shared" si="32"/>
        <v>0</v>
      </c>
      <c r="I302" s="7">
        <f t="shared" si="33"/>
        <v>0</v>
      </c>
      <c r="J302" s="7">
        <f t="shared" si="33"/>
        <v>1</v>
      </c>
      <c r="K302" s="7">
        <f t="shared" si="33"/>
        <v>0</v>
      </c>
      <c r="L302" s="11">
        <v>9249.4951999999994</v>
      </c>
      <c r="M302" s="12" cm="1">
        <f t="array" ref="M302">IF(($R$34+SUMPRODUCT(TRANSPOSE(D302:K302),$R$35:$R$42))&lt;0,"-",$R$34+SUMPRODUCT(TRANSPOSE(D302:K302),$R$35:$R$42))</f>
        <v>10309.009931631048</v>
      </c>
      <c r="N302" s="13" t="str">
        <f t="shared" si="30"/>
        <v>-</v>
      </c>
      <c r="O302" s="13">
        <f t="shared" si="31"/>
        <v>22433.214508666169</v>
      </c>
    </row>
    <row r="303" spans="1:15" x14ac:dyDescent="0.25">
      <c r="A303" s="1" t="s">
        <v>3</v>
      </c>
      <c r="B303" s="1" t="s">
        <v>4</v>
      </c>
      <c r="C303" s="1" t="s">
        <v>7</v>
      </c>
      <c r="D303" s="1">
        <v>36</v>
      </c>
      <c r="E303" s="1">
        <v>27.55</v>
      </c>
      <c r="F303" s="1">
        <v>3</v>
      </c>
      <c r="G303" s="7">
        <f t="shared" si="29"/>
        <v>0</v>
      </c>
      <c r="H303" s="7">
        <f t="shared" si="32"/>
        <v>0</v>
      </c>
      <c r="I303" s="7">
        <f t="shared" si="33"/>
        <v>0</v>
      </c>
      <c r="J303" s="7">
        <f t="shared" si="33"/>
        <v>0</v>
      </c>
      <c r="K303" s="7">
        <f t="shared" si="33"/>
        <v>1</v>
      </c>
      <c r="L303" s="11">
        <v>6746.7425000000003</v>
      </c>
      <c r="M303" s="12" cm="1">
        <f t="array" ref="M303">IF(($R$34+SUMPRODUCT(TRANSPOSE(D303:K303),$R$35:$R$42))&lt;0,"-",$R$34+SUMPRODUCT(TRANSPOSE(D303:K303),$R$35:$R$42))</f>
        <v>7948.2570382082522</v>
      </c>
      <c r="N303" s="13" t="str">
        <f t="shared" si="30"/>
        <v>-</v>
      </c>
      <c r="O303" s="13">
        <f t="shared" si="31"/>
        <v>20072.461615243374</v>
      </c>
    </row>
    <row r="304" spans="1:15" x14ac:dyDescent="0.25">
      <c r="A304" s="1" t="s">
        <v>0</v>
      </c>
      <c r="B304" s="1" t="s">
        <v>1</v>
      </c>
      <c r="C304" s="1" t="s">
        <v>7</v>
      </c>
      <c r="D304" s="1">
        <v>53</v>
      </c>
      <c r="E304" s="1">
        <v>22.61</v>
      </c>
      <c r="F304" s="1">
        <v>3</v>
      </c>
      <c r="G304" s="7">
        <f t="shared" si="29"/>
        <v>1</v>
      </c>
      <c r="H304" s="7">
        <f t="shared" si="32"/>
        <v>1</v>
      </c>
      <c r="I304" s="7">
        <f t="shared" si="33"/>
        <v>0</v>
      </c>
      <c r="J304" s="7">
        <f t="shared" si="33"/>
        <v>0</v>
      </c>
      <c r="K304" s="7">
        <f t="shared" si="33"/>
        <v>1</v>
      </c>
      <c r="L304" s="11">
        <v>24873.384900000001</v>
      </c>
      <c r="M304" s="12" cm="1">
        <f t="array" ref="M304">IF(($R$34+SUMPRODUCT(TRANSPOSE(D304:K304),$R$35:$R$42))&lt;0,"-",$R$34+SUMPRODUCT(TRANSPOSE(D304:K304),$R$35:$R$42))</f>
        <v>34619.048271813517</v>
      </c>
      <c r="N304" s="13">
        <f t="shared" si="30"/>
        <v>22494.843694778392</v>
      </c>
      <c r="O304" s="13">
        <f t="shared" si="31"/>
        <v>46743.252848848642</v>
      </c>
    </row>
    <row r="305" spans="1:15" x14ac:dyDescent="0.25">
      <c r="A305" s="1" t="s">
        <v>0</v>
      </c>
      <c r="B305" s="1" t="s">
        <v>4</v>
      </c>
      <c r="C305" s="1" t="s">
        <v>5</v>
      </c>
      <c r="D305" s="1">
        <v>56</v>
      </c>
      <c r="E305" s="1">
        <v>37.51</v>
      </c>
      <c r="F305" s="1">
        <v>2</v>
      </c>
      <c r="G305" s="7">
        <f t="shared" si="29"/>
        <v>1</v>
      </c>
      <c r="H305" s="7">
        <f t="shared" si="32"/>
        <v>0</v>
      </c>
      <c r="I305" s="7">
        <f t="shared" si="33"/>
        <v>1</v>
      </c>
      <c r="J305" s="7">
        <f t="shared" si="33"/>
        <v>0</v>
      </c>
      <c r="K305" s="7">
        <f t="shared" si="33"/>
        <v>0</v>
      </c>
      <c r="L305" s="11">
        <v>12265.5069</v>
      </c>
      <c r="M305" s="12" cm="1">
        <f t="array" ref="M305">IF(($R$34+SUMPRODUCT(TRANSPOSE(D305:K305),$R$35:$R$42))&lt;0,"-",$R$34+SUMPRODUCT(TRANSPOSE(D305:K305),$R$35:$R$42))</f>
        <v>15084.542651777334</v>
      </c>
      <c r="N305" s="13">
        <f t="shared" si="30"/>
        <v>2960.3380747422107</v>
      </c>
      <c r="O305" s="13">
        <f t="shared" si="31"/>
        <v>27208.747228812455</v>
      </c>
    </row>
    <row r="306" spans="1:15" x14ac:dyDescent="0.25">
      <c r="A306" s="1" t="s">
        <v>0</v>
      </c>
      <c r="B306" s="1" t="s">
        <v>4</v>
      </c>
      <c r="C306" s="1" t="s">
        <v>5</v>
      </c>
      <c r="D306" s="1">
        <v>28</v>
      </c>
      <c r="E306" s="1">
        <v>33</v>
      </c>
      <c r="F306" s="1">
        <v>2</v>
      </c>
      <c r="G306" s="7">
        <f t="shared" si="29"/>
        <v>1</v>
      </c>
      <c r="H306" s="7">
        <f t="shared" si="32"/>
        <v>0</v>
      </c>
      <c r="I306" s="7">
        <f t="shared" si="33"/>
        <v>1</v>
      </c>
      <c r="J306" s="7">
        <f t="shared" si="33"/>
        <v>0</v>
      </c>
      <c r="K306" s="7">
        <f t="shared" si="33"/>
        <v>0</v>
      </c>
      <c r="L306" s="11">
        <v>4349.4620000000004</v>
      </c>
      <c r="M306" s="12" cm="1">
        <f t="array" ref="M306">IF(($R$34+SUMPRODUCT(TRANSPOSE(D306:K306),$R$35:$R$42))&lt;0,"-",$R$34+SUMPRODUCT(TRANSPOSE(D306:K306),$R$35:$R$42))</f>
        <v>6362.802304946701</v>
      </c>
      <c r="N306" s="13" t="str">
        <f t="shared" si="30"/>
        <v>-</v>
      </c>
      <c r="O306" s="13">
        <f t="shared" si="31"/>
        <v>18487.006881981826</v>
      </c>
    </row>
    <row r="307" spans="1:15" x14ac:dyDescent="0.25">
      <c r="A307" s="1" t="s">
        <v>0</v>
      </c>
      <c r="B307" s="1" t="s">
        <v>4</v>
      </c>
      <c r="C307" s="1" t="s">
        <v>2</v>
      </c>
      <c r="D307" s="1">
        <v>57</v>
      </c>
      <c r="E307" s="1">
        <v>38</v>
      </c>
      <c r="F307" s="1">
        <v>2</v>
      </c>
      <c r="G307" s="7">
        <f t="shared" si="29"/>
        <v>1</v>
      </c>
      <c r="H307" s="7">
        <f t="shared" si="32"/>
        <v>0</v>
      </c>
      <c r="I307" s="7">
        <f t="shared" si="33"/>
        <v>0</v>
      </c>
      <c r="J307" s="7">
        <f t="shared" si="33"/>
        <v>0</v>
      </c>
      <c r="K307" s="7">
        <f t="shared" si="33"/>
        <v>0</v>
      </c>
      <c r="L307" s="11">
        <v>12646.207</v>
      </c>
      <c r="M307" s="12" cm="1">
        <f t="array" ref="M307">IF(($R$34+SUMPRODUCT(TRANSPOSE(D307:K307),$R$35:$R$42))&lt;0,"-",$R$34+SUMPRODUCT(TRANSPOSE(D307:K307),$R$35:$R$42))</f>
        <v>15582.57485467098</v>
      </c>
      <c r="N307" s="13">
        <f t="shared" si="30"/>
        <v>3458.3702776358568</v>
      </c>
      <c r="O307" s="13">
        <f t="shared" si="31"/>
        <v>27706.779431706105</v>
      </c>
    </row>
    <row r="308" spans="1:15" x14ac:dyDescent="0.25">
      <c r="A308" s="1" t="s">
        <v>3</v>
      </c>
      <c r="B308" s="1" t="s">
        <v>4</v>
      </c>
      <c r="C308" s="1" t="s">
        <v>6</v>
      </c>
      <c r="D308" s="1">
        <v>29</v>
      </c>
      <c r="E308" s="1">
        <v>33.344999999999999</v>
      </c>
      <c r="F308" s="1">
        <v>2</v>
      </c>
      <c r="G308" s="7">
        <f t="shared" si="29"/>
        <v>0</v>
      </c>
      <c r="H308" s="7">
        <f t="shared" si="32"/>
        <v>0</v>
      </c>
      <c r="I308" s="7">
        <f t="shared" si="33"/>
        <v>0</v>
      </c>
      <c r="J308" s="7">
        <f t="shared" si="33"/>
        <v>1</v>
      </c>
      <c r="K308" s="7">
        <f t="shared" si="33"/>
        <v>0</v>
      </c>
      <c r="L308" s="11">
        <v>19442.353500000001</v>
      </c>
      <c r="M308" s="12" cm="1">
        <f t="array" ref="M308">IF(($R$34+SUMPRODUCT(TRANSPOSE(D308:K308),$R$35:$R$42))&lt;0,"-",$R$34+SUMPRODUCT(TRANSPOSE(D308:K308),$R$35:$R$42))</f>
        <v>7287.424189547859</v>
      </c>
      <c r="N308" s="13" t="str">
        <f t="shared" si="30"/>
        <v>-</v>
      </c>
      <c r="O308" s="13">
        <f t="shared" si="31"/>
        <v>19411.62876658298</v>
      </c>
    </row>
    <row r="309" spans="1:15" x14ac:dyDescent="0.25">
      <c r="A309" s="1" t="s">
        <v>0</v>
      </c>
      <c r="B309" s="1" t="s">
        <v>4</v>
      </c>
      <c r="C309" s="1" t="s">
        <v>2</v>
      </c>
      <c r="D309" s="1">
        <v>28</v>
      </c>
      <c r="E309" s="1">
        <v>27.5</v>
      </c>
      <c r="F309" s="1">
        <v>2</v>
      </c>
      <c r="G309" s="7">
        <f t="shared" si="29"/>
        <v>1</v>
      </c>
      <c r="H309" s="7">
        <f t="shared" si="32"/>
        <v>0</v>
      </c>
      <c r="I309" s="7">
        <f t="shared" si="33"/>
        <v>0</v>
      </c>
      <c r="J309" s="7">
        <f t="shared" si="33"/>
        <v>0</v>
      </c>
      <c r="K309" s="7">
        <f t="shared" si="33"/>
        <v>0</v>
      </c>
      <c r="L309" s="11">
        <v>20177.671129999999</v>
      </c>
      <c r="M309" s="12" cm="1">
        <f t="array" ref="M309">IF(($R$34+SUMPRODUCT(TRANSPOSE(D309:K309),$R$35:$R$42))&lt;0,"-",$R$34+SUMPRODUCT(TRANSPOSE(D309:K309),$R$35:$R$42))</f>
        <v>4572.2093681740698</v>
      </c>
      <c r="N309" s="13" t="str">
        <f t="shared" si="30"/>
        <v>-</v>
      </c>
      <c r="O309" s="13">
        <f t="shared" si="31"/>
        <v>16696.413945209191</v>
      </c>
    </row>
    <row r="310" spans="1:15" x14ac:dyDescent="0.25">
      <c r="A310" s="1" t="s">
        <v>0</v>
      </c>
      <c r="B310" s="1" t="s">
        <v>4</v>
      </c>
      <c r="C310" s="1" t="s">
        <v>5</v>
      </c>
      <c r="D310" s="1">
        <v>30</v>
      </c>
      <c r="E310" s="1">
        <v>33.33</v>
      </c>
      <c r="F310" s="1">
        <v>1</v>
      </c>
      <c r="G310" s="7">
        <f t="shared" si="29"/>
        <v>1</v>
      </c>
      <c r="H310" s="7">
        <f t="shared" si="32"/>
        <v>0</v>
      </c>
      <c r="I310" s="7">
        <f t="shared" si="33"/>
        <v>1</v>
      </c>
      <c r="J310" s="7">
        <f t="shared" si="33"/>
        <v>0</v>
      </c>
      <c r="K310" s="7">
        <f t="shared" si="33"/>
        <v>0</v>
      </c>
      <c r="L310" s="11">
        <v>4151.0286999999998</v>
      </c>
      <c r="M310" s="12" cm="1">
        <f t="array" ref="M310">IF(($R$34+SUMPRODUCT(TRANSPOSE(D310:K310),$R$35:$R$42))&lt;0,"-",$R$34+SUMPRODUCT(TRANSPOSE(D310:K310),$R$35:$R$42))</f>
        <v>6512.9483045638444</v>
      </c>
      <c r="N310" s="13" t="str">
        <f t="shared" si="30"/>
        <v>-</v>
      </c>
      <c r="O310" s="13">
        <f t="shared" si="31"/>
        <v>18637.152881598966</v>
      </c>
    </row>
    <row r="311" spans="1:15" x14ac:dyDescent="0.25">
      <c r="A311" s="1" t="s">
        <v>3</v>
      </c>
      <c r="B311" s="1" t="s">
        <v>4</v>
      </c>
      <c r="C311" s="1" t="s">
        <v>7</v>
      </c>
      <c r="D311" s="1">
        <v>58</v>
      </c>
      <c r="E311" s="1">
        <v>34.865000000000002</v>
      </c>
      <c r="F311" s="1">
        <v>0</v>
      </c>
      <c r="G311" s="7">
        <f t="shared" si="29"/>
        <v>0</v>
      </c>
      <c r="H311" s="7">
        <f t="shared" si="32"/>
        <v>0</v>
      </c>
      <c r="I311" s="7">
        <f t="shared" si="33"/>
        <v>0</v>
      </c>
      <c r="J311" s="7">
        <f t="shared" si="33"/>
        <v>0</v>
      </c>
      <c r="K311" s="7">
        <f t="shared" si="33"/>
        <v>1</v>
      </c>
      <c r="L311" s="11">
        <v>11944.594349999999</v>
      </c>
      <c r="M311" s="12" cm="1">
        <f t="array" ref="M311">IF(($R$34+SUMPRODUCT(TRANSPOSE(D311:K311),$R$35:$R$42))&lt;0,"-",$R$34+SUMPRODUCT(TRANSPOSE(D311:K311),$R$35:$R$42))</f>
        <v>14653.795271745807</v>
      </c>
      <c r="N311" s="13">
        <f t="shared" si="30"/>
        <v>2529.5906947106832</v>
      </c>
      <c r="O311" s="13">
        <f t="shared" si="31"/>
        <v>26777.999848780928</v>
      </c>
    </row>
    <row r="312" spans="1:15" x14ac:dyDescent="0.25">
      <c r="A312" s="1" t="s">
        <v>0</v>
      </c>
      <c r="B312" s="1" t="s">
        <v>4</v>
      </c>
      <c r="C312" s="1" t="s">
        <v>6</v>
      </c>
      <c r="D312" s="1">
        <v>41</v>
      </c>
      <c r="E312" s="1">
        <v>33.06</v>
      </c>
      <c r="F312" s="1">
        <v>2</v>
      </c>
      <c r="G312" s="7">
        <f t="shared" si="29"/>
        <v>1</v>
      </c>
      <c r="H312" s="7">
        <f t="shared" si="32"/>
        <v>0</v>
      </c>
      <c r="I312" s="7">
        <f t="shared" si="33"/>
        <v>0</v>
      </c>
      <c r="J312" s="7">
        <f t="shared" si="33"/>
        <v>1</v>
      </c>
      <c r="K312" s="7">
        <f t="shared" si="33"/>
        <v>0</v>
      </c>
      <c r="L312" s="11">
        <v>7749.1563999999998</v>
      </c>
      <c r="M312" s="12" cm="1">
        <f t="array" ref="M312">IF(($R$34+SUMPRODUCT(TRANSPOSE(D312:K312),$R$35:$R$42))&lt;0,"-",$R$34+SUMPRODUCT(TRANSPOSE(D312:K312),$R$35:$R$42))</f>
        <v>10404.344645112054</v>
      </c>
      <c r="N312" s="13" t="str">
        <f t="shared" si="30"/>
        <v>-</v>
      </c>
      <c r="O312" s="13">
        <f t="shared" si="31"/>
        <v>22528.54922214718</v>
      </c>
    </row>
    <row r="313" spans="1:15" x14ac:dyDescent="0.25">
      <c r="A313" s="1" t="s">
        <v>3</v>
      </c>
      <c r="B313" s="1" t="s">
        <v>4</v>
      </c>
      <c r="C313" s="1" t="s">
        <v>2</v>
      </c>
      <c r="D313" s="1">
        <v>50</v>
      </c>
      <c r="E313" s="1">
        <v>26.6</v>
      </c>
      <c r="F313" s="1">
        <v>0</v>
      </c>
      <c r="G313" s="7">
        <f t="shared" si="29"/>
        <v>0</v>
      </c>
      <c r="H313" s="7">
        <f t="shared" si="32"/>
        <v>0</v>
      </c>
      <c r="I313" s="7">
        <f t="shared" si="33"/>
        <v>0</v>
      </c>
      <c r="J313" s="7">
        <f t="shared" si="33"/>
        <v>0</v>
      </c>
      <c r="K313" s="7">
        <f t="shared" si="33"/>
        <v>0</v>
      </c>
      <c r="L313" s="11">
        <v>8444.4740000000002</v>
      </c>
      <c r="M313" s="12" cm="1">
        <f t="array" ref="M313">IF(($R$34+SUMPRODUCT(TRANSPOSE(D313:K313),$R$35:$R$42))&lt;0,"-",$R$34+SUMPRODUCT(TRANSPOSE(D313:K313),$R$35:$R$42))</f>
        <v>8835.4595660525956</v>
      </c>
      <c r="N313" s="13" t="str">
        <f t="shared" si="30"/>
        <v>-</v>
      </c>
      <c r="O313" s="13">
        <f t="shared" si="31"/>
        <v>20959.664143087721</v>
      </c>
    </row>
    <row r="314" spans="1:15" x14ac:dyDescent="0.25">
      <c r="A314" s="1" t="s">
        <v>0</v>
      </c>
      <c r="B314" s="1" t="s">
        <v>4</v>
      </c>
      <c r="C314" s="1" t="s">
        <v>2</v>
      </c>
      <c r="D314" s="1">
        <v>19</v>
      </c>
      <c r="E314" s="1">
        <v>24.7</v>
      </c>
      <c r="F314" s="1">
        <v>0</v>
      </c>
      <c r="G314" s="7">
        <f t="shared" si="29"/>
        <v>1</v>
      </c>
      <c r="H314" s="7">
        <f t="shared" si="32"/>
        <v>0</v>
      </c>
      <c r="I314" s="7">
        <f t="shared" si="33"/>
        <v>0</v>
      </c>
      <c r="J314" s="7">
        <f t="shared" si="33"/>
        <v>0</v>
      </c>
      <c r="K314" s="7">
        <f t="shared" si="33"/>
        <v>0</v>
      </c>
      <c r="L314" s="11">
        <v>1737.376</v>
      </c>
      <c r="M314" s="12" cm="1">
        <f t="array" ref="M314">IF(($R$34+SUMPRODUCT(TRANSPOSE(D314:K314),$R$35:$R$42))&lt;0,"-",$R$34+SUMPRODUCT(TRANSPOSE(D314:K314),$R$35:$R$42))</f>
        <v>359.75943492932129</v>
      </c>
      <c r="N314" s="13" t="str">
        <f t="shared" si="30"/>
        <v>-</v>
      </c>
      <c r="O314" s="13">
        <f t="shared" si="31"/>
        <v>12483.964011964445</v>
      </c>
    </row>
    <row r="315" spans="1:15" x14ac:dyDescent="0.25">
      <c r="A315" s="1" t="s">
        <v>3</v>
      </c>
      <c r="B315" s="1" t="s">
        <v>1</v>
      </c>
      <c r="C315" s="1" t="s">
        <v>5</v>
      </c>
      <c r="D315" s="1">
        <v>43</v>
      </c>
      <c r="E315" s="1">
        <v>35.97</v>
      </c>
      <c r="F315" s="1">
        <v>3</v>
      </c>
      <c r="G315" s="7">
        <f t="shared" si="29"/>
        <v>0</v>
      </c>
      <c r="H315" s="7">
        <f t="shared" si="32"/>
        <v>1</v>
      </c>
      <c r="I315" s="7">
        <f t="shared" si="33"/>
        <v>1</v>
      </c>
      <c r="J315" s="7">
        <f t="shared" si="33"/>
        <v>0</v>
      </c>
      <c r="K315" s="7">
        <f t="shared" si="33"/>
        <v>0</v>
      </c>
      <c r="L315" s="11">
        <v>42124.515299999999</v>
      </c>
      <c r="M315" s="12" cm="1">
        <f t="array" ref="M315">IF(($R$34+SUMPRODUCT(TRANSPOSE(D315:K315),$R$35:$R$42))&lt;0,"-",$R$34+SUMPRODUCT(TRANSPOSE(D315:K315),$R$35:$R$42))</f>
        <v>35415.772877897936</v>
      </c>
      <c r="N315" s="13">
        <f t="shared" si="30"/>
        <v>23291.568300862811</v>
      </c>
      <c r="O315" s="13">
        <f t="shared" si="31"/>
        <v>47539.977454933061</v>
      </c>
    </row>
    <row r="316" spans="1:15" x14ac:dyDescent="0.25">
      <c r="A316" s="1" t="s">
        <v>3</v>
      </c>
      <c r="B316" s="1" t="s">
        <v>4</v>
      </c>
      <c r="C316" s="1" t="s">
        <v>5</v>
      </c>
      <c r="D316" s="1">
        <v>49</v>
      </c>
      <c r="E316" s="1">
        <v>35.86</v>
      </c>
      <c r="F316" s="1">
        <v>0</v>
      </c>
      <c r="G316" s="7">
        <f t="shared" si="29"/>
        <v>0</v>
      </c>
      <c r="H316" s="7">
        <f t="shared" si="32"/>
        <v>0</v>
      </c>
      <c r="I316" s="7">
        <f t="shared" si="33"/>
        <v>1</v>
      </c>
      <c r="J316" s="7">
        <f t="shared" si="33"/>
        <v>0</v>
      </c>
      <c r="K316" s="7">
        <f t="shared" si="33"/>
        <v>0</v>
      </c>
      <c r="L316" s="11">
        <v>8124.4084000000003</v>
      </c>
      <c r="M316" s="12" cm="1">
        <f t="array" ref="M316">IF(($R$34+SUMPRODUCT(TRANSPOSE(D316:K316),$R$35:$R$42))&lt;0,"-",$R$34+SUMPRODUCT(TRANSPOSE(D316:K316),$R$35:$R$42))</f>
        <v>11644.56353586464</v>
      </c>
      <c r="N316" s="13" t="str">
        <f t="shared" si="30"/>
        <v>-</v>
      </c>
      <c r="O316" s="13">
        <f t="shared" si="31"/>
        <v>23768.768112899765</v>
      </c>
    </row>
    <row r="317" spans="1:15" x14ac:dyDescent="0.25">
      <c r="A317" s="1" t="s">
        <v>0</v>
      </c>
      <c r="B317" s="1" t="s">
        <v>1</v>
      </c>
      <c r="C317" s="1" t="s">
        <v>2</v>
      </c>
      <c r="D317" s="1">
        <v>27</v>
      </c>
      <c r="E317" s="1">
        <v>31.4</v>
      </c>
      <c r="F317" s="1">
        <v>0</v>
      </c>
      <c r="G317" s="7">
        <f t="shared" si="29"/>
        <v>1</v>
      </c>
      <c r="H317" s="7">
        <f t="shared" si="32"/>
        <v>1</v>
      </c>
      <c r="I317" s="7">
        <f t="shared" si="33"/>
        <v>0</v>
      </c>
      <c r="J317" s="7">
        <f t="shared" si="33"/>
        <v>0</v>
      </c>
      <c r="K317" s="7">
        <f t="shared" si="33"/>
        <v>0</v>
      </c>
      <c r="L317" s="11">
        <v>34838.873</v>
      </c>
      <c r="M317" s="12" cm="1">
        <f t="array" ref="M317">IF(($R$34+SUMPRODUCT(TRANSPOSE(D317:K317),$R$35:$R$42))&lt;0,"-",$R$34+SUMPRODUCT(TRANSPOSE(D317:K317),$R$35:$R$42))</f>
        <v>28535.740936333525</v>
      </c>
      <c r="N317" s="13">
        <f t="shared" si="30"/>
        <v>16411.536359298399</v>
      </c>
      <c r="O317" s="13">
        <f t="shared" si="31"/>
        <v>40659.94551336865</v>
      </c>
    </row>
    <row r="318" spans="1:15" x14ac:dyDescent="0.25">
      <c r="A318" s="1" t="s">
        <v>3</v>
      </c>
      <c r="B318" s="1" t="s">
        <v>4</v>
      </c>
      <c r="C318" s="1" t="s">
        <v>7</v>
      </c>
      <c r="D318" s="1">
        <v>52</v>
      </c>
      <c r="E318" s="1">
        <v>33.25</v>
      </c>
      <c r="F318" s="1">
        <v>0</v>
      </c>
      <c r="G318" s="7">
        <f t="shared" si="29"/>
        <v>0</v>
      </c>
      <c r="H318" s="7">
        <f t="shared" si="32"/>
        <v>0</v>
      </c>
      <c r="I318" s="7">
        <f t="shared" si="33"/>
        <v>0</v>
      </c>
      <c r="J318" s="7">
        <f t="shared" si="33"/>
        <v>0</v>
      </c>
      <c r="K318" s="7">
        <f t="shared" si="33"/>
        <v>1</v>
      </c>
      <c r="L318" s="11">
        <v>9722.7695000000003</v>
      </c>
      <c r="M318" s="12" cm="1">
        <f t="array" ref="M318">IF(($R$34+SUMPRODUCT(TRANSPOSE(D318:K318),$R$35:$R$42))&lt;0,"-",$R$34+SUMPRODUCT(TRANSPOSE(D318:K318),$R$35:$R$42))</f>
        <v>12564.859728940213</v>
      </c>
      <c r="N318" s="13">
        <f t="shared" si="30"/>
        <v>440.65515190508995</v>
      </c>
      <c r="O318" s="13">
        <f t="shared" si="31"/>
        <v>24689.064305975335</v>
      </c>
    </row>
    <row r="319" spans="1:15" x14ac:dyDescent="0.25">
      <c r="A319" s="1" t="s">
        <v>3</v>
      </c>
      <c r="B319" s="1" t="s">
        <v>4</v>
      </c>
      <c r="C319" s="1" t="s">
        <v>6</v>
      </c>
      <c r="D319" s="1">
        <v>50</v>
      </c>
      <c r="E319" s="1">
        <v>32.204999999999998</v>
      </c>
      <c r="F319" s="1">
        <v>0</v>
      </c>
      <c r="G319" s="7">
        <f t="shared" si="29"/>
        <v>0</v>
      </c>
      <c r="H319" s="7">
        <f t="shared" si="32"/>
        <v>0</v>
      </c>
      <c r="I319" s="7">
        <f t="shared" si="33"/>
        <v>0</v>
      </c>
      <c r="J319" s="7">
        <f t="shared" si="33"/>
        <v>1</v>
      </c>
      <c r="K319" s="7">
        <f t="shared" si="33"/>
        <v>0</v>
      </c>
      <c r="L319" s="11">
        <v>8835.2649500000007</v>
      </c>
      <c r="M319" s="12" cm="1">
        <f t="array" ref="M319">IF(($R$34+SUMPRODUCT(TRANSPOSE(D319:K319),$R$35:$R$42))&lt;0,"-",$R$34+SUMPRODUCT(TRANSPOSE(D319:K319),$R$35:$R$42))</f>
        <v>11343.725965417547</v>
      </c>
      <c r="N319" s="13" t="str">
        <f t="shared" si="30"/>
        <v>-</v>
      </c>
      <c r="O319" s="13">
        <f t="shared" si="31"/>
        <v>23467.930542452668</v>
      </c>
    </row>
    <row r="320" spans="1:15" x14ac:dyDescent="0.25">
      <c r="A320" s="1" t="s">
        <v>3</v>
      </c>
      <c r="B320" s="1" t="s">
        <v>4</v>
      </c>
      <c r="C320" s="1" t="s">
        <v>7</v>
      </c>
      <c r="D320" s="1">
        <v>54</v>
      </c>
      <c r="E320" s="1">
        <v>32.774999999999999</v>
      </c>
      <c r="F320" s="1">
        <v>0</v>
      </c>
      <c r="G320" s="7">
        <f t="shared" si="29"/>
        <v>0</v>
      </c>
      <c r="H320" s="7">
        <f t="shared" si="32"/>
        <v>0</v>
      </c>
      <c r="I320" s="7">
        <f t="shared" si="33"/>
        <v>0</v>
      </c>
      <c r="J320" s="7">
        <f t="shared" si="33"/>
        <v>0</v>
      </c>
      <c r="K320" s="7">
        <f t="shared" si="33"/>
        <v>1</v>
      </c>
      <c r="L320" s="11">
        <v>10435.06525</v>
      </c>
      <c r="M320" s="12" cm="1">
        <f t="array" ref="M320">IF(($R$34+SUMPRODUCT(TRANSPOSE(D320:K320),$R$35:$R$42))&lt;0,"-",$R$34+SUMPRODUCT(TRANSPOSE(D320:K320),$R$35:$R$42))</f>
        <v>12917.455543549757</v>
      </c>
      <c r="N320" s="13">
        <f t="shared" si="30"/>
        <v>793.25096651463355</v>
      </c>
      <c r="O320" s="13">
        <f t="shared" si="31"/>
        <v>25041.660120584878</v>
      </c>
    </row>
    <row r="321" spans="1:15" x14ac:dyDescent="0.25">
      <c r="A321" s="1" t="s">
        <v>0</v>
      </c>
      <c r="B321" s="1" t="s">
        <v>4</v>
      </c>
      <c r="C321" s="1" t="s">
        <v>6</v>
      </c>
      <c r="D321" s="1">
        <v>44</v>
      </c>
      <c r="E321" s="1">
        <v>27.645</v>
      </c>
      <c r="F321" s="1">
        <v>0</v>
      </c>
      <c r="G321" s="7">
        <f t="shared" si="29"/>
        <v>1</v>
      </c>
      <c r="H321" s="7">
        <f t="shared" si="32"/>
        <v>0</v>
      </c>
      <c r="I321" s="7">
        <f t="shared" si="33"/>
        <v>0</v>
      </c>
      <c r="J321" s="7">
        <f t="shared" si="33"/>
        <v>1</v>
      </c>
      <c r="K321" s="7">
        <f t="shared" si="33"/>
        <v>0</v>
      </c>
      <c r="L321" s="11">
        <v>7421.1945500000002</v>
      </c>
      <c r="M321" s="12" cm="1">
        <f t="array" ref="M321">IF(($R$34+SUMPRODUCT(TRANSPOSE(D321:K321),$R$35:$R$42))&lt;0,"-",$R$34+SUMPRODUCT(TRANSPOSE(D321:K321),$R$35:$R$42))</f>
        <v>8387.1800611231301</v>
      </c>
      <c r="N321" s="13" t="str">
        <f t="shared" si="30"/>
        <v>-</v>
      </c>
      <c r="O321" s="13">
        <f t="shared" si="31"/>
        <v>20511.384638158255</v>
      </c>
    </row>
    <row r="322" spans="1:15" x14ac:dyDescent="0.25">
      <c r="A322" s="1" t="s">
        <v>3</v>
      </c>
      <c r="B322" s="1" t="s">
        <v>4</v>
      </c>
      <c r="C322" s="1" t="s">
        <v>7</v>
      </c>
      <c r="D322" s="1">
        <v>32</v>
      </c>
      <c r="E322" s="1">
        <v>37.335000000000001</v>
      </c>
      <c r="F322" s="1">
        <v>1</v>
      </c>
      <c r="G322" s="7">
        <f t="shared" si="29"/>
        <v>0</v>
      </c>
      <c r="H322" s="7">
        <f t="shared" si="32"/>
        <v>0</v>
      </c>
      <c r="I322" s="7">
        <f t="shared" si="33"/>
        <v>0</v>
      </c>
      <c r="J322" s="7">
        <f t="shared" si="33"/>
        <v>0</v>
      </c>
      <c r="K322" s="7">
        <f t="shared" si="33"/>
        <v>1</v>
      </c>
      <c r="L322" s="11">
        <v>4667.6076499999999</v>
      </c>
      <c r="M322" s="12" cm="1">
        <f t="array" ref="M322">IF(($R$34+SUMPRODUCT(TRANSPOSE(D322:K322),$R$35:$R$42))&lt;0,"-",$R$34+SUMPRODUCT(TRANSPOSE(D322:K322),$R$35:$R$42))</f>
        <v>9288.8384813426674</v>
      </c>
      <c r="N322" s="13" t="str">
        <f t="shared" si="30"/>
        <v>-</v>
      </c>
      <c r="O322" s="13">
        <f t="shared" si="31"/>
        <v>21413.043058377792</v>
      </c>
    </row>
    <row r="323" spans="1:15" x14ac:dyDescent="0.25">
      <c r="A323" s="1" t="s">
        <v>3</v>
      </c>
      <c r="B323" s="1" t="s">
        <v>4</v>
      </c>
      <c r="C323" s="1" t="s">
        <v>6</v>
      </c>
      <c r="D323" s="1">
        <v>34</v>
      </c>
      <c r="E323" s="1">
        <v>25.27</v>
      </c>
      <c r="F323" s="1">
        <v>1</v>
      </c>
      <c r="G323" s="7">
        <f t="shared" ref="G323:G386" si="34">IF($A323=G$2,1,0)</f>
        <v>0</v>
      </c>
      <c r="H323" s="7">
        <f t="shared" si="32"/>
        <v>0</v>
      </c>
      <c r="I323" s="7">
        <f t="shared" si="33"/>
        <v>0</v>
      </c>
      <c r="J323" s="7">
        <f t="shared" si="33"/>
        <v>1</v>
      </c>
      <c r="K323" s="7">
        <f t="shared" si="33"/>
        <v>0</v>
      </c>
      <c r="L323" s="11">
        <v>4894.7533000000003</v>
      </c>
      <c r="M323" s="12" cm="1">
        <f t="array" ref="M323">IF(($R$34+SUMPRODUCT(TRANSPOSE(D323:K323),$R$35:$R$42))&lt;0,"-",$R$34+SUMPRODUCT(TRANSPOSE(D323:K323),$R$35:$R$42))</f>
        <v>5357.2182691779381</v>
      </c>
      <c r="N323" s="13" t="str">
        <f t="shared" ref="N323:N386" si="35">IFERROR(IF($M323-(2*$R$24)&lt;0,"-",($M323-(2*$R$24))),"-")</f>
        <v>-</v>
      </c>
      <c r="O323" s="13">
        <f t="shared" ref="O323:O386" si="36">IFERROR(IF($L323+(2*$R$24)&lt;0,"-",($M323+(2*$R$24))),"-")</f>
        <v>17481.422846213063</v>
      </c>
    </row>
    <row r="324" spans="1:15" x14ac:dyDescent="0.25">
      <c r="A324" s="1" t="s">
        <v>0</v>
      </c>
      <c r="B324" s="1" t="s">
        <v>4</v>
      </c>
      <c r="C324" s="1" t="s">
        <v>7</v>
      </c>
      <c r="D324" s="1">
        <v>26</v>
      </c>
      <c r="E324" s="1">
        <v>29.64</v>
      </c>
      <c r="F324" s="1">
        <v>4</v>
      </c>
      <c r="G324" s="7">
        <f t="shared" si="34"/>
        <v>1</v>
      </c>
      <c r="H324" s="7">
        <f t="shared" ref="H324:H387" si="37">IF(B324="yes",1,0)</f>
        <v>0</v>
      </c>
      <c r="I324" s="7">
        <f t="shared" ref="I324:K387" si="38">IF($C324=I$2,1,0)</f>
        <v>0</v>
      </c>
      <c r="J324" s="7">
        <f t="shared" si="38"/>
        <v>0</v>
      </c>
      <c r="K324" s="7">
        <f t="shared" si="38"/>
        <v>1</v>
      </c>
      <c r="L324" s="11">
        <v>24671.663339999999</v>
      </c>
      <c r="M324" s="12" cm="1">
        <f t="array" ref="M324">IF(($R$34+SUMPRODUCT(TRANSPOSE(D324:K324),$R$35:$R$42))&lt;0,"-",$R$34+SUMPRODUCT(TRANSPOSE(D324:K324),$R$35:$R$42))</f>
        <v>6695.4227354256691</v>
      </c>
      <c r="N324" s="13" t="str">
        <f t="shared" si="35"/>
        <v>-</v>
      </c>
      <c r="O324" s="13">
        <f t="shared" si="36"/>
        <v>18819.627312460791</v>
      </c>
    </row>
    <row r="325" spans="1:15" x14ac:dyDescent="0.25">
      <c r="A325" s="1" t="s">
        <v>3</v>
      </c>
      <c r="B325" s="1" t="s">
        <v>1</v>
      </c>
      <c r="C325" s="1" t="s">
        <v>2</v>
      </c>
      <c r="D325" s="1">
        <v>34</v>
      </c>
      <c r="E325" s="1">
        <v>30.8</v>
      </c>
      <c r="F325" s="1">
        <v>0</v>
      </c>
      <c r="G325" s="7">
        <f t="shared" si="34"/>
        <v>0</v>
      </c>
      <c r="H325" s="7">
        <f t="shared" si="37"/>
        <v>1</v>
      </c>
      <c r="I325" s="7">
        <f t="shared" si="38"/>
        <v>0</v>
      </c>
      <c r="J325" s="7">
        <f t="shared" si="38"/>
        <v>0</v>
      </c>
      <c r="K325" s="7">
        <f t="shared" si="38"/>
        <v>0</v>
      </c>
      <c r="L325" s="11">
        <v>35491.64</v>
      </c>
      <c r="M325" s="12" cm="1">
        <f t="array" ref="M325">IF(($R$34+SUMPRODUCT(TRANSPOSE(D325:K325),$R$35:$R$42))&lt;0,"-",$R$34+SUMPRODUCT(TRANSPOSE(D325:K325),$R$35:$R$42))</f>
        <v>29998.904972533353</v>
      </c>
      <c r="N325" s="13">
        <f t="shared" si="35"/>
        <v>17874.700395498228</v>
      </c>
      <c r="O325" s="13">
        <f t="shared" si="36"/>
        <v>42123.109549568479</v>
      </c>
    </row>
    <row r="326" spans="1:15" x14ac:dyDescent="0.25">
      <c r="A326" s="1" t="s">
        <v>3</v>
      </c>
      <c r="B326" s="1" t="s">
        <v>4</v>
      </c>
      <c r="C326" s="1" t="s">
        <v>7</v>
      </c>
      <c r="D326" s="1">
        <v>57</v>
      </c>
      <c r="E326" s="1">
        <v>40.945</v>
      </c>
      <c r="F326" s="1">
        <v>0</v>
      </c>
      <c r="G326" s="7">
        <f t="shared" si="34"/>
        <v>0</v>
      </c>
      <c r="H326" s="7">
        <f t="shared" si="37"/>
        <v>0</v>
      </c>
      <c r="I326" s="7">
        <f t="shared" si="38"/>
        <v>0</v>
      </c>
      <c r="J326" s="7">
        <f t="shared" si="38"/>
        <v>0</v>
      </c>
      <c r="K326" s="7">
        <f t="shared" si="38"/>
        <v>1</v>
      </c>
      <c r="L326" s="11">
        <v>11566.30055</v>
      </c>
      <c r="M326" s="12" cm="1">
        <f t="array" ref="M326">IF(($R$34+SUMPRODUCT(TRANSPOSE(D326:K326),$R$35:$R$42))&lt;0,"-",$R$34+SUMPRODUCT(TRANSPOSE(D326:K326),$R$35:$R$42))</f>
        <v>16459.235117162363</v>
      </c>
      <c r="N326" s="13">
        <f t="shared" si="35"/>
        <v>4335.0305401272399</v>
      </c>
      <c r="O326" s="13">
        <f t="shared" si="36"/>
        <v>28583.439694197485</v>
      </c>
    </row>
    <row r="327" spans="1:15" x14ac:dyDescent="0.25">
      <c r="A327" s="1" t="s">
        <v>3</v>
      </c>
      <c r="B327" s="1" t="s">
        <v>4</v>
      </c>
      <c r="C327" s="1" t="s">
        <v>2</v>
      </c>
      <c r="D327" s="1">
        <v>29</v>
      </c>
      <c r="E327" s="1">
        <v>27.2</v>
      </c>
      <c r="F327" s="1">
        <v>0</v>
      </c>
      <c r="G327" s="7">
        <f t="shared" si="34"/>
        <v>0</v>
      </c>
      <c r="H327" s="7">
        <f t="shared" si="37"/>
        <v>0</v>
      </c>
      <c r="I327" s="7">
        <f t="shared" si="38"/>
        <v>0</v>
      </c>
      <c r="J327" s="7">
        <f t="shared" si="38"/>
        <v>0</v>
      </c>
      <c r="K327" s="7">
        <f t="shared" si="38"/>
        <v>0</v>
      </c>
      <c r="L327" s="11">
        <v>2866.0909999999999</v>
      </c>
      <c r="M327" s="12" cm="1">
        <f t="array" ref="M327">IF(($R$34+SUMPRODUCT(TRANSPOSE(D327:K327),$R$35:$R$42))&lt;0,"-",$R$34+SUMPRODUCT(TRANSPOSE(D327:K327),$R$35:$R$42))</f>
        <v>3644.9922349347944</v>
      </c>
      <c r="N327" s="13" t="str">
        <f t="shared" si="35"/>
        <v>-</v>
      </c>
      <c r="O327" s="13">
        <f t="shared" si="36"/>
        <v>15769.196811969918</v>
      </c>
    </row>
    <row r="328" spans="1:15" x14ac:dyDescent="0.25">
      <c r="A328" s="1" t="s">
        <v>3</v>
      </c>
      <c r="B328" s="1" t="s">
        <v>4</v>
      </c>
      <c r="C328" s="1" t="s">
        <v>7</v>
      </c>
      <c r="D328" s="1">
        <v>40</v>
      </c>
      <c r="E328" s="1">
        <v>34.104999999999997</v>
      </c>
      <c r="F328" s="1">
        <v>1</v>
      </c>
      <c r="G328" s="7">
        <f t="shared" si="34"/>
        <v>0</v>
      </c>
      <c r="H328" s="7">
        <f t="shared" si="37"/>
        <v>0</v>
      </c>
      <c r="I328" s="7">
        <f t="shared" si="38"/>
        <v>0</v>
      </c>
      <c r="J328" s="7">
        <f t="shared" si="38"/>
        <v>0</v>
      </c>
      <c r="K328" s="7">
        <f t="shared" si="38"/>
        <v>1</v>
      </c>
      <c r="L328" s="11">
        <v>6600.2059499999996</v>
      </c>
      <c r="M328" s="12" cm="1">
        <f t="array" ref="M328">IF(($R$34+SUMPRODUCT(TRANSPOSE(D328:K328),$R$35:$R$42))&lt;0,"-",$R$34+SUMPRODUCT(TRANSPOSE(D328:K328),$R$35:$R$42))</f>
        <v>10248.094446478437</v>
      </c>
      <c r="N328" s="13" t="str">
        <f t="shared" si="35"/>
        <v>-</v>
      </c>
      <c r="O328" s="13">
        <f t="shared" si="36"/>
        <v>22372.299023513558</v>
      </c>
    </row>
    <row r="329" spans="1:15" x14ac:dyDescent="0.25">
      <c r="A329" s="1" t="s">
        <v>0</v>
      </c>
      <c r="B329" s="1" t="s">
        <v>4</v>
      </c>
      <c r="C329" s="1" t="s">
        <v>5</v>
      </c>
      <c r="D329" s="1">
        <v>27</v>
      </c>
      <c r="E329" s="1">
        <v>23.21</v>
      </c>
      <c r="F329" s="1">
        <v>1</v>
      </c>
      <c r="G329" s="7">
        <f t="shared" si="34"/>
        <v>1</v>
      </c>
      <c r="H329" s="7">
        <f t="shared" si="37"/>
        <v>0</v>
      </c>
      <c r="I329" s="7">
        <f t="shared" si="38"/>
        <v>1</v>
      </c>
      <c r="J329" s="7">
        <f t="shared" si="38"/>
        <v>0</v>
      </c>
      <c r="K329" s="7">
        <f t="shared" si="38"/>
        <v>0</v>
      </c>
      <c r="L329" s="11">
        <v>3561.8888999999999</v>
      </c>
      <c r="M329" s="12" cm="1">
        <f t="array" ref="M329">IF(($R$34+SUMPRODUCT(TRANSPOSE(D329:K329),$R$35:$R$42))&lt;0,"-",$R$34+SUMPRODUCT(TRANSPOSE(D329:K329),$R$35:$R$42))</f>
        <v>2309.741496410099</v>
      </c>
      <c r="N329" s="13" t="str">
        <f t="shared" si="35"/>
        <v>-</v>
      </c>
      <c r="O329" s="13">
        <f t="shared" si="36"/>
        <v>14433.946073445222</v>
      </c>
    </row>
    <row r="330" spans="1:15" x14ac:dyDescent="0.25">
      <c r="A330" s="1" t="s">
        <v>3</v>
      </c>
      <c r="B330" s="1" t="s">
        <v>1</v>
      </c>
      <c r="C330" s="1" t="s">
        <v>6</v>
      </c>
      <c r="D330" s="1">
        <v>45</v>
      </c>
      <c r="E330" s="1">
        <v>36.479999999999997</v>
      </c>
      <c r="F330" s="1">
        <v>2</v>
      </c>
      <c r="G330" s="7">
        <f t="shared" si="34"/>
        <v>0</v>
      </c>
      <c r="H330" s="7">
        <f t="shared" si="37"/>
        <v>1</v>
      </c>
      <c r="I330" s="7">
        <f t="shared" si="38"/>
        <v>0</v>
      </c>
      <c r="J330" s="7">
        <f t="shared" si="38"/>
        <v>1</v>
      </c>
      <c r="K330" s="7">
        <f t="shared" si="38"/>
        <v>0</v>
      </c>
      <c r="L330" s="11">
        <v>42760.502200000003</v>
      </c>
      <c r="M330" s="12" cm="1">
        <f t="array" ref="M330">IF(($R$34+SUMPRODUCT(TRANSPOSE(D330:K330),$R$35:$R$42))&lt;0,"-",$R$34+SUMPRODUCT(TRANSPOSE(D330:K330),$R$35:$R$42))</f>
        <v>36309.031849128201</v>
      </c>
      <c r="N330" s="13">
        <f t="shared" si="35"/>
        <v>24184.827272093076</v>
      </c>
      <c r="O330" s="13">
        <f t="shared" si="36"/>
        <v>48433.236426163327</v>
      </c>
    </row>
    <row r="331" spans="1:15" x14ac:dyDescent="0.25">
      <c r="A331" s="1" t="s">
        <v>0</v>
      </c>
      <c r="B331" s="1" t="s">
        <v>1</v>
      </c>
      <c r="C331" s="1" t="s">
        <v>2</v>
      </c>
      <c r="D331" s="1">
        <v>64</v>
      </c>
      <c r="E331" s="1">
        <v>33.799999999999997</v>
      </c>
      <c r="F331" s="1">
        <v>1</v>
      </c>
      <c r="G331" s="7">
        <f t="shared" si="34"/>
        <v>1</v>
      </c>
      <c r="H331" s="7">
        <f t="shared" si="37"/>
        <v>1</v>
      </c>
      <c r="I331" s="7">
        <f t="shared" si="38"/>
        <v>0</v>
      </c>
      <c r="J331" s="7">
        <f t="shared" si="38"/>
        <v>0</v>
      </c>
      <c r="K331" s="7">
        <f t="shared" si="38"/>
        <v>0</v>
      </c>
      <c r="L331" s="11">
        <v>47928.03</v>
      </c>
      <c r="M331" s="12" cm="1">
        <f t="array" ref="M331">IF(($R$34+SUMPRODUCT(TRANSPOSE(D331:K331),$R$35:$R$42))&lt;0,"-",$R$34+SUMPRODUCT(TRANSPOSE(D331:K331),$R$35:$R$42))</f>
        <v>39328.990814030549</v>
      </c>
      <c r="N331" s="13">
        <f t="shared" si="35"/>
        <v>27204.786236995424</v>
      </c>
      <c r="O331" s="13">
        <f t="shared" si="36"/>
        <v>51453.195391065674</v>
      </c>
    </row>
    <row r="332" spans="1:15" x14ac:dyDescent="0.25">
      <c r="A332" s="1" t="s">
        <v>3</v>
      </c>
      <c r="B332" s="1" t="s">
        <v>4</v>
      </c>
      <c r="C332" s="1" t="s">
        <v>2</v>
      </c>
      <c r="D332" s="1">
        <v>52</v>
      </c>
      <c r="E332" s="1">
        <v>36.700000000000003</v>
      </c>
      <c r="F332" s="1">
        <v>0</v>
      </c>
      <c r="G332" s="7">
        <f t="shared" si="34"/>
        <v>0</v>
      </c>
      <c r="H332" s="7">
        <f t="shared" si="37"/>
        <v>0</v>
      </c>
      <c r="I332" s="7">
        <f t="shared" si="38"/>
        <v>0</v>
      </c>
      <c r="J332" s="7">
        <f t="shared" si="38"/>
        <v>0</v>
      </c>
      <c r="K332" s="7">
        <f t="shared" si="38"/>
        <v>0</v>
      </c>
      <c r="L332" s="11">
        <v>9144.5650000000005</v>
      </c>
      <c r="M332" s="12" cm="1">
        <f t="array" ref="M332">IF(($R$34+SUMPRODUCT(TRANSPOSE(D332:K332),$R$35:$R$42))&lt;0,"-",$R$34+SUMPRODUCT(TRANSPOSE(D332:K332),$R$35:$R$42))</f>
        <v>12775.02615259678</v>
      </c>
      <c r="N332" s="13">
        <f t="shared" si="35"/>
        <v>650.82157556165657</v>
      </c>
      <c r="O332" s="13">
        <f t="shared" si="36"/>
        <v>24899.230729631905</v>
      </c>
    </row>
    <row r="333" spans="1:15" x14ac:dyDescent="0.25">
      <c r="A333" s="1" t="s">
        <v>0</v>
      </c>
      <c r="B333" s="1" t="s">
        <v>1</v>
      </c>
      <c r="C333" s="1" t="s">
        <v>7</v>
      </c>
      <c r="D333" s="1">
        <v>61</v>
      </c>
      <c r="E333" s="1">
        <v>36.384999999999998</v>
      </c>
      <c r="F333" s="1">
        <v>1</v>
      </c>
      <c r="G333" s="7">
        <f t="shared" si="34"/>
        <v>1</v>
      </c>
      <c r="H333" s="7">
        <f t="shared" si="37"/>
        <v>1</v>
      </c>
      <c r="I333" s="7">
        <f t="shared" si="38"/>
        <v>0</v>
      </c>
      <c r="J333" s="7">
        <f t="shared" si="38"/>
        <v>0</v>
      </c>
      <c r="K333" s="7">
        <f t="shared" si="38"/>
        <v>1</v>
      </c>
      <c r="L333" s="11">
        <v>48517.563150000002</v>
      </c>
      <c r="M333" s="12" cm="1">
        <f t="array" ref="M333">IF(($R$34+SUMPRODUCT(TRANSPOSE(D333:K333),$R$35:$R$42))&lt;0,"-",$R$34+SUMPRODUCT(TRANSPOSE(D333:K333),$R$35:$R$42))</f>
        <v>40395.287825303356</v>
      </c>
      <c r="N333" s="13">
        <f t="shared" si="35"/>
        <v>28271.083248268231</v>
      </c>
      <c r="O333" s="13">
        <f t="shared" si="36"/>
        <v>52519.492402338481</v>
      </c>
    </row>
    <row r="334" spans="1:15" x14ac:dyDescent="0.25">
      <c r="A334" s="1" t="s">
        <v>3</v>
      </c>
      <c r="B334" s="1" t="s">
        <v>1</v>
      </c>
      <c r="C334" s="1" t="s">
        <v>6</v>
      </c>
      <c r="D334" s="1">
        <v>52</v>
      </c>
      <c r="E334" s="1">
        <v>27.36</v>
      </c>
      <c r="F334" s="1">
        <v>0</v>
      </c>
      <c r="G334" s="7">
        <f t="shared" si="34"/>
        <v>0</v>
      </c>
      <c r="H334" s="7">
        <f t="shared" si="37"/>
        <v>1</v>
      </c>
      <c r="I334" s="7">
        <f t="shared" si="38"/>
        <v>0</v>
      </c>
      <c r="J334" s="7">
        <f t="shared" si="38"/>
        <v>1</v>
      </c>
      <c r="K334" s="7">
        <f t="shared" si="38"/>
        <v>0</v>
      </c>
      <c r="L334" s="11">
        <v>24393.6224</v>
      </c>
      <c r="M334" s="12" cm="1">
        <f t="array" ref="M334">IF(($R$34+SUMPRODUCT(TRANSPOSE(D334:K334),$R$35:$R$42))&lt;0,"-",$R$34+SUMPRODUCT(TRANSPOSE(D334:K334),$R$35:$R$42))</f>
        <v>34062.580929660508</v>
      </c>
      <c r="N334" s="13">
        <f t="shared" si="35"/>
        <v>21938.376352625382</v>
      </c>
      <c r="O334" s="13">
        <f t="shared" si="36"/>
        <v>46186.785506695633</v>
      </c>
    </row>
    <row r="335" spans="1:15" x14ac:dyDescent="0.25">
      <c r="A335" s="1" t="s">
        <v>0</v>
      </c>
      <c r="B335" s="1" t="s">
        <v>4</v>
      </c>
      <c r="C335" s="1" t="s">
        <v>6</v>
      </c>
      <c r="D335" s="1">
        <v>61</v>
      </c>
      <c r="E335" s="1">
        <v>31.16</v>
      </c>
      <c r="F335" s="1">
        <v>0</v>
      </c>
      <c r="G335" s="7">
        <f t="shared" si="34"/>
        <v>1</v>
      </c>
      <c r="H335" s="7">
        <f t="shared" si="37"/>
        <v>0</v>
      </c>
      <c r="I335" s="7">
        <f t="shared" si="38"/>
        <v>0</v>
      </c>
      <c r="J335" s="7">
        <f t="shared" si="38"/>
        <v>1</v>
      </c>
      <c r="K335" s="7">
        <f t="shared" si="38"/>
        <v>0</v>
      </c>
      <c r="L335" s="11">
        <v>13429.035400000001</v>
      </c>
      <c r="M335" s="12" cm="1">
        <f t="array" ref="M335">IF(($R$34+SUMPRODUCT(TRANSPOSE(D335:K335),$R$35:$R$42))&lt;0,"-",$R$34+SUMPRODUCT(TRANSPOSE(D335:K335),$R$35:$R$42))</f>
        <v>13946.003043700155</v>
      </c>
      <c r="N335" s="13">
        <f t="shared" si="35"/>
        <v>1821.7984666650318</v>
      </c>
      <c r="O335" s="13">
        <f t="shared" si="36"/>
        <v>26070.20762073528</v>
      </c>
    </row>
    <row r="336" spans="1:15" x14ac:dyDescent="0.25">
      <c r="A336" s="1" t="s">
        <v>0</v>
      </c>
      <c r="B336" s="1" t="s">
        <v>4</v>
      </c>
      <c r="C336" s="1" t="s">
        <v>7</v>
      </c>
      <c r="D336" s="1">
        <v>56</v>
      </c>
      <c r="E336" s="1">
        <v>28.785</v>
      </c>
      <c r="F336" s="1">
        <v>0</v>
      </c>
      <c r="G336" s="7">
        <f t="shared" si="34"/>
        <v>1</v>
      </c>
      <c r="H336" s="7">
        <f t="shared" si="37"/>
        <v>0</v>
      </c>
      <c r="I336" s="7">
        <f t="shared" si="38"/>
        <v>0</v>
      </c>
      <c r="J336" s="7">
        <f t="shared" si="38"/>
        <v>0</v>
      </c>
      <c r="K336" s="7">
        <f t="shared" si="38"/>
        <v>1</v>
      </c>
      <c r="L336" s="11">
        <v>11658.379150000001</v>
      </c>
      <c r="M336" s="12" cm="1">
        <f t="array" ref="M336">IF(($R$34+SUMPRODUCT(TRANSPOSE(D336:K336),$R$35:$R$42))&lt;0,"-",$R$34+SUMPRODUCT(TRANSPOSE(D336:K336),$R$35:$R$42))</f>
        <v>12209.100728112309</v>
      </c>
      <c r="N336" s="13">
        <f t="shared" si="35"/>
        <v>84.896151077186005</v>
      </c>
      <c r="O336" s="13">
        <f t="shared" si="36"/>
        <v>24333.305305147434</v>
      </c>
    </row>
    <row r="337" spans="1:15" x14ac:dyDescent="0.25">
      <c r="A337" s="1" t="s">
        <v>0</v>
      </c>
      <c r="B337" s="1" t="s">
        <v>4</v>
      </c>
      <c r="C337" s="1" t="s">
        <v>7</v>
      </c>
      <c r="D337" s="1">
        <v>43</v>
      </c>
      <c r="E337" s="1">
        <v>35.72</v>
      </c>
      <c r="F337" s="1">
        <v>2</v>
      </c>
      <c r="G337" s="7">
        <f t="shared" si="34"/>
        <v>1</v>
      </c>
      <c r="H337" s="7">
        <f t="shared" si="37"/>
        <v>0</v>
      </c>
      <c r="I337" s="7">
        <f t="shared" si="38"/>
        <v>0</v>
      </c>
      <c r="J337" s="7">
        <f t="shared" si="38"/>
        <v>0</v>
      </c>
      <c r="K337" s="7">
        <f t="shared" si="38"/>
        <v>1</v>
      </c>
      <c r="L337" s="11">
        <v>19144.576519999999</v>
      </c>
      <c r="M337" s="12" cm="1">
        <f t="array" ref="M337">IF(($R$34+SUMPRODUCT(TRANSPOSE(D337:K337),$R$35:$R$42))&lt;0,"-",$R$34+SUMPRODUCT(TRANSPOSE(D337:K337),$R$35:$R$42))</f>
        <v>12173.275836216224</v>
      </c>
      <c r="N337" s="13">
        <f t="shared" si="35"/>
        <v>49.071259181100686</v>
      </c>
      <c r="O337" s="13">
        <f t="shared" si="36"/>
        <v>24297.480413251345</v>
      </c>
    </row>
    <row r="338" spans="1:15" x14ac:dyDescent="0.25">
      <c r="A338" s="1" t="s">
        <v>3</v>
      </c>
      <c r="B338" s="1" t="s">
        <v>4</v>
      </c>
      <c r="C338" s="1" t="s">
        <v>2</v>
      </c>
      <c r="D338" s="1">
        <v>64</v>
      </c>
      <c r="E338" s="1">
        <v>34.5</v>
      </c>
      <c r="F338" s="1">
        <v>0</v>
      </c>
      <c r="G338" s="7">
        <f t="shared" si="34"/>
        <v>0</v>
      </c>
      <c r="H338" s="7">
        <f t="shared" si="37"/>
        <v>0</v>
      </c>
      <c r="I338" s="7">
        <f t="shared" si="38"/>
        <v>0</v>
      </c>
      <c r="J338" s="7">
        <f t="shared" si="38"/>
        <v>0</v>
      </c>
      <c r="K338" s="7">
        <f t="shared" si="38"/>
        <v>0</v>
      </c>
      <c r="L338" s="11">
        <v>13822.803</v>
      </c>
      <c r="M338" s="12" cm="1">
        <f t="array" ref="M338">IF(($R$34+SUMPRODUCT(TRANSPOSE(D338:K338),$R$35:$R$42))&lt;0,"-",$R$34+SUMPRODUCT(TRANSPOSE(D338:K338),$R$35:$R$42))</f>
        <v>15111.076785101104</v>
      </c>
      <c r="N338" s="13">
        <f t="shared" si="35"/>
        <v>2986.8722080659809</v>
      </c>
      <c r="O338" s="13">
        <f t="shared" si="36"/>
        <v>27235.281362136229</v>
      </c>
    </row>
    <row r="339" spans="1:15" x14ac:dyDescent="0.25">
      <c r="A339" s="1" t="s">
        <v>3</v>
      </c>
      <c r="B339" s="1" t="s">
        <v>4</v>
      </c>
      <c r="C339" s="1" t="s">
        <v>5</v>
      </c>
      <c r="D339" s="1">
        <v>60</v>
      </c>
      <c r="E339" s="1">
        <v>25.74</v>
      </c>
      <c r="F339" s="1">
        <v>0</v>
      </c>
      <c r="G339" s="7">
        <f t="shared" si="34"/>
        <v>0</v>
      </c>
      <c r="H339" s="7">
        <f t="shared" si="37"/>
        <v>0</v>
      </c>
      <c r="I339" s="7">
        <f t="shared" si="38"/>
        <v>1</v>
      </c>
      <c r="J339" s="7">
        <f t="shared" si="38"/>
        <v>0</v>
      </c>
      <c r="K339" s="7">
        <f t="shared" si="38"/>
        <v>0</v>
      </c>
      <c r="L339" s="11">
        <v>12142.578600000001</v>
      </c>
      <c r="M339" s="12" cm="1">
        <f t="array" ref="M339">IF(($R$34+SUMPRODUCT(TRANSPOSE(D339:K339),$R$35:$R$42))&lt;0,"-",$R$34+SUMPRODUCT(TRANSPOSE(D339:K339),$R$35:$R$42))</f>
        <v>11037.345663233769</v>
      </c>
      <c r="N339" s="13" t="str">
        <f t="shared" si="35"/>
        <v>-</v>
      </c>
      <c r="O339" s="13">
        <f t="shared" si="36"/>
        <v>23161.550240268894</v>
      </c>
    </row>
    <row r="340" spans="1:15" x14ac:dyDescent="0.25">
      <c r="A340" s="1" t="s">
        <v>3</v>
      </c>
      <c r="B340" s="1" t="s">
        <v>4</v>
      </c>
      <c r="C340" s="1" t="s">
        <v>6</v>
      </c>
      <c r="D340" s="1">
        <v>62</v>
      </c>
      <c r="E340" s="1">
        <v>27.55</v>
      </c>
      <c r="F340" s="1">
        <v>1</v>
      </c>
      <c r="G340" s="7">
        <f t="shared" si="34"/>
        <v>0</v>
      </c>
      <c r="H340" s="7">
        <f t="shared" si="37"/>
        <v>0</v>
      </c>
      <c r="I340" s="7">
        <f t="shared" si="38"/>
        <v>0</v>
      </c>
      <c r="J340" s="7">
        <f t="shared" si="38"/>
        <v>1</v>
      </c>
      <c r="K340" s="7">
        <f t="shared" si="38"/>
        <v>0</v>
      </c>
      <c r="L340" s="11">
        <v>13937.666499999999</v>
      </c>
      <c r="M340" s="12" cm="1">
        <f t="array" ref="M340">IF(($R$34+SUMPRODUCT(TRANSPOSE(D340:K340),$R$35:$R$42))&lt;0,"-",$R$34+SUMPRODUCT(TRANSPOSE(D340:K340),$R$35:$R$42))</f>
        <v>13322.557214456392</v>
      </c>
      <c r="N340" s="13">
        <f t="shared" si="35"/>
        <v>1198.3526374212688</v>
      </c>
      <c r="O340" s="13">
        <f t="shared" si="36"/>
        <v>25446.761791491517</v>
      </c>
    </row>
    <row r="341" spans="1:15" x14ac:dyDescent="0.25">
      <c r="A341" s="1" t="s">
        <v>3</v>
      </c>
      <c r="B341" s="1" t="s">
        <v>1</v>
      </c>
      <c r="C341" s="1" t="s">
        <v>7</v>
      </c>
      <c r="D341" s="1">
        <v>50</v>
      </c>
      <c r="E341" s="1">
        <v>32.299999999999997</v>
      </c>
      <c r="F341" s="1">
        <v>1</v>
      </c>
      <c r="G341" s="7">
        <f t="shared" si="34"/>
        <v>0</v>
      </c>
      <c r="H341" s="7">
        <f t="shared" si="37"/>
        <v>1</v>
      </c>
      <c r="I341" s="7">
        <f t="shared" si="38"/>
        <v>0</v>
      </c>
      <c r="J341" s="7">
        <f t="shared" si="38"/>
        <v>0</v>
      </c>
      <c r="K341" s="7">
        <f t="shared" si="38"/>
        <v>1</v>
      </c>
      <c r="L341" s="11">
        <v>41919.097000000002</v>
      </c>
      <c r="M341" s="12" cm="1">
        <f t="array" ref="M341">IF(($R$34+SUMPRODUCT(TRANSPOSE(D341:K341),$R$35:$R$42))&lt;0,"-",$R$34+SUMPRODUCT(TRANSPOSE(D341:K341),$R$35:$R$42))</f>
        <v>36052.94832999714</v>
      </c>
      <c r="N341" s="13">
        <f t="shared" si="35"/>
        <v>23928.743752962015</v>
      </c>
      <c r="O341" s="13">
        <f t="shared" si="36"/>
        <v>48177.152907032265</v>
      </c>
    </row>
    <row r="342" spans="1:15" x14ac:dyDescent="0.25">
      <c r="A342" s="1" t="s">
        <v>0</v>
      </c>
      <c r="B342" s="1" t="s">
        <v>4</v>
      </c>
      <c r="C342" s="1" t="s">
        <v>5</v>
      </c>
      <c r="D342" s="1">
        <v>46</v>
      </c>
      <c r="E342" s="1">
        <v>27.72</v>
      </c>
      <c r="F342" s="1">
        <v>1</v>
      </c>
      <c r="G342" s="7">
        <f t="shared" si="34"/>
        <v>1</v>
      </c>
      <c r="H342" s="7">
        <f t="shared" si="37"/>
        <v>0</v>
      </c>
      <c r="I342" s="7">
        <f t="shared" si="38"/>
        <v>1</v>
      </c>
      <c r="J342" s="7">
        <f t="shared" si="38"/>
        <v>0</v>
      </c>
      <c r="K342" s="7">
        <f t="shared" si="38"/>
        <v>0</v>
      </c>
      <c r="L342" s="11">
        <v>8232.6388000000006</v>
      </c>
      <c r="M342" s="12" cm="1">
        <f t="array" ref="M342">IF(($R$34+SUMPRODUCT(TRANSPOSE(D342:K342),$R$35:$R$42))&lt;0,"-",$R$34+SUMPRODUCT(TRANSPOSE(D342:K342),$R$35:$R$42))</f>
        <v>8719.7746704046003</v>
      </c>
      <c r="N342" s="13" t="str">
        <f t="shared" si="35"/>
        <v>-</v>
      </c>
      <c r="O342" s="13">
        <f t="shared" si="36"/>
        <v>20843.979247439725</v>
      </c>
    </row>
    <row r="343" spans="1:15" x14ac:dyDescent="0.25">
      <c r="A343" s="1" t="s">
        <v>0</v>
      </c>
      <c r="B343" s="1" t="s">
        <v>4</v>
      </c>
      <c r="C343" s="1" t="s">
        <v>2</v>
      </c>
      <c r="D343" s="1">
        <v>24</v>
      </c>
      <c r="E343" s="1">
        <v>27.6</v>
      </c>
      <c r="F343" s="1">
        <v>0</v>
      </c>
      <c r="G343" s="7">
        <f t="shared" si="34"/>
        <v>1</v>
      </c>
      <c r="H343" s="7">
        <f t="shared" si="37"/>
        <v>0</v>
      </c>
      <c r="I343" s="7">
        <f t="shared" si="38"/>
        <v>0</v>
      </c>
      <c r="J343" s="7">
        <f t="shared" si="38"/>
        <v>0</v>
      </c>
      <c r="K343" s="7">
        <f t="shared" si="38"/>
        <v>0</v>
      </c>
      <c r="L343" s="11">
        <v>18955.220170000001</v>
      </c>
      <c r="M343" s="12" cm="1">
        <f t="array" ref="M343">IF(($R$34+SUMPRODUCT(TRANSPOSE(D343:K343),$R$35:$R$42))&lt;0,"-",$R$34+SUMPRODUCT(TRANSPOSE(D343:K343),$R$35:$R$42))</f>
        <v>2627.7022130874975</v>
      </c>
      <c r="N343" s="13" t="str">
        <f t="shared" si="35"/>
        <v>-</v>
      </c>
      <c r="O343" s="13">
        <f t="shared" si="36"/>
        <v>14751.906790122621</v>
      </c>
    </row>
    <row r="344" spans="1:15" x14ac:dyDescent="0.25">
      <c r="A344" s="1" t="s">
        <v>3</v>
      </c>
      <c r="B344" s="1" t="s">
        <v>4</v>
      </c>
      <c r="C344" s="1" t="s">
        <v>6</v>
      </c>
      <c r="D344" s="1">
        <v>62</v>
      </c>
      <c r="E344" s="1">
        <v>30.02</v>
      </c>
      <c r="F344" s="1">
        <v>0</v>
      </c>
      <c r="G344" s="7">
        <f t="shared" si="34"/>
        <v>0</v>
      </c>
      <c r="H344" s="7">
        <f t="shared" si="37"/>
        <v>0</v>
      </c>
      <c r="I344" s="7">
        <f t="shared" si="38"/>
        <v>0</v>
      </c>
      <c r="J344" s="7">
        <f t="shared" si="38"/>
        <v>1</v>
      </c>
      <c r="K344" s="7">
        <f t="shared" si="38"/>
        <v>0</v>
      </c>
      <c r="L344" s="11">
        <v>13352.0998</v>
      </c>
      <c r="M344" s="12" cm="1">
        <f t="array" ref="M344">IF(($R$34+SUMPRODUCT(TRANSPOSE(D344:K344),$R$35:$R$42))&lt;0,"-",$R$34+SUMPRODUCT(TRANSPOSE(D344:K344),$R$35:$R$42))</f>
        <v>13684.864499726034</v>
      </c>
      <c r="N344" s="13">
        <f t="shared" si="35"/>
        <v>1560.6599226909111</v>
      </c>
      <c r="O344" s="13">
        <f t="shared" si="36"/>
        <v>25809.06907676116</v>
      </c>
    </row>
    <row r="345" spans="1:15" x14ac:dyDescent="0.25">
      <c r="A345" s="1" t="s">
        <v>0</v>
      </c>
      <c r="B345" s="1" t="s">
        <v>4</v>
      </c>
      <c r="C345" s="1" t="s">
        <v>7</v>
      </c>
      <c r="D345" s="1">
        <v>60</v>
      </c>
      <c r="E345" s="1">
        <v>27.55</v>
      </c>
      <c r="F345" s="1">
        <v>0</v>
      </c>
      <c r="G345" s="7">
        <f t="shared" si="34"/>
        <v>1</v>
      </c>
      <c r="H345" s="7">
        <f t="shared" si="37"/>
        <v>0</v>
      </c>
      <c r="I345" s="7">
        <f t="shared" si="38"/>
        <v>0</v>
      </c>
      <c r="J345" s="7">
        <f t="shared" si="38"/>
        <v>0</v>
      </c>
      <c r="K345" s="7">
        <f t="shared" si="38"/>
        <v>1</v>
      </c>
      <c r="L345" s="11">
        <v>13217.094499999999</v>
      </c>
      <c r="M345" s="12" cm="1">
        <f t="array" ref="M345">IF(($R$34+SUMPRODUCT(TRANSPOSE(D345:K345),$R$35:$R$42))&lt;0,"-",$R$34+SUMPRODUCT(TRANSPOSE(D345:K345),$R$35:$R$42))</f>
        <v>12817.622223052313</v>
      </c>
      <c r="N345" s="13">
        <f t="shared" si="35"/>
        <v>693.41764601718933</v>
      </c>
      <c r="O345" s="13">
        <f t="shared" si="36"/>
        <v>24941.826800087438</v>
      </c>
    </row>
    <row r="346" spans="1:15" x14ac:dyDescent="0.25">
      <c r="A346" s="1" t="s">
        <v>3</v>
      </c>
      <c r="B346" s="1" t="s">
        <v>4</v>
      </c>
      <c r="C346" s="1" t="s">
        <v>7</v>
      </c>
      <c r="D346" s="1">
        <v>63</v>
      </c>
      <c r="E346" s="1">
        <v>36.765000000000001</v>
      </c>
      <c r="F346" s="1">
        <v>0</v>
      </c>
      <c r="G346" s="7">
        <f t="shared" si="34"/>
        <v>0</v>
      </c>
      <c r="H346" s="7">
        <f t="shared" si="37"/>
        <v>0</v>
      </c>
      <c r="I346" s="7">
        <f t="shared" si="38"/>
        <v>0</v>
      </c>
      <c r="J346" s="7">
        <f t="shared" si="38"/>
        <v>0</v>
      </c>
      <c r="K346" s="7">
        <f t="shared" si="38"/>
        <v>1</v>
      </c>
      <c r="L346" s="11">
        <v>13981.850350000001</v>
      </c>
      <c r="M346" s="12" cm="1">
        <f t="array" ref="M346">IF(($R$34+SUMPRODUCT(TRANSPOSE(D346:K346),$R$35:$R$42))&lt;0,"-",$R$34+SUMPRODUCT(TRANSPOSE(D346:K346),$R$35:$R$42))</f>
        <v>16582.544596293141</v>
      </c>
      <c r="N346" s="13">
        <f t="shared" si="35"/>
        <v>4458.3400192580175</v>
      </c>
      <c r="O346" s="13">
        <f t="shared" si="36"/>
        <v>28706.749173328266</v>
      </c>
    </row>
    <row r="347" spans="1:15" x14ac:dyDescent="0.25">
      <c r="A347" s="1" t="s">
        <v>0</v>
      </c>
      <c r="B347" s="1" t="s">
        <v>4</v>
      </c>
      <c r="C347" s="1" t="s">
        <v>5</v>
      </c>
      <c r="D347" s="1">
        <v>49</v>
      </c>
      <c r="E347" s="1">
        <v>41.47</v>
      </c>
      <c r="F347" s="1">
        <v>4</v>
      </c>
      <c r="G347" s="7">
        <f t="shared" si="34"/>
        <v>1</v>
      </c>
      <c r="H347" s="7">
        <f t="shared" si="37"/>
        <v>0</v>
      </c>
      <c r="I347" s="7">
        <f t="shared" si="38"/>
        <v>1</v>
      </c>
      <c r="J347" s="7">
        <f t="shared" si="38"/>
        <v>0</v>
      </c>
      <c r="K347" s="7">
        <f t="shared" si="38"/>
        <v>0</v>
      </c>
      <c r="L347" s="11">
        <v>10977.2063</v>
      </c>
      <c r="M347" s="12" cm="1">
        <f t="array" ref="M347">IF(($R$34+SUMPRODUCT(TRANSPOSE(D347:K347),$R$35:$R$42))&lt;0,"-",$R$34+SUMPRODUCT(TRANSPOSE(D347:K347),$R$35:$R$42))</f>
        <v>15580.75535061309</v>
      </c>
      <c r="N347" s="13">
        <f t="shared" si="35"/>
        <v>3456.5507735779665</v>
      </c>
      <c r="O347" s="13">
        <f t="shared" si="36"/>
        <v>27704.959927648211</v>
      </c>
    </row>
    <row r="348" spans="1:15" x14ac:dyDescent="0.25">
      <c r="A348" s="1" t="s">
        <v>0</v>
      </c>
      <c r="B348" s="1" t="s">
        <v>4</v>
      </c>
      <c r="C348" s="1" t="s">
        <v>5</v>
      </c>
      <c r="D348" s="1">
        <v>34</v>
      </c>
      <c r="E348" s="1">
        <v>29.26</v>
      </c>
      <c r="F348" s="1">
        <v>3</v>
      </c>
      <c r="G348" s="7">
        <f t="shared" si="34"/>
        <v>1</v>
      </c>
      <c r="H348" s="7">
        <f t="shared" si="37"/>
        <v>0</v>
      </c>
      <c r="I348" s="7">
        <f t="shared" si="38"/>
        <v>1</v>
      </c>
      <c r="J348" s="7">
        <f t="shared" si="38"/>
        <v>0</v>
      </c>
      <c r="K348" s="7">
        <f t="shared" si="38"/>
        <v>0</v>
      </c>
      <c r="L348" s="11">
        <v>6184.2993999999999</v>
      </c>
      <c r="M348" s="12" cm="1">
        <f t="array" ref="M348">IF(($R$34+SUMPRODUCT(TRANSPOSE(D348:K348),$R$35:$R$42))&lt;0,"-",$R$34+SUMPRODUCT(TRANSPOSE(D348:K348),$R$35:$R$42))</f>
        <v>7110.8574488153863</v>
      </c>
      <c r="N348" s="13" t="str">
        <f t="shared" si="35"/>
        <v>-</v>
      </c>
      <c r="O348" s="13">
        <f t="shared" si="36"/>
        <v>19235.062025850508</v>
      </c>
    </row>
    <row r="349" spans="1:15" x14ac:dyDescent="0.25">
      <c r="A349" s="1" t="s">
        <v>3</v>
      </c>
      <c r="B349" s="1" t="s">
        <v>4</v>
      </c>
      <c r="C349" s="1" t="s">
        <v>5</v>
      </c>
      <c r="D349" s="1">
        <v>33</v>
      </c>
      <c r="E349" s="1">
        <v>35.75</v>
      </c>
      <c r="F349" s="1">
        <v>2</v>
      </c>
      <c r="G349" s="7">
        <f t="shared" si="34"/>
        <v>0</v>
      </c>
      <c r="H349" s="7">
        <f t="shared" si="37"/>
        <v>0</v>
      </c>
      <c r="I349" s="7">
        <f t="shared" si="38"/>
        <v>1</v>
      </c>
      <c r="J349" s="7">
        <f t="shared" si="38"/>
        <v>0</v>
      </c>
      <c r="K349" s="7">
        <f t="shared" si="38"/>
        <v>0</v>
      </c>
      <c r="L349" s="11">
        <v>4889.9994999999999</v>
      </c>
      <c r="M349" s="12" cm="1">
        <f t="array" ref="M349">IF(($R$34+SUMPRODUCT(TRANSPOSE(D349:K349),$R$35:$R$42))&lt;0,"-",$R$34+SUMPRODUCT(TRANSPOSE(D349:K349),$R$35:$R$42))</f>
        <v>8448.5517056681456</v>
      </c>
      <c r="N349" s="13" t="str">
        <f t="shared" si="35"/>
        <v>-</v>
      </c>
      <c r="O349" s="13">
        <f t="shared" si="36"/>
        <v>20572.756282703267</v>
      </c>
    </row>
    <row r="350" spans="1:15" x14ac:dyDescent="0.25">
      <c r="A350" s="1" t="s">
        <v>3</v>
      </c>
      <c r="B350" s="1" t="s">
        <v>4</v>
      </c>
      <c r="C350" s="1" t="s">
        <v>7</v>
      </c>
      <c r="D350" s="1">
        <v>46</v>
      </c>
      <c r="E350" s="1">
        <v>33.344999999999999</v>
      </c>
      <c r="F350" s="1">
        <v>1</v>
      </c>
      <c r="G350" s="7">
        <f t="shared" si="34"/>
        <v>0</v>
      </c>
      <c r="H350" s="7">
        <f t="shared" si="37"/>
        <v>0</v>
      </c>
      <c r="I350" s="7">
        <f t="shared" si="38"/>
        <v>0</v>
      </c>
      <c r="J350" s="7">
        <f t="shared" si="38"/>
        <v>0</v>
      </c>
      <c r="K350" s="7">
        <f t="shared" si="38"/>
        <v>1</v>
      </c>
      <c r="L350" s="11">
        <v>8334.4575499999992</v>
      </c>
      <c r="M350" s="12" cm="1">
        <f t="array" ref="M350">IF(($R$34+SUMPRODUCT(TRANSPOSE(D350:K350),$R$35:$R$42))&lt;0,"-",$R$34+SUMPRODUCT(TRANSPOSE(D350:K350),$R$35:$R$42))</f>
        <v>11531.445536958287</v>
      </c>
      <c r="N350" s="13" t="str">
        <f t="shared" si="35"/>
        <v>-</v>
      </c>
      <c r="O350" s="13">
        <f t="shared" si="36"/>
        <v>23655.650113993412</v>
      </c>
    </row>
    <row r="351" spans="1:15" x14ac:dyDescent="0.25">
      <c r="A351" s="1" t="s">
        <v>0</v>
      </c>
      <c r="B351" s="1" t="s">
        <v>4</v>
      </c>
      <c r="C351" s="1" t="s">
        <v>5</v>
      </c>
      <c r="D351" s="1">
        <v>36</v>
      </c>
      <c r="E351" s="1">
        <v>29.92</v>
      </c>
      <c r="F351" s="1">
        <v>1</v>
      </c>
      <c r="G351" s="7">
        <f t="shared" si="34"/>
        <v>1</v>
      </c>
      <c r="H351" s="7">
        <f t="shared" si="37"/>
        <v>0</v>
      </c>
      <c r="I351" s="7">
        <f t="shared" si="38"/>
        <v>1</v>
      </c>
      <c r="J351" s="7">
        <f t="shared" si="38"/>
        <v>0</v>
      </c>
      <c r="K351" s="7">
        <f t="shared" si="38"/>
        <v>0</v>
      </c>
      <c r="L351" s="11">
        <v>5478.0367999999999</v>
      </c>
      <c r="M351" s="12" cm="1">
        <f t="array" ref="M351">IF(($R$34+SUMPRODUCT(TRANSPOSE(D351:K351),$R$35:$R$42))&lt;0,"-",$R$34+SUMPRODUCT(TRANSPOSE(D351:K351),$R$35:$R$42))</f>
        <v>6897.4367429749691</v>
      </c>
      <c r="N351" s="13" t="str">
        <f t="shared" si="35"/>
        <v>-</v>
      </c>
      <c r="O351" s="13">
        <f t="shared" si="36"/>
        <v>19021.641320010094</v>
      </c>
    </row>
    <row r="352" spans="1:15" x14ac:dyDescent="0.25">
      <c r="A352" s="1" t="s">
        <v>3</v>
      </c>
      <c r="B352" s="1" t="s">
        <v>4</v>
      </c>
      <c r="C352" s="1" t="s">
        <v>6</v>
      </c>
      <c r="D352" s="1">
        <v>19</v>
      </c>
      <c r="E352" s="1">
        <v>27.835000000000001</v>
      </c>
      <c r="F352" s="1">
        <v>0</v>
      </c>
      <c r="G352" s="7">
        <f t="shared" si="34"/>
        <v>0</v>
      </c>
      <c r="H352" s="7">
        <f t="shared" si="37"/>
        <v>0</v>
      </c>
      <c r="I352" s="7">
        <f t="shared" si="38"/>
        <v>0</v>
      </c>
      <c r="J352" s="7">
        <f t="shared" si="38"/>
        <v>1</v>
      </c>
      <c r="K352" s="7">
        <f t="shared" si="38"/>
        <v>0</v>
      </c>
      <c r="L352" s="11">
        <v>1635.7336499999999</v>
      </c>
      <c r="M352" s="12" cm="1">
        <f t="array" ref="M352">IF(($R$34+SUMPRODUCT(TRANSPOSE(D352:K352),$R$35:$R$42))&lt;0,"-",$R$34+SUMPRODUCT(TRANSPOSE(D352:K352),$R$35:$R$42))</f>
        <v>1898.9036444803878</v>
      </c>
      <c r="N352" s="13" t="str">
        <f t="shared" si="35"/>
        <v>-</v>
      </c>
      <c r="O352" s="13">
        <f t="shared" si="36"/>
        <v>14023.108221515511</v>
      </c>
    </row>
    <row r="353" spans="1:15" x14ac:dyDescent="0.25">
      <c r="A353" s="1" t="s">
        <v>0</v>
      </c>
      <c r="B353" s="1" t="s">
        <v>4</v>
      </c>
      <c r="C353" s="1" t="s">
        <v>6</v>
      </c>
      <c r="D353" s="1">
        <v>57</v>
      </c>
      <c r="E353" s="1">
        <v>23.18</v>
      </c>
      <c r="F353" s="1">
        <v>0</v>
      </c>
      <c r="G353" s="7">
        <f t="shared" si="34"/>
        <v>1</v>
      </c>
      <c r="H353" s="7">
        <f t="shared" si="37"/>
        <v>0</v>
      </c>
      <c r="I353" s="7">
        <f t="shared" si="38"/>
        <v>0</v>
      </c>
      <c r="J353" s="7">
        <f t="shared" si="38"/>
        <v>1</v>
      </c>
      <c r="K353" s="7">
        <f t="shared" si="38"/>
        <v>0</v>
      </c>
      <c r="L353" s="11">
        <v>11830.6072</v>
      </c>
      <c r="M353" s="12" cm="1">
        <f t="array" ref="M353">IF(($R$34+SUMPRODUCT(TRANSPOSE(D353:K353),$R$35:$R$42))&lt;0,"-",$R$34+SUMPRODUCT(TRANSPOSE(D353:K353),$R$35:$R$42))</f>
        <v>10211.813873736257</v>
      </c>
      <c r="N353" s="13" t="str">
        <f t="shared" si="35"/>
        <v>-</v>
      </c>
      <c r="O353" s="13">
        <f t="shared" si="36"/>
        <v>22336.018450771378</v>
      </c>
    </row>
    <row r="354" spans="1:15" x14ac:dyDescent="0.25">
      <c r="A354" s="1" t="s">
        <v>0</v>
      </c>
      <c r="B354" s="1" t="s">
        <v>4</v>
      </c>
      <c r="C354" s="1" t="s">
        <v>2</v>
      </c>
      <c r="D354" s="1">
        <v>50</v>
      </c>
      <c r="E354" s="1">
        <v>25.6</v>
      </c>
      <c r="F354" s="1">
        <v>0</v>
      </c>
      <c r="G354" s="7">
        <f t="shared" si="34"/>
        <v>1</v>
      </c>
      <c r="H354" s="7">
        <f t="shared" si="37"/>
        <v>0</v>
      </c>
      <c r="I354" s="7">
        <f t="shared" si="38"/>
        <v>0</v>
      </c>
      <c r="J354" s="7">
        <f t="shared" si="38"/>
        <v>0</v>
      </c>
      <c r="K354" s="7">
        <f t="shared" si="38"/>
        <v>0</v>
      </c>
      <c r="L354" s="11">
        <v>8932.0840000000007</v>
      </c>
      <c r="M354" s="12" cm="1">
        <f t="array" ref="M354">IF(($R$34+SUMPRODUCT(TRANSPOSE(D354:K354),$R$35:$R$42))&lt;0,"-",$R$34+SUMPRODUCT(TRANSPOSE(D354:K354),$R$35:$R$42))</f>
        <v>8627.5804718368636</v>
      </c>
      <c r="N354" s="13" t="str">
        <f t="shared" si="35"/>
        <v>-</v>
      </c>
      <c r="O354" s="13">
        <f t="shared" si="36"/>
        <v>20751.785048871985</v>
      </c>
    </row>
    <row r="355" spans="1:15" x14ac:dyDescent="0.25">
      <c r="A355" s="1" t="s">
        <v>0</v>
      </c>
      <c r="B355" s="1" t="s">
        <v>4</v>
      </c>
      <c r="C355" s="1" t="s">
        <v>2</v>
      </c>
      <c r="D355" s="1">
        <v>30</v>
      </c>
      <c r="E355" s="1">
        <v>27.7</v>
      </c>
      <c r="F355" s="1">
        <v>0</v>
      </c>
      <c r="G355" s="7">
        <f t="shared" si="34"/>
        <v>1</v>
      </c>
      <c r="H355" s="7">
        <f t="shared" si="37"/>
        <v>0</v>
      </c>
      <c r="I355" s="7">
        <f t="shared" si="38"/>
        <v>0</v>
      </c>
      <c r="J355" s="7">
        <f t="shared" si="38"/>
        <v>0</v>
      </c>
      <c r="K355" s="7">
        <f t="shared" si="38"/>
        <v>0</v>
      </c>
      <c r="L355" s="11">
        <v>3554.203</v>
      </c>
      <c r="M355" s="12" cm="1">
        <f t="array" ref="M355">IF(($R$34+SUMPRODUCT(TRANSPOSE(D355:K355),$R$35:$R$42))&lt;0,"-",$R$34+SUMPRODUCT(TRANSPOSE(D355:K355),$R$35:$R$42))</f>
        <v>4202.7596736726664</v>
      </c>
      <c r="N355" s="13" t="str">
        <f t="shared" si="35"/>
        <v>-</v>
      </c>
      <c r="O355" s="13">
        <f t="shared" si="36"/>
        <v>16326.96425070779</v>
      </c>
    </row>
    <row r="356" spans="1:15" x14ac:dyDescent="0.25">
      <c r="A356" s="1" t="s">
        <v>3</v>
      </c>
      <c r="B356" s="1" t="s">
        <v>4</v>
      </c>
      <c r="C356" s="1" t="s">
        <v>7</v>
      </c>
      <c r="D356" s="1">
        <v>33</v>
      </c>
      <c r="E356" s="1">
        <v>35.244999999999997</v>
      </c>
      <c r="F356" s="1">
        <v>0</v>
      </c>
      <c r="G356" s="7">
        <f t="shared" si="34"/>
        <v>0</v>
      </c>
      <c r="H356" s="7">
        <f t="shared" si="37"/>
        <v>0</v>
      </c>
      <c r="I356" s="7">
        <f t="shared" si="38"/>
        <v>0</v>
      </c>
      <c r="J356" s="7">
        <f t="shared" si="38"/>
        <v>0</v>
      </c>
      <c r="K356" s="7">
        <f t="shared" si="38"/>
        <v>1</v>
      </c>
      <c r="L356" s="11">
        <v>12404.8791</v>
      </c>
      <c r="M356" s="12" cm="1">
        <f t="array" ref="M356">IF(($R$34+SUMPRODUCT(TRANSPOSE(D356:K356),$R$35:$R$42))&lt;0,"-",$R$34+SUMPRODUCT(TRANSPOSE(D356:K356),$R$35:$R$42))</f>
        <v>8361.2799706842234</v>
      </c>
      <c r="N356" s="13" t="str">
        <f t="shared" si="35"/>
        <v>-</v>
      </c>
      <c r="O356" s="13">
        <f t="shared" si="36"/>
        <v>20485.484547719345</v>
      </c>
    </row>
    <row r="357" spans="1:15" x14ac:dyDescent="0.25">
      <c r="A357" s="1" t="s">
        <v>0</v>
      </c>
      <c r="B357" s="1" t="s">
        <v>4</v>
      </c>
      <c r="C357" s="1" t="s">
        <v>5</v>
      </c>
      <c r="D357" s="1">
        <v>18</v>
      </c>
      <c r="E357" s="1">
        <v>38.28</v>
      </c>
      <c r="F357" s="1">
        <v>0</v>
      </c>
      <c r="G357" s="7">
        <f t="shared" si="34"/>
        <v>1</v>
      </c>
      <c r="H357" s="7">
        <f t="shared" si="37"/>
        <v>0</v>
      </c>
      <c r="I357" s="7">
        <f t="shared" si="38"/>
        <v>1</v>
      </c>
      <c r="J357" s="7">
        <f t="shared" si="38"/>
        <v>0</v>
      </c>
      <c r="K357" s="7">
        <f t="shared" si="38"/>
        <v>0</v>
      </c>
      <c r="L357" s="11">
        <v>14133.03775</v>
      </c>
      <c r="M357" s="12" cm="1">
        <f t="array" ref="M357">IF(($R$34+SUMPRODUCT(TRANSPOSE(D357:K357),$R$35:$R$42))&lt;0,"-",$R$34+SUMPRODUCT(TRANSPOSE(D357:K357),$R$35:$R$42))</f>
        <v>4634.1791243401931</v>
      </c>
      <c r="N357" s="13" t="str">
        <f t="shared" si="35"/>
        <v>-</v>
      </c>
      <c r="O357" s="13">
        <f t="shared" si="36"/>
        <v>16758.383701375315</v>
      </c>
    </row>
    <row r="358" spans="1:15" x14ac:dyDescent="0.25">
      <c r="A358" s="1" t="s">
        <v>3</v>
      </c>
      <c r="B358" s="1" t="s">
        <v>4</v>
      </c>
      <c r="C358" s="1" t="s">
        <v>2</v>
      </c>
      <c r="D358" s="1">
        <v>46</v>
      </c>
      <c r="E358" s="1">
        <v>27.6</v>
      </c>
      <c r="F358" s="1">
        <v>0</v>
      </c>
      <c r="G358" s="7">
        <f t="shared" si="34"/>
        <v>0</v>
      </c>
      <c r="H358" s="7">
        <f t="shared" si="37"/>
        <v>0</v>
      </c>
      <c r="I358" s="7">
        <f t="shared" si="38"/>
        <v>0</v>
      </c>
      <c r="J358" s="7">
        <f t="shared" si="38"/>
        <v>0</v>
      </c>
      <c r="K358" s="7">
        <f t="shared" si="38"/>
        <v>0</v>
      </c>
      <c r="L358" s="11">
        <v>24603.04837</v>
      </c>
      <c r="M358" s="12" cm="1">
        <f t="array" ref="M358">IF(($R$34+SUMPRODUCT(TRANSPOSE(D358:K358),$R$35:$R$42))&lt;0,"-",$R$34+SUMPRODUCT(TRANSPOSE(D358:K358),$R$35:$R$42))</f>
        <v>8147.2276095140478</v>
      </c>
      <c r="N358" s="13" t="str">
        <f t="shared" si="35"/>
        <v>-</v>
      </c>
      <c r="O358" s="13">
        <f t="shared" si="36"/>
        <v>20271.432186549173</v>
      </c>
    </row>
    <row r="359" spans="1:15" x14ac:dyDescent="0.25">
      <c r="A359" s="1" t="s">
        <v>3</v>
      </c>
      <c r="B359" s="1" t="s">
        <v>4</v>
      </c>
      <c r="C359" s="1" t="s">
        <v>5</v>
      </c>
      <c r="D359" s="1">
        <v>46</v>
      </c>
      <c r="E359" s="1">
        <v>43.89</v>
      </c>
      <c r="F359" s="1">
        <v>3</v>
      </c>
      <c r="G359" s="7">
        <f t="shared" si="34"/>
        <v>0</v>
      </c>
      <c r="H359" s="7">
        <f t="shared" si="37"/>
        <v>0</v>
      </c>
      <c r="I359" s="7">
        <f t="shared" si="38"/>
        <v>1</v>
      </c>
      <c r="J359" s="7">
        <f t="shared" si="38"/>
        <v>0</v>
      </c>
      <c r="K359" s="7">
        <f t="shared" si="38"/>
        <v>0</v>
      </c>
      <c r="L359" s="11">
        <v>8944.1151000000009</v>
      </c>
      <c r="M359" s="12" cm="1">
        <f t="array" ref="M359">IF(($R$34+SUMPRODUCT(TRANSPOSE(D359:K359),$R$35:$R$42))&lt;0,"-",$R$34+SUMPRODUCT(TRANSPOSE(D359:K359),$R$35:$R$42))</f>
        <v>15024.21954619504</v>
      </c>
      <c r="N359" s="13">
        <f t="shared" si="35"/>
        <v>2900.0149691599163</v>
      </c>
      <c r="O359" s="13">
        <f t="shared" si="36"/>
        <v>27148.424123230165</v>
      </c>
    </row>
    <row r="360" spans="1:15" x14ac:dyDescent="0.25">
      <c r="A360" s="1" t="s">
        <v>3</v>
      </c>
      <c r="B360" s="1" t="s">
        <v>4</v>
      </c>
      <c r="C360" s="1" t="s">
        <v>6</v>
      </c>
      <c r="D360" s="1">
        <v>47</v>
      </c>
      <c r="E360" s="1">
        <v>29.83</v>
      </c>
      <c r="F360" s="1">
        <v>3</v>
      </c>
      <c r="G360" s="7">
        <f t="shared" si="34"/>
        <v>0</v>
      </c>
      <c r="H360" s="7">
        <f t="shared" si="37"/>
        <v>0</v>
      </c>
      <c r="I360" s="7">
        <f t="shared" si="38"/>
        <v>0</v>
      </c>
      <c r="J360" s="7">
        <f t="shared" si="38"/>
        <v>1</v>
      </c>
      <c r="K360" s="7">
        <f t="shared" si="38"/>
        <v>0</v>
      </c>
      <c r="L360" s="11">
        <v>9620.3307000000004</v>
      </c>
      <c r="M360" s="12" cm="1">
        <f t="array" ref="M360">IF(($R$34+SUMPRODUCT(TRANSPOSE(D360:K360),$R$35:$R$42))&lt;0,"-",$R$34+SUMPRODUCT(TRANSPOSE(D360:K360),$R$35:$R$42))</f>
        <v>11194.074090927155</v>
      </c>
      <c r="N360" s="13" t="str">
        <f t="shared" si="35"/>
        <v>-</v>
      </c>
      <c r="O360" s="13">
        <f t="shared" si="36"/>
        <v>23318.27866796228</v>
      </c>
    </row>
    <row r="361" spans="1:15" x14ac:dyDescent="0.25">
      <c r="A361" s="1" t="s">
        <v>3</v>
      </c>
      <c r="B361" s="1" t="s">
        <v>4</v>
      </c>
      <c r="C361" s="1" t="s">
        <v>5</v>
      </c>
      <c r="D361" s="1">
        <v>23</v>
      </c>
      <c r="E361" s="1">
        <v>41.91</v>
      </c>
      <c r="F361" s="1">
        <v>0</v>
      </c>
      <c r="G361" s="7">
        <f t="shared" si="34"/>
        <v>0</v>
      </c>
      <c r="H361" s="7">
        <f t="shared" si="37"/>
        <v>0</v>
      </c>
      <c r="I361" s="7">
        <f t="shared" si="38"/>
        <v>1</v>
      </c>
      <c r="J361" s="7">
        <f t="shared" si="38"/>
        <v>0</v>
      </c>
      <c r="K361" s="7">
        <f t="shared" si="38"/>
        <v>0</v>
      </c>
      <c r="L361" s="11">
        <v>1837.2819</v>
      </c>
      <c r="M361" s="12" cm="1">
        <f t="array" ref="M361">IF(($R$34+SUMPRODUCT(TRANSPOSE(D361:K361),$R$35:$R$42))&lt;0,"-",$R$34+SUMPRODUCT(TRANSPOSE(D361:K361),$R$35:$R$42))</f>
        <v>7018.4187642391771</v>
      </c>
      <c r="N361" s="13" t="str">
        <f t="shared" si="35"/>
        <v>-</v>
      </c>
      <c r="O361" s="13">
        <f t="shared" si="36"/>
        <v>19142.623341274302</v>
      </c>
    </row>
    <row r="362" spans="1:15" x14ac:dyDescent="0.25">
      <c r="A362" s="1" t="s">
        <v>0</v>
      </c>
      <c r="B362" s="1" t="s">
        <v>4</v>
      </c>
      <c r="C362" s="1" t="s">
        <v>5</v>
      </c>
      <c r="D362" s="1">
        <v>18</v>
      </c>
      <c r="E362" s="1">
        <v>20.79</v>
      </c>
      <c r="F362" s="1">
        <v>0</v>
      </c>
      <c r="G362" s="7">
        <f t="shared" si="34"/>
        <v>1</v>
      </c>
      <c r="H362" s="7">
        <f t="shared" si="37"/>
        <v>0</v>
      </c>
      <c r="I362" s="7">
        <f t="shared" si="38"/>
        <v>1</v>
      </c>
      <c r="J362" s="7">
        <f t="shared" si="38"/>
        <v>0</v>
      </c>
      <c r="K362" s="7">
        <f t="shared" si="38"/>
        <v>0</v>
      </c>
      <c r="L362" s="11">
        <v>1607.5101</v>
      </c>
      <c r="M362" s="12" t="str" cm="1">
        <f t="array" ref="M362">IF(($R$34+SUMPRODUCT(TRANSPOSE(D362:K362),$R$35:$R$42))&lt;0,"-",$R$34+SUMPRODUCT(TRANSPOSE(D362:K362),$R$35:$R$42))</f>
        <v>-</v>
      </c>
      <c r="N362" s="13" t="str">
        <f t="shared" si="35"/>
        <v>-</v>
      </c>
      <c r="O362" s="13" t="str">
        <f t="shared" si="36"/>
        <v>-</v>
      </c>
    </row>
    <row r="363" spans="1:15" x14ac:dyDescent="0.25">
      <c r="A363" s="1" t="s">
        <v>0</v>
      </c>
      <c r="B363" s="1" t="s">
        <v>4</v>
      </c>
      <c r="C363" s="1" t="s">
        <v>7</v>
      </c>
      <c r="D363" s="1">
        <v>48</v>
      </c>
      <c r="E363" s="1">
        <v>32.299999999999997</v>
      </c>
      <c r="F363" s="1">
        <v>2</v>
      </c>
      <c r="G363" s="7">
        <f t="shared" si="34"/>
        <v>1</v>
      </c>
      <c r="H363" s="7">
        <f t="shared" si="37"/>
        <v>0</v>
      </c>
      <c r="I363" s="7">
        <f t="shared" si="38"/>
        <v>0</v>
      </c>
      <c r="J363" s="7">
        <f t="shared" si="38"/>
        <v>0</v>
      </c>
      <c r="K363" s="7">
        <f t="shared" si="38"/>
        <v>1</v>
      </c>
      <c r="L363" s="11">
        <v>10043.249</v>
      </c>
      <c r="M363" s="12" cm="1">
        <f t="array" ref="M363">IF(($R$34+SUMPRODUCT(TRANSPOSE(D363:K363),$R$35:$R$42))&lt;0,"-",$R$34+SUMPRODUCT(TRANSPOSE(D363:K363),$R$35:$R$42))</f>
        <v>12297.515987553892</v>
      </c>
      <c r="N363" s="13">
        <f t="shared" si="35"/>
        <v>173.31141051876875</v>
      </c>
      <c r="O363" s="13">
        <f t="shared" si="36"/>
        <v>24421.720564589014</v>
      </c>
    </row>
    <row r="364" spans="1:15" x14ac:dyDescent="0.25">
      <c r="A364" s="1" t="s">
        <v>3</v>
      </c>
      <c r="B364" s="1" t="s">
        <v>4</v>
      </c>
      <c r="C364" s="1" t="s">
        <v>2</v>
      </c>
      <c r="D364" s="1">
        <v>35</v>
      </c>
      <c r="E364" s="1">
        <v>30.5</v>
      </c>
      <c r="F364" s="1">
        <v>1</v>
      </c>
      <c r="G364" s="7">
        <f t="shared" si="34"/>
        <v>0</v>
      </c>
      <c r="H364" s="7">
        <f t="shared" si="37"/>
        <v>0</v>
      </c>
      <c r="I364" s="7">
        <f t="shared" si="38"/>
        <v>0</v>
      </c>
      <c r="J364" s="7">
        <f t="shared" si="38"/>
        <v>0</v>
      </c>
      <c r="K364" s="7">
        <f t="shared" si="38"/>
        <v>0</v>
      </c>
      <c r="L364" s="11">
        <v>4751.07</v>
      </c>
      <c r="M364" s="12" cm="1">
        <f t="array" ref="M364">IF(($R$34+SUMPRODUCT(TRANSPOSE(D364:K364),$R$35:$R$42))&lt;0,"-",$R$34+SUMPRODUCT(TRANSPOSE(D364:K364),$R$35:$R$42))</f>
        <v>6780.9692922237882</v>
      </c>
      <c r="N364" s="13" t="str">
        <f t="shared" si="35"/>
        <v>-</v>
      </c>
      <c r="O364" s="13">
        <f t="shared" si="36"/>
        <v>18905.173869258913</v>
      </c>
    </row>
    <row r="365" spans="1:15" x14ac:dyDescent="0.25">
      <c r="A365" s="1" t="s">
        <v>0</v>
      </c>
      <c r="B365" s="1" t="s">
        <v>1</v>
      </c>
      <c r="C365" s="1" t="s">
        <v>2</v>
      </c>
      <c r="D365" s="1">
        <v>19</v>
      </c>
      <c r="E365" s="1">
        <v>21.7</v>
      </c>
      <c r="F365" s="1">
        <v>0</v>
      </c>
      <c r="G365" s="7">
        <f t="shared" si="34"/>
        <v>1</v>
      </c>
      <c r="H365" s="7">
        <f t="shared" si="37"/>
        <v>1</v>
      </c>
      <c r="I365" s="7">
        <f t="shared" si="38"/>
        <v>0</v>
      </c>
      <c r="J365" s="7">
        <f t="shared" si="38"/>
        <v>0</v>
      </c>
      <c r="K365" s="7">
        <f t="shared" si="38"/>
        <v>0</v>
      </c>
      <c r="L365" s="11">
        <v>13844.505999999999</v>
      </c>
      <c r="M365" s="12" cm="1">
        <f t="array" ref="M365">IF(($R$34+SUMPRODUCT(TRANSPOSE(D365:K365),$R$35:$R$42))&lt;0,"-",$R$34+SUMPRODUCT(TRANSPOSE(D365:K365),$R$35:$R$42))</f>
        <v>23190.713616009598</v>
      </c>
      <c r="N365" s="13">
        <f t="shared" si="35"/>
        <v>11066.509038974475</v>
      </c>
      <c r="O365" s="13">
        <f t="shared" si="36"/>
        <v>35314.918193044723</v>
      </c>
    </row>
    <row r="366" spans="1:15" x14ac:dyDescent="0.25">
      <c r="A366" s="1" t="s">
        <v>0</v>
      </c>
      <c r="B366" s="1" t="s">
        <v>4</v>
      </c>
      <c r="C366" s="1" t="s">
        <v>2</v>
      </c>
      <c r="D366" s="1">
        <v>21</v>
      </c>
      <c r="E366" s="1">
        <v>26.4</v>
      </c>
      <c r="F366" s="1">
        <v>1</v>
      </c>
      <c r="G366" s="7">
        <f t="shared" si="34"/>
        <v>1</v>
      </c>
      <c r="H366" s="7">
        <f t="shared" si="37"/>
        <v>0</v>
      </c>
      <c r="I366" s="7">
        <f t="shared" si="38"/>
        <v>0</v>
      </c>
      <c r="J366" s="7">
        <f t="shared" si="38"/>
        <v>0</v>
      </c>
      <c r="K366" s="7">
        <f t="shared" si="38"/>
        <v>0</v>
      </c>
      <c r="L366" s="11">
        <v>2597.779</v>
      </c>
      <c r="M366" s="12" cm="1">
        <f t="array" ref="M366">IF(($R$34+SUMPRODUCT(TRANSPOSE(D366:K366),$R$35:$R$42))&lt;0,"-",$R$34+SUMPRODUCT(TRANSPOSE(D366:K366),$R$35:$R$42))</f>
        <v>1925.6015562915763</v>
      </c>
      <c r="N366" s="13" t="str">
        <f t="shared" si="35"/>
        <v>-</v>
      </c>
      <c r="O366" s="13">
        <f t="shared" si="36"/>
        <v>14049.8061333267</v>
      </c>
    </row>
    <row r="367" spans="1:15" x14ac:dyDescent="0.25">
      <c r="A367" s="1" t="s">
        <v>0</v>
      </c>
      <c r="B367" s="1" t="s">
        <v>4</v>
      </c>
      <c r="C367" s="1" t="s">
        <v>5</v>
      </c>
      <c r="D367" s="1">
        <v>21</v>
      </c>
      <c r="E367" s="1">
        <v>21.89</v>
      </c>
      <c r="F367" s="1">
        <v>2</v>
      </c>
      <c r="G367" s="7">
        <f t="shared" si="34"/>
        <v>1</v>
      </c>
      <c r="H367" s="7">
        <f t="shared" si="37"/>
        <v>0</v>
      </c>
      <c r="I367" s="7">
        <f t="shared" si="38"/>
        <v>1</v>
      </c>
      <c r="J367" s="7">
        <f t="shared" si="38"/>
        <v>0</v>
      </c>
      <c r="K367" s="7">
        <f t="shared" si="38"/>
        <v>0</v>
      </c>
      <c r="L367" s="11">
        <v>3180.5101</v>
      </c>
      <c r="M367" s="12" cm="1">
        <f t="array" ref="M367">IF(($R$34+SUMPRODUCT(TRANSPOSE(D367:K367),$R$35:$R$42))&lt;0,"-",$R$34+SUMPRODUCT(TRANSPOSE(D367:K367),$R$35:$R$42))</f>
        <v>796.3685675688339</v>
      </c>
      <c r="N367" s="13" t="str">
        <f t="shared" si="35"/>
        <v>-</v>
      </c>
      <c r="O367" s="13">
        <f t="shared" si="36"/>
        <v>12920.573144603957</v>
      </c>
    </row>
    <row r="368" spans="1:15" x14ac:dyDescent="0.25">
      <c r="A368" s="1" t="s">
        <v>0</v>
      </c>
      <c r="B368" s="1" t="s">
        <v>4</v>
      </c>
      <c r="C368" s="1" t="s">
        <v>7</v>
      </c>
      <c r="D368" s="1">
        <v>49</v>
      </c>
      <c r="E368" s="1">
        <v>30.78</v>
      </c>
      <c r="F368" s="1">
        <v>1</v>
      </c>
      <c r="G368" s="7">
        <f t="shared" si="34"/>
        <v>1</v>
      </c>
      <c r="H368" s="7">
        <f t="shared" si="37"/>
        <v>0</v>
      </c>
      <c r="I368" s="7">
        <f t="shared" si="38"/>
        <v>0</v>
      </c>
      <c r="J368" s="7">
        <f t="shared" si="38"/>
        <v>0</v>
      </c>
      <c r="K368" s="7">
        <f t="shared" si="38"/>
        <v>1</v>
      </c>
      <c r="L368" s="11">
        <v>9778.3472000000002</v>
      </c>
      <c r="M368" s="12" cm="1">
        <f t="array" ref="M368">IF(($R$34+SUMPRODUCT(TRANSPOSE(D368:K368),$R$35:$R$42))&lt;0,"-",$R$34+SUMPRODUCT(TRANSPOSE(D368:K368),$R$35:$R$42))</f>
        <v>11563.297745453634</v>
      </c>
      <c r="N368" s="13" t="str">
        <f t="shared" si="35"/>
        <v>-</v>
      </c>
      <c r="O368" s="13">
        <f t="shared" si="36"/>
        <v>23687.502322488755</v>
      </c>
    </row>
    <row r="369" spans="1:15" x14ac:dyDescent="0.25">
      <c r="A369" s="1" t="s">
        <v>0</v>
      </c>
      <c r="B369" s="1" t="s">
        <v>4</v>
      </c>
      <c r="C369" s="1" t="s">
        <v>7</v>
      </c>
      <c r="D369" s="1">
        <v>56</v>
      </c>
      <c r="E369" s="1">
        <v>32.299999999999997</v>
      </c>
      <c r="F369" s="1">
        <v>3</v>
      </c>
      <c r="G369" s="7">
        <f t="shared" si="34"/>
        <v>1</v>
      </c>
      <c r="H369" s="7">
        <f t="shared" si="37"/>
        <v>0</v>
      </c>
      <c r="I369" s="7">
        <f t="shared" si="38"/>
        <v>0</v>
      </c>
      <c r="J369" s="7">
        <f t="shared" si="38"/>
        <v>0</v>
      </c>
      <c r="K369" s="7">
        <f t="shared" si="38"/>
        <v>1</v>
      </c>
      <c r="L369" s="11">
        <v>13430.264999999999</v>
      </c>
      <c r="M369" s="12" cm="1">
        <f t="array" ref="M369">IF(($R$34+SUMPRODUCT(TRANSPOSE(D369:K369),$R$35:$R$42))&lt;0,"-",$R$34+SUMPRODUCT(TRANSPOSE(D369:K369),$R$35:$R$42))</f>
        <v>14827.86735300181</v>
      </c>
      <c r="N369" s="13">
        <f t="shared" si="35"/>
        <v>2703.6627759666862</v>
      </c>
      <c r="O369" s="13">
        <f t="shared" si="36"/>
        <v>26952.071930036931</v>
      </c>
    </row>
    <row r="370" spans="1:15" x14ac:dyDescent="0.25">
      <c r="A370" s="1" t="s">
        <v>0</v>
      </c>
      <c r="B370" s="1" t="s">
        <v>4</v>
      </c>
      <c r="C370" s="1" t="s">
        <v>6</v>
      </c>
      <c r="D370" s="1">
        <v>42</v>
      </c>
      <c r="E370" s="1">
        <v>24.984999999999999</v>
      </c>
      <c r="F370" s="1">
        <v>2</v>
      </c>
      <c r="G370" s="7">
        <f t="shared" si="34"/>
        <v>1</v>
      </c>
      <c r="H370" s="7">
        <f t="shared" si="37"/>
        <v>0</v>
      </c>
      <c r="I370" s="7">
        <f t="shared" si="38"/>
        <v>0</v>
      </c>
      <c r="J370" s="7">
        <f t="shared" si="38"/>
        <v>1</v>
      </c>
      <c r="K370" s="7">
        <f t="shared" si="38"/>
        <v>0</v>
      </c>
      <c r="L370" s="11">
        <v>8017.0611500000005</v>
      </c>
      <c r="M370" s="12" cm="1">
        <f t="array" ref="M370">IF(($R$34+SUMPRODUCT(TRANSPOSE(D370:K370),$R$35:$R$42))&lt;0,"-",$R$34+SUMPRODUCT(TRANSPOSE(D370:K370),$R$35:$R$42))</f>
        <v>7922.2138597418707</v>
      </c>
      <c r="N370" s="13" t="str">
        <f t="shared" si="35"/>
        <v>-</v>
      </c>
      <c r="O370" s="13">
        <f t="shared" si="36"/>
        <v>20046.418436776992</v>
      </c>
    </row>
    <row r="371" spans="1:15" x14ac:dyDescent="0.25">
      <c r="A371" s="1" t="s">
        <v>3</v>
      </c>
      <c r="B371" s="1" t="s">
        <v>4</v>
      </c>
      <c r="C371" s="1" t="s">
        <v>6</v>
      </c>
      <c r="D371" s="1">
        <v>44</v>
      </c>
      <c r="E371" s="1">
        <v>32.015000000000001</v>
      </c>
      <c r="F371" s="1">
        <v>2</v>
      </c>
      <c r="G371" s="7">
        <f t="shared" si="34"/>
        <v>0</v>
      </c>
      <c r="H371" s="7">
        <f t="shared" si="37"/>
        <v>0</v>
      </c>
      <c r="I371" s="7">
        <f t="shared" si="38"/>
        <v>0</v>
      </c>
      <c r="J371" s="7">
        <f t="shared" si="38"/>
        <v>1</v>
      </c>
      <c r="K371" s="7">
        <f t="shared" si="38"/>
        <v>0</v>
      </c>
      <c r="L371" s="11">
        <v>8116.2688500000004</v>
      </c>
      <c r="M371" s="12" cm="1">
        <f t="array" ref="M371">IF(($R$34+SUMPRODUCT(TRANSPOSE(D371:K371),$R$35:$R$42))&lt;0,"-",$R$34+SUMPRODUCT(TRANSPOSE(D371:K371),$R$35:$R$42))</f>
        <v>10689.142184305663</v>
      </c>
      <c r="N371" s="13" t="str">
        <f t="shared" si="35"/>
        <v>-</v>
      </c>
      <c r="O371" s="13">
        <f t="shared" si="36"/>
        <v>22813.346761340785</v>
      </c>
    </row>
    <row r="372" spans="1:15" x14ac:dyDescent="0.25">
      <c r="A372" s="1" t="s">
        <v>3</v>
      </c>
      <c r="B372" s="1" t="s">
        <v>4</v>
      </c>
      <c r="C372" s="1" t="s">
        <v>7</v>
      </c>
      <c r="D372" s="1">
        <v>18</v>
      </c>
      <c r="E372" s="1">
        <v>30.4</v>
      </c>
      <c r="F372" s="1">
        <v>3</v>
      </c>
      <c r="G372" s="7">
        <f t="shared" si="34"/>
        <v>0</v>
      </c>
      <c r="H372" s="7">
        <f t="shared" si="37"/>
        <v>0</v>
      </c>
      <c r="I372" s="7">
        <f t="shared" si="38"/>
        <v>0</v>
      </c>
      <c r="J372" s="7">
        <f t="shared" si="38"/>
        <v>0</v>
      </c>
      <c r="K372" s="7">
        <f t="shared" si="38"/>
        <v>1</v>
      </c>
      <c r="L372" s="11">
        <v>3481.8679999999999</v>
      </c>
      <c r="M372" s="12" cm="1">
        <f t="array" ref="M372">IF(($R$34+SUMPRODUCT(TRANSPOSE(D372:K372),$R$35:$R$42))&lt;0,"-",$R$34+SUMPRODUCT(TRANSPOSE(D372:K372),$R$35:$R$42))</f>
        <v>4291.5440353268823</v>
      </c>
      <c r="N372" s="13" t="str">
        <f t="shared" si="35"/>
        <v>-</v>
      </c>
      <c r="O372" s="13">
        <f t="shared" si="36"/>
        <v>16415.748612362004</v>
      </c>
    </row>
    <row r="373" spans="1:15" x14ac:dyDescent="0.25">
      <c r="A373" s="1" t="s">
        <v>0</v>
      </c>
      <c r="B373" s="1" t="s">
        <v>4</v>
      </c>
      <c r="C373" s="1" t="s">
        <v>6</v>
      </c>
      <c r="D373" s="1">
        <v>61</v>
      </c>
      <c r="E373" s="1">
        <v>21.09</v>
      </c>
      <c r="F373" s="1">
        <v>0</v>
      </c>
      <c r="G373" s="7">
        <f t="shared" si="34"/>
        <v>1</v>
      </c>
      <c r="H373" s="7">
        <f t="shared" si="37"/>
        <v>0</v>
      </c>
      <c r="I373" s="7">
        <f t="shared" si="38"/>
        <v>0</v>
      </c>
      <c r="J373" s="7">
        <f t="shared" si="38"/>
        <v>1</v>
      </c>
      <c r="K373" s="7">
        <f t="shared" si="38"/>
        <v>0</v>
      </c>
      <c r="L373" s="11">
        <v>13415.0381</v>
      </c>
      <c r="M373" s="12" cm="1">
        <f t="array" ref="M373">IF(($R$34+SUMPRODUCT(TRANSPOSE(D373:K373),$R$35:$R$42))&lt;0,"-",$R$34+SUMPRODUCT(TRANSPOSE(D373:K373),$R$35:$R$42))</f>
        <v>10530.324965838994</v>
      </c>
      <c r="N373" s="13" t="str">
        <f t="shared" si="35"/>
        <v>-</v>
      </c>
      <c r="O373" s="13">
        <f t="shared" si="36"/>
        <v>22654.529542874116</v>
      </c>
    </row>
    <row r="374" spans="1:15" x14ac:dyDescent="0.25">
      <c r="A374" s="1" t="s">
        <v>0</v>
      </c>
      <c r="B374" s="1" t="s">
        <v>4</v>
      </c>
      <c r="C374" s="1" t="s">
        <v>7</v>
      </c>
      <c r="D374" s="1">
        <v>57</v>
      </c>
      <c r="E374" s="1">
        <v>22.23</v>
      </c>
      <c r="F374" s="1">
        <v>0</v>
      </c>
      <c r="G374" s="7">
        <f t="shared" si="34"/>
        <v>1</v>
      </c>
      <c r="H374" s="7">
        <f t="shared" si="37"/>
        <v>0</v>
      </c>
      <c r="I374" s="7">
        <f t="shared" si="38"/>
        <v>0</v>
      </c>
      <c r="J374" s="7">
        <f t="shared" si="38"/>
        <v>0</v>
      </c>
      <c r="K374" s="7">
        <f t="shared" si="38"/>
        <v>1</v>
      </c>
      <c r="L374" s="11">
        <v>12029.286700000001</v>
      </c>
      <c r="M374" s="12" cm="1">
        <f t="array" ref="M374">IF(($R$34+SUMPRODUCT(TRANSPOSE(D374:K374),$R$35:$R$42))&lt;0,"-",$R$34+SUMPRODUCT(TRANSPOSE(D374:K374),$R$35:$R$42))</f>
        <v>10242.543992230603</v>
      </c>
      <c r="N374" s="13" t="str">
        <f t="shared" si="35"/>
        <v>-</v>
      </c>
      <c r="O374" s="13">
        <f t="shared" si="36"/>
        <v>22366.748569265728</v>
      </c>
    </row>
    <row r="375" spans="1:15" x14ac:dyDescent="0.25">
      <c r="A375" s="1" t="s">
        <v>0</v>
      </c>
      <c r="B375" s="1" t="s">
        <v>4</v>
      </c>
      <c r="C375" s="1" t="s">
        <v>7</v>
      </c>
      <c r="D375" s="1">
        <v>42</v>
      </c>
      <c r="E375" s="1">
        <v>33.155000000000001</v>
      </c>
      <c r="F375" s="1">
        <v>1</v>
      </c>
      <c r="G375" s="7">
        <f t="shared" si="34"/>
        <v>1</v>
      </c>
      <c r="H375" s="7">
        <f t="shared" si="37"/>
        <v>0</v>
      </c>
      <c r="I375" s="7">
        <f t="shared" si="38"/>
        <v>0</v>
      </c>
      <c r="J375" s="7">
        <f t="shared" si="38"/>
        <v>0</v>
      </c>
      <c r="K375" s="7">
        <f t="shared" si="38"/>
        <v>1</v>
      </c>
      <c r="L375" s="11">
        <v>7639.4174499999999</v>
      </c>
      <c r="M375" s="12" cm="1">
        <f t="array" ref="M375">IF(($R$34+SUMPRODUCT(TRANSPOSE(D375:K375),$R$35:$R$42))&lt;0,"-",$R$34+SUMPRODUCT(TRANSPOSE(D375:K375),$R$35:$R$42))</f>
        <v>10570.887730017941</v>
      </c>
      <c r="N375" s="13" t="str">
        <f t="shared" si="35"/>
        <v>-</v>
      </c>
      <c r="O375" s="13">
        <f t="shared" si="36"/>
        <v>22695.092307053063</v>
      </c>
    </row>
    <row r="376" spans="1:15" x14ac:dyDescent="0.25">
      <c r="A376" s="1" t="s">
        <v>3</v>
      </c>
      <c r="B376" s="1" t="s">
        <v>1</v>
      </c>
      <c r="C376" s="1" t="s">
        <v>2</v>
      </c>
      <c r="D376" s="1">
        <v>26</v>
      </c>
      <c r="E376" s="1">
        <v>32.9</v>
      </c>
      <c r="F376" s="1">
        <v>2</v>
      </c>
      <c r="G376" s="7">
        <f t="shared" si="34"/>
        <v>0</v>
      </c>
      <c r="H376" s="7">
        <f t="shared" si="37"/>
        <v>1</v>
      </c>
      <c r="I376" s="7">
        <f t="shared" si="38"/>
        <v>0</v>
      </c>
      <c r="J376" s="7">
        <f t="shared" si="38"/>
        <v>0</v>
      </c>
      <c r="K376" s="7">
        <f t="shared" si="38"/>
        <v>0</v>
      </c>
      <c r="L376" s="11">
        <v>36085.218999999997</v>
      </c>
      <c r="M376" s="12" cm="1">
        <f t="array" ref="M376">IF(($R$34+SUMPRODUCT(TRANSPOSE(D376:K376),$R$35:$R$42))&lt;0,"-",$R$34+SUMPRODUCT(TRANSPOSE(D376:K376),$R$35:$R$42))</f>
        <v>29607.361495115598</v>
      </c>
      <c r="N376" s="13">
        <f t="shared" si="35"/>
        <v>17483.156918080473</v>
      </c>
      <c r="O376" s="13">
        <f t="shared" si="36"/>
        <v>41731.566072150723</v>
      </c>
    </row>
    <row r="377" spans="1:15" x14ac:dyDescent="0.25">
      <c r="A377" s="1" t="s">
        <v>3</v>
      </c>
      <c r="B377" s="1" t="s">
        <v>4</v>
      </c>
      <c r="C377" s="1" t="s">
        <v>5</v>
      </c>
      <c r="D377" s="1">
        <v>20</v>
      </c>
      <c r="E377" s="1">
        <v>33.33</v>
      </c>
      <c r="F377" s="1">
        <v>0</v>
      </c>
      <c r="G377" s="7">
        <f t="shared" si="34"/>
        <v>0</v>
      </c>
      <c r="H377" s="7">
        <f t="shared" si="37"/>
        <v>0</v>
      </c>
      <c r="I377" s="7">
        <f t="shared" si="38"/>
        <v>1</v>
      </c>
      <c r="J377" s="7">
        <f t="shared" si="38"/>
        <v>0</v>
      </c>
      <c r="K377" s="7">
        <f t="shared" si="38"/>
        <v>0</v>
      </c>
      <c r="L377" s="11">
        <v>1391.5287000000001</v>
      </c>
      <c r="M377" s="12" cm="1">
        <f t="array" ref="M377">IF(($R$34+SUMPRODUCT(TRANSPOSE(D377:K377),$R$35:$R$42))&lt;0,"-",$R$34+SUMPRODUCT(TRANSPOSE(D377:K377),$R$35:$R$42))</f>
        <v>3337.5698746461239</v>
      </c>
      <c r="N377" s="13" t="str">
        <f t="shared" si="35"/>
        <v>-</v>
      </c>
      <c r="O377" s="13">
        <f t="shared" si="36"/>
        <v>15461.774451681247</v>
      </c>
    </row>
    <row r="378" spans="1:15" x14ac:dyDescent="0.25">
      <c r="A378" s="1" t="s">
        <v>0</v>
      </c>
      <c r="B378" s="1" t="s">
        <v>1</v>
      </c>
      <c r="C378" s="1" t="s">
        <v>6</v>
      </c>
      <c r="D378" s="1">
        <v>23</v>
      </c>
      <c r="E378" s="1">
        <v>28.31</v>
      </c>
      <c r="F378" s="1">
        <v>0</v>
      </c>
      <c r="G378" s="7">
        <f t="shared" si="34"/>
        <v>1</v>
      </c>
      <c r="H378" s="7">
        <f t="shared" si="37"/>
        <v>1</v>
      </c>
      <c r="I378" s="7">
        <f t="shared" si="38"/>
        <v>0</v>
      </c>
      <c r="J378" s="7">
        <f t="shared" si="38"/>
        <v>1</v>
      </c>
      <c r="K378" s="7">
        <f t="shared" si="38"/>
        <v>0</v>
      </c>
      <c r="L378" s="11">
        <v>18033.9679</v>
      </c>
      <c r="M378" s="12" cm="1">
        <f t="array" ref="M378">IF(($R$34+SUMPRODUCT(TRANSPOSE(D378:K378),$R$35:$R$42))&lt;0,"-",$R$34+SUMPRODUCT(TRANSPOSE(D378:K378),$R$35:$R$42))</f>
        <v>27067.294846402823</v>
      </c>
      <c r="N378" s="13">
        <f t="shared" si="35"/>
        <v>14943.0902693677</v>
      </c>
      <c r="O378" s="13">
        <f t="shared" si="36"/>
        <v>39191.499423437948</v>
      </c>
    </row>
    <row r="379" spans="1:15" x14ac:dyDescent="0.25">
      <c r="A379" s="1" t="s">
        <v>0</v>
      </c>
      <c r="B379" s="1" t="s">
        <v>1</v>
      </c>
      <c r="C379" s="1" t="s">
        <v>7</v>
      </c>
      <c r="D379" s="1">
        <v>39</v>
      </c>
      <c r="E379" s="1">
        <v>24.89</v>
      </c>
      <c r="F379" s="1">
        <v>3</v>
      </c>
      <c r="G379" s="7">
        <f t="shared" si="34"/>
        <v>1</v>
      </c>
      <c r="H379" s="7">
        <f t="shared" si="37"/>
        <v>1</v>
      </c>
      <c r="I379" s="7">
        <f t="shared" si="38"/>
        <v>0</v>
      </c>
      <c r="J379" s="7">
        <f t="shared" si="38"/>
        <v>0</v>
      </c>
      <c r="K379" s="7">
        <f t="shared" si="38"/>
        <v>1</v>
      </c>
      <c r="L379" s="11">
        <v>21659.930100000001</v>
      </c>
      <c r="M379" s="12" cm="1">
        <f t="array" ref="M379">IF(($R$34+SUMPRODUCT(TRANSPOSE(D379:K379),$R$35:$R$42))&lt;0,"-",$R$34+SUMPRODUCT(TRANSPOSE(D379:K379),$R$35:$R$42))</f>
        <v>31796.420410523366</v>
      </c>
      <c r="N379" s="13">
        <f t="shared" si="35"/>
        <v>19672.215833488241</v>
      </c>
      <c r="O379" s="13">
        <f t="shared" si="36"/>
        <v>43920.624987558491</v>
      </c>
    </row>
    <row r="380" spans="1:15" x14ac:dyDescent="0.25">
      <c r="A380" s="1" t="s">
        <v>3</v>
      </c>
      <c r="B380" s="1" t="s">
        <v>1</v>
      </c>
      <c r="C380" s="1" t="s">
        <v>5</v>
      </c>
      <c r="D380" s="1">
        <v>24</v>
      </c>
      <c r="E380" s="1">
        <v>40.15</v>
      </c>
      <c r="F380" s="1">
        <v>0</v>
      </c>
      <c r="G380" s="7">
        <f t="shared" si="34"/>
        <v>0</v>
      </c>
      <c r="H380" s="7">
        <f t="shared" si="37"/>
        <v>1</v>
      </c>
      <c r="I380" s="7">
        <f t="shared" si="38"/>
        <v>1</v>
      </c>
      <c r="J380" s="7">
        <f t="shared" si="38"/>
        <v>0</v>
      </c>
      <c r="K380" s="7">
        <f t="shared" si="38"/>
        <v>0</v>
      </c>
      <c r="L380" s="11">
        <v>38126.246500000001</v>
      </c>
      <c r="M380" s="12" cm="1">
        <f t="array" ref="M380">IF(($R$34+SUMPRODUCT(TRANSPOSE(D380:K380),$R$35:$R$42))&lt;0,"-",$R$34+SUMPRODUCT(TRANSPOSE(D380:K380),$R$35:$R$42))</f>
        <v>30526.829180334244</v>
      </c>
      <c r="N380" s="13">
        <f t="shared" si="35"/>
        <v>18402.624603299118</v>
      </c>
      <c r="O380" s="13">
        <f t="shared" si="36"/>
        <v>42651.033757369369</v>
      </c>
    </row>
    <row r="381" spans="1:15" x14ac:dyDescent="0.25">
      <c r="A381" s="1" t="s">
        <v>0</v>
      </c>
      <c r="B381" s="1" t="s">
        <v>4</v>
      </c>
      <c r="C381" s="1" t="s">
        <v>6</v>
      </c>
      <c r="D381" s="1">
        <v>64</v>
      </c>
      <c r="E381" s="1">
        <v>30.114999999999998</v>
      </c>
      <c r="F381" s="1">
        <v>3</v>
      </c>
      <c r="G381" s="7">
        <f t="shared" si="34"/>
        <v>1</v>
      </c>
      <c r="H381" s="7">
        <f t="shared" si="37"/>
        <v>0</v>
      </c>
      <c r="I381" s="7">
        <f t="shared" si="38"/>
        <v>0</v>
      </c>
      <c r="J381" s="7">
        <f t="shared" si="38"/>
        <v>1</v>
      </c>
      <c r="K381" s="7">
        <f t="shared" si="38"/>
        <v>0</v>
      </c>
      <c r="L381" s="11">
        <v>16455.707849999999</v>
      </c>
      <c r="M381" s="12" cm="1">
        <f t="array" ref="M381">IF(($R$34+SUMPRODUCT(TRANSPOSE(D381:K381),$R$35:$R$42))&lt;0,"-",$R$34+SUMPRODUCT(TRANSPOSE(D381:K381),$R$35:$R$42))</f>
        <v>15788.616577736266</v>
      </c>
      <c r="N381" s="13">
        <f t="shared" si="35"/>
        <v>3664.4120007011425</v>
      </c>
      <c r="O381" s="13">
        <f t="shared" si="36"/>
        <v>27912.821154771387</v>
      </c>
    </row>
    <row r="382" spans="1:15" x14ac:dyDescent="0.25">
      <c r="A382" s="1" t="s">
        <v>3</v>
      </c>
      <c r="B382" s="1" t="s">
        <v>4</v>
      </c>
      <c r="C382" s="1" t="s">
        <v>5</v>
      </c>
      <c r="D382" s="1">
        <v>62</v>
      </c>
      <c r="E382" s="1">
        <v>31.46</v>
      </c>
      <c r="F382" s="1">
        <v>1</v>
      </c>
      <c r="G382" s="7">
        <f t="shared" si="34"/>
        <v>0</v>
      </c>
      <c r="H382" s="7">
        <f t="shared" si="37"/>
        <v>0</v>
      </c>
      <c r="I382" s="7">
        <f t="shared" si="38"/>
        <v>1</v>
      </c>
      <c r="J382" s="7">
        <f t="shared" si="38"/>
        <v>0</v>
      </c>
      <c r="K382" s="7">
        <f t="shared" si="38"/>
        <v>0</v>
      </c>
      <c r="L382" s="11">
        <v>27000.98473</v>
      </c>
      <c r="M382" s="12" cm="1">
        <f t="array" ref="M382">IF(($R$34+SUMPRODUCT(TRANSPOSE(D382:K382),$R$35:$R$42))&lt;0,"-",$R$34+SUMPRODUCT(TRANSPOSE(D382:K382),$R$35:$R$42))</f>
        <v>13966.745468111603</v>
      </c>
      <c r="N382" s="13">
        <f t="shared" si="35"/>
        <v>1842.54089107648</v>
      </c>
      <c r="O382" s="13">
        <f t="shared" si="36"/>
        <v>26090.950045146725</v>
      </c>
    </row>
    <row r="383" spans="1:15" x14ac:dyDescent="0.25">
      <c r="A383" s="1" t="s">
        <v>0</v>
      </c>
      <c r="B383" s="1" t="s">
        <v>1</v>
      </c>
      <c r="C383" s="1" t="s">
        <v>7</v>
      </c>
      <c r="D383" s="1">
        <v>27</v>
      </c>
      <c r="E383" s="1">
        <v>17.954999999999998</v>
      </c>
      <c r="F383" s="1">
        <v>2</v>
      </c>
      <c r="G383" s="7">
        <f t="shared" si="34"/>
        <v>1</v>
      </c>
      <c r="H383" s="7">
        <f t="shared" si="37"/>
        <v>1</v>
      </c>
      <c r="I383" s="7">
        <f t="shared" si="38"/>
        <v>0</v>
      </c>
      <c r="J383" s="7">
        <f t="shared" si="38"/>
        <v>0</v>
      </c>
      <c r="K383" s="7">
        <f t="shared" si="38"/>
        <v>1</v>
      </c>
      <c r="L383" s="11">
        <v>15006.579449999999</v>
      </c>
      <c r="M383" s="12" cm="1">
        <f t="array" ref="M383">IF(($R$34+SUMPRODUCT(TRANSPOSE(D383:K383),$R$35:$R$42))&lt;0,"-",$R$34+SUMPRODUCT(TRANSPOSE(D383:K383),$R$35:$R$42))</f>
        <v>25886.337034134878</v>
      </c>
      <c r="N383" s="13">
        <f t="shared" si="35"/>
        <v>13762.132457099755</v>
      </c>
      <c r="O383" s="13">
        <f t="shared" si="36"/>
        <v>38010.541611170003</v>
      </c>
    </row>
    <row r="384" spans="1:15" x14ac:dyDescent="0.25">
      <c r="A384" s="1" t="s">
        <v>3</v>
      </c>
      <c r="B384" s="1" t="s">
        <v>1</v>
      </c>
      <c r="C384" s="1" t="s">
        <v>7</v>
      </c>
      <c r="D384" s="1">
        <v>55</v>
      </c>
      <c r="E384" s="1">
        <v>30.684999999999999</v>
      </c>
      <c r="F384" s="1">
        <v>0</v>
      </c>
      <c r="G384" s="7">
        <f t="shared" si="34"/>
        <v>0</v>
      </c>
      <c r="H384" s="7">
        <f t="shared" si="37"/>
        <v>1</v>
      </c>
      <c r="I384" s="7">
        <f t="shared" si="38"/>
        <v>0</v>
      </c>
      <c r="J384" s="7">
        <f t="shared" si="38"/>
        <v>0</v>
      </c>
      <c r="K384" s="7">
        <f t="shared" si="38"/>
        <v>1</v>
      </c>
      <c r="L384" s="11">
        <v>42303.692150000003</v>
      </c>
      <c r="M384" s="12" cm="1">
        <f t="array" ref="M384">IF(($R$34+SUMPRODUCT(TRANSPOSE(D384:K384),$R$35:$R$42))&lt;0,"-",$R$34+SUMPRODUCT(TRANSPOSE(D384:K384),$R$35:$R$42))</f>
        <v>36313.932119953242</v>
      </c>
      <c r="N384" s="13">
        <f t="shared" si="35"/>
        <v>24189.727542918117</v>
      </c>
      <c r="O384" s="13">
        <f t="shared" si="36"/>
        <v>48438.136696988367</v>
      </c>
    </row>
    <row r="385" spans="1:15" x14ac:dyDescent="0.25">
      <c r="A385" s="1" t="s">
        <v>3</v>
      </c>
      <c r="B385" s="1" t="s">
        <v>4</v>
      </c>
      <c r="C385" s="1" t="s">
        <v>5</v>
      </c>
      <c r="D385" s="1">
        <v>55</v>
      </c>
      <c r="E385" s="1">
        <v>33</v>
      </c>
      <c r="F385" s="1">
        <v>0</v>
      </c>
      <c r="G385" s="7">
        <f t="shared" si="34"/>
        <v>0</v>
      </c>
      <c r="H385" s="7">
        <f t="shared" si="37"/>
        <v>0</v>
      </c>
      <c r="I385" s="7">
        <f t="shared" si="38"/>
        <v>1</v>
      </c>
      <c r="J385" s="7">
        <f t="shared" si="38"/>
        <v>0</v>
      </c>
      <c r="K385" s="7">
        <f t="shared" si="38"/>
        <v>0</v>
      </c>
      <c r="L385" s="11">
        <v>20781.48892</v>
      </c>
      <c r="M385" s="12" cm="1">
        <f t="array" ref="M385">IF(($R$34+SUMPRODUCT(TRANSPOSE(D385:K385),$R$35:$R$42))&lt;0,"-",$R$34+SUMPRODUCT(TRANSPOSE(D385:K385),$R$35:$R$42))</f>
        <v>12215.608373761726</v>
      </c>
      <c r="N385" s="13">
        <f t="shared" si="35"/>
        <v>91.403796726603105</v>
      </c>
      <c r="O385" s="13">
        <f t="shared" si="36"/>
        <v>24339.812950796848</v>
      </c>
    </row>
    <row r="386" spans="1:15" x14ac:dyDescent="0.25">
      <c r="A386" s="1" t="s">
        <v>0</v>
      </c>
      <c r="B386" s="1" t="s">
        <v>4</v>
      </c>
      <c r="C386" s="1" t="s">
        <v>5</v>
      </c>
      <c r="D386" s="1">
        <v>35</v>
      </c>
      <c r="E386" s="1">
        <v>43.34</v>
      </c>
      <c r="F386" s="1">
        <v>2</v>
      </c>
      <c r="G386" s="7">
        <f t="shared" si="34"/>
        <v>1</v>
      </c>
      <c r="H386" s="7">
        <f t="shared" si="37"/>
        <v>0</v>
      </c>
      <c r="I386" s="7">
        <f t="shared" si="38"/>
        <v>1</v>
      </c>
      <c r="J386" s="7">
        <f t="shared" si="38"/>
        <v>0</v>
      </c>
      <c r="K386" s="7">
        <f t="shared" si="38"/>
        <v>0</v>
      </c>
      <c r="L386" s="11">
        <v>5846.9175999999998</v>
      </c>
      <c r="M386" s="12" cm="1">
        <f t="array" ref="M386">IF(($R$34+SUMPRODUCT(TRANSPOSE(D386:K386),$R$35:$R$42))&lt;0,"-",$R$34+SUMPRODUCT(TRANSPOSE(D386:K386),$R$35:$R$42))</f>
        <v>11668.057083044223</v>
      </c>
      <c r="N386" s="13" t="str">
        <f t="shared" si="35"/>
        <v>-</v>
      </c>
      <c r="O386" s="13">
        <f t="shared" si="36"/>
        <v>23792.261660079348</v>
      </c>
    </row>
    <row r="387" spans="1:15" x14ac:dyDescent="0.25">
      <c r="A387" s="1" t="s">
        <v>3</v>
      </c>
      <c r="B387" s="1" t="s">
        <v>4</v>
      </c>
      <c r="C387" s="1" t="s">
        <v>7</v>
      </c>
      <c r="D387" s="1">
        <v>44</v>
      </c>
      <c r="E387" s="1">
        <v>22.135000000000002</v>
      </c>
      <c r="F387" s="1">
        <v>2</v>
      </c>
      <c r="G387" s="7">
        <f t="shared" ref="G387:G450" si="39">IF($A387=G$2,1,0)</f>
        <v>0</v>
      </c>
      <c r="H387" s="7">
        <f t="shared" si="37"/>
        <v>0</v>
      </c>
      <c r="I387" s="7">
        <f t="shared" si="38"/>
        <v>0</v>
      </c>
      <c r="J387" s="7">
        <f t="shared" si="38"/>
        <v>0</v>
      </c>
      <c r="K387" s="7">
        <f t="shared" si="38"/>
        <v>1</v>
      </c>
      <c r="L387" s="11">
        <v>8302.5356499999998</v>
      </c>
      <c r="M387" s="12" cm="1">
        <f t="array" ref="M387">IF(($R$34+SUMPRODUCT(TRANSPOSE(D387:K387),$R$35:$R$42))&lt;0,"-",$R$34+SUMPRODUCT(TRANSPOSE(D387:K387),$R$35:$R$42))</f>
        <v>7690.8747620552058</v>
      </c>
      <c r="N387" s="13" t="str">
        <f t="shared" ref="N387:N450" si="40">IFERROR(IF($M387-(2*$R$24)&lt;0,"-",($M387-(2*$R$24))),"-")</f>
        <v>-</v>
      </c>
      <c r="O387" s="13">
        <f t="shared" ref="O387:O450" si="41">IFERROR(IF($L387+(2*$R$24)&lt;0,"-",($M387+(2*$R$24))),"-")</f>
        <v>19815.079339090327</v>
      </c>
    </row>
    <row r="388" spans="1:15" x14ac:dyDescent="0.25">
      <c r="A388" s="1" t="s">
        <v>3</v>
      </c>
      <c r="B388" s="1" t="s">
        <v>4</v>
      </c>
      <c r="C388" s="1" t="s">
        <v>2</v>
      </c>
      <c r="D388" s="1">
        <v>19</v>
      </c>
      <c r="E388" s="1">
        <v>34.4</v>
      </c>
      <c r="F388" s="1">
        <v>0</v>
      </c>
      <c r="G388" s="7">
        <f t="shared" si="39"/>
        <v>0</v>
      </c>
      <c r="H388" s="7">
        <f t="shared" ref="H388:H451" si="42">IF(B388="yes",1,0)</f>
        <v>0</v>
      </c>
      <c r="I388" s="7">
        <f t="shared" ref="I388:K451" si="43">IF($C388=I$2,1,0)</f>
        <v>0</v>
      </c>
      <c r="J388" s="7">
        <f t="shared" si="43"/>
        <v>0</v>
      </c>
      <c r="K388" s="7">
        <f t="shared" si="43"/>
        <v>0</v>
      </c>
      <c r="L388" s="11">
        <v>1261.8589999999999</v>
      </c>
      <c r="M388" s="12" cm="1">
        <f t="array" ref="M388">IF(($R$34+SUMPRODUCT(TRANSPOSE(D388:K388),$R$35:$R$42))&lt;0,"-",$R$34+SUMPRODUCT(TRANSPOSE(D388:K388),$R$35:$R$42))</f>
        <v>3518.6215755593621</v>
      </c>
      <c r="N388" s="13" t="str">
        <f t="shared" si="40"/>
        <v>-</v>
      </c>
      <c r="O388" s="13">
        <f t="shared" si="41"/>
        <v>15642.826152594485</v>
      </c>
    </row>
    <row r="389" spans="1:15" x14ac:dyDescent="0.25">
      <c r="A389" s="1" t="s">
        <v>0</v>
      </c>
      <c r="B389" s="1" t="s">
        <v>4</v>
      </c>
      <c r="C389" s="1" t="s">
        <v>5</v>
      </c>
      <c r="D389" s="1">
        <v>58</v>
      </c>
      <c r="E389" s="1">
        <v>39.049999999999997</v>
      </c>
      <c r="F389" s="1">
        <v>0</v>
      </c>
      <c r="G389" s="7">
        <f t="shared" si="39"/>
        <v>1</v>
      </c>
      <c r="H389" s="7">
        <f t="shared" si="42"/>
        <v>0</v>
      </c>
      <c r="I389" s="7">
        <f t="shared" si="43"/>
        <v>1</v>
      </c>
      <c r="J389" s="7">
        <f t="shared" si="43"/>
        <v>0</v>
      </c>
      <c r="K389" s="7">
        <f t="shared" si="43"/>
        <v>0</v>
      </c>
      <c r="L389" s="11">
        <v>11856.4115</v>
      </c>
      <c r="M389" s="12" cm="1">
        <f t="array" ref="M389">IF(($R$34+SUMPRODUCT(TRANSPOSE(D389:K389),$R$35:$R$42))&lt;0,"-",$R$34+SUMPRODUCT(TRANSPOSE(D389:K389),$R$35:$R$42))</f>
        <v>15169.612185114456</v>
      </c>
      <c r="N389" s="13">
        <f t="shared" si="40"/>
        <v>3045.4076080793329</v>
      </c>
      <c r="O389" s="13">
        <f t="shared" si="41"/>
        <v>27293.816762149581</v>
      </c>
    </row>
    <row r="390" spans="1:15" x14ac:dyDescent="0.25">
      <c r="A390" s="1" t="s">
        <v>3</v>
      </c>
      <c r="B390" s="1" t="s">
        <v>4</v>
      </c>
      <c r="C390" s="1" t="s">
        <v>6</v>
      </c>
      <c r="D390" s="1">
        <v>50</v>
      </c>
      <c r="E390" s="1">
        <v>25.364999999999998</v>
      </c>
      <c r="F390" s="1">
        <v>2</v>
      </c>
      <c r="G390" s="7">
        <f t="shared" si="39"/>
        <v>0</v>
      </c>
      <c r="H390" s="7">
        <f t="shared" si="42"/>
        <v>0</v>
      </c>
      <c r="I390" s="7">
        <f t="shared" si="43"/>
        <v>0</v>
      </c>
      <c r="J390" s="7">
        <f t="shared" si="43"/>
        <v>1</v>
      </c>
      <c r="K390" s="7">
        <f t="shared" si="43"/>
        <v>0</v>
      </c>
      <c r="L390" s="11">
        <v>30284.642940000002</v>
      </c>
      <c r="M390" s="12" cm="1">
        <f t="array" ref="M390">IF(($R$34+SUMPRODUCT(TRANSPOSE(D390:K390),$R$35:$R$42))&lt;0,"-",$R$34+SUMPRODUCT(TRANSPOSE(D390:K390),$R$35:$R$42))</f>
        <v>9974.6438330176643</v>
      </c>
      <c r="N390" s="13" t="str">
        <f t="shared" si="40"/>
        <v>-</v>
      </c>
      <c r="O390" s="13">
        <f t="shared" si="41"/>
        <v>22098.848410052786</v>
      </c>
    </row>
    <row r="391" spans="1:15" x14ac:dyDescent="0.25">
      <c r="A391" s="1" t="s">
        <v>0</v>
      </c>
      <c r="B391" s="1" t="s">
        <v>4</v>
      </c>
      <c r="C391" s="1" t="s">
        <v>6</v>
      </c>
      <c r="D391" s="1">
        <v>26</v>
      </c>
      <c r="E391" s="1">
        <v>22.61</v>
      </c>
      <c r="F391" s="1">
        <v>0</v>
      </c>
      <c r="G391" s="7">
        <f t="shared" si="39"/>
        <v>1</v>
      </c>
      <c r="H391" s="7">
        <f t="shared" si="42"/>
        <v>0</v>
      </c>
      <c r="I391" s="7">
        <f t="shared" si="43"/>
        <v>0</v>
      </c>
      <c r="J391" s="7">
        <f t="shared" si="43"/>
        <v>1</v>
      </c>
      <c r="K391" s="7">
        <f t="shared" si="43"/>
        <v>0</v>
      </c>
      <c r="L391" s="11">
        <v>3176.8159000000001</v>
      </c>
      <c r="M391" s="12" cm="1">
        <f t="array" ref="M391">IF(($R$34+SUMPRODUCT(TRANSPOSE(D391:K391),$R$35:$R$42))&lt;0,"-",$R$34+SUMPRODUCT(TRANSPOSE(D391:K391),$R$35:$R$42))</f>
        <v>2055.9266765202919</v>
      </c>
      <c r="N391" s="13" t="str">
        <f t="shared" si="40"/>
        <v>-</v>
      </c>
      <c r="O391" s="13">
        <f t="shared" si="41"/>
        <v>14180.131253555415</v>
      </c>
    </row>
    <row r="392" spans="1:15" x14ac:dyDescent="0.25">
      <c r="A392" s="1" t="s">
        <v>0</v>
      </c>
      <c r="B392" s="1" t="s">
        <v>4</v>
      </c>
      <c r="C392" s="1" t="s">
        <v>6</v>
      </c>
      <c r="D392" s="1">
        <v>24</v>
      </c>
      <c r="E392" s="1">
        <v>30.21</v>
      </c>
      <c r="F392" s="1">
        <v>3</v>
      </c>
      <c r="G392" s="7">
        <f t="shared" si="39"/>
        <v>1</v>
      </c>
      <c r="H392" s="7">
        <f t="shared" si="42"/>
        <v>0</v>
      </c>
      <c r="I392" s="7">
        <f t="shared" si="43"/>
        <v>0</v>
      </c>
      <c r="J392" s="7">
        <f t="shared" si="43"/>
        <v>1</v>
      </c>
      <c r="K392" s="7">
        <f t="shared" si="43"/>
        <v>0</v>
      </c>
      <c r="L392" s="11">
        <v>4618.0798999999997</v>
      </c>
      <c r="M392" s="12" cm="1">
        <f t="array" ref="M392">IF(($R$34+SUMPRODUCT(TRANSPOSE(D392:K392),$R$35:$R$42))&lt;0,"-",$R$34+SUMPRODUCT(TRANSPOSE(D392:K392),$R$35:$R$42))</f>
        <v>5546.5858543353788</v>
      </c>
      <c r="N392" s="13" t="str">
        <f t="shared" si="40"/>
        <v>-</v>
      </c>
      <c r="O392" s="13">
        <f t="shared" si="41"/>
        <v>17670.7904313705</v>
      </c>
    </row>
    <row r="393" spans="1:15" x14ac:dyDescent="0.25">
      <c r="A393" s="1" t="s">
        <v>3</v>
      </c>
      <c r="B393" s="1" t="s">
        <v>4</v>
      </c>
      <c r="C393" s="1" t="s">
        <v>7</v>
      </c>
      <c r="D393" s="1">
        <v>48</v>
      </c>
      <c r="E393" s="1">
        <v>35.625</v>
      </c>
      <c r="F393" s="1">
        <v>4</v>
      </c>
      <c r="G393" s="7">
        <f t="shared" si="39"/>
        <v>0</v>
      </c>
      <c r="H393" s="7">
        <f t="shared" si="42"/>
        <v>0</v>
      </c>
      <c r="I393" s="7">
        <f t="shared" si="43"/>
        <v>0</v>
      </c>
      <c r="J393" s="7">
        <f t="shared" si="43"/>
        <v>0</v>
      </c>
      <c r="K393" s="7">
        <f t="shared" si="43"/>
        <v>1</v>
      </c>
      <c r="L393" s="11">
        <v>10736.87075</v>
      </c>
      <c r="M393" s="12" cm="1">
        <f t="array" ref="M393">IF(($R$34+SUMPRODUCT(TRANSPOSE(D393:K393),$R$35:$R$42))&lt;0,"-",$R$34+SUMPRODUCT(TRANSPOSE(D393:K393),$R$35:$R$42))</f>
        <v>14245.020951713097</v>
      </c>
      <c r="N393" s="13">
        <f t="shared" si="40"/>
        <v>2120.8163746779737</v>
      </c>
      <c r="O393" s="13">
        <f t="shared" si="41"/>
        <v>26369.225528748218</v>
      </c>
    </row>
    <row r="394" spans="1:15" x14ac:dyDescent="0.25">
      <c r="A394" s="1" t="s">
        <v>0</v>
      </c>
      <c r="B394" s="1" t="s">
        <v>4</v>
      </c>
      <c r="C394" s="1" t="s">
        <v>6</v>
      </c>
      <c r="D394" s="1">
        <v>19</v>
      </c>
      <c r="E394" s="1">
        <v>37.43</v>
      </c>
      <c r="F394" s="1">
        <v>0</v>
      </c>
      <c r="G394" s="7">
        <f t="shared" si="39"/>
        <v>1</v>
      </c>
      <c r="H394" s="7">
        <f t="shared" si="42"/>
        <v>0</v>
      </c>
      <c r="I394" s="7">
        <f t="shared" si="43"/>
        <v>0</v>
      </c>
      <c r="J394" s="7">
        <f t="shared" si="43"/>
        <v>1</v>
      </c>
      <c r="K394" s="7">
        <f t="shared" si="43"/>
        <v>0</v>
      </c>
      <c r="L394" s="11">
        <v>2138.0707000000002</v>
      </c>
      <c r="M394" s="12" cm="1">
        <f t="array" ref="M394">IF(($R$34+SUMPRODUCT(TRANSPOSE(D394:K394),$R$35:$R$42))&lt;0,"-",$R$34+SUMPRODUCT(TRANSPOSE(D394:K394),$R$35:$R$42))</f>
        <v>5284.7791912715038</v>
      </c>
      <c r="N394" s="13" t="str">
        <f t="shared" si="40"/>
        <v>-</v>
      </c>
      <c r="O394" s="13">
        <f t="shared" si="41"/>
        <v>17408.983768306629</v>
      </c>
    </row>
    <row r="395" spans="1:15" x14ac:dyDescent="0.25">
      <c r="A395" s="1" t="s">
        <v>3</v>
      </c>
      <c r="B395" s="1" t="s">
        <v>4</v>
      </c>
      <c r="C395" s="1" t="s">
        <v>7</v>
      </c>
      <c r="D395" s="1">
        <v>48</v>
      </c>
      <c r="E395" s="1">
        <v>31.445</v>
      </c>
      <c r="F395" s="1">
        <v>1</v>
      </c>
      <c r="G395" s="7">
        <f t="shared" si="39"/>
        <v>0</v>
      </c>
      <c r="H395" s="7">
        <f t="shared" si="42"/>
        <v>0</v>
      </c>
      <c r="I395" s="7">
        <f t="shared" si="43"/>
        <v>0</v>
      </c>
      <c r="J395" s="7">
        <f t="shared" si="43"/>
        <v>0</v>
      </c>
      <c r="K395" s="7">
        <f t="shared" si="43"/>
        <v>1</v>
      </c>
      <c r="L395" s="11">
        <v>8964.0605500000001</v>
      </c>
      <c r="M395" s="12" cm="1">
        <f t="array" ref="M395">IF(($R$34+SUMPRODUCT(TRANSPOSE(D395:K395),$R$35:$R$42))&lt;0,"-",$R$34+SUMPRODUCT(TRANSPOSE(D395:K395),$R$35:$R$42))</f>
        <v>11400.690680172389</v>
      </c>
      <c r="N395" s="13" t="str">
        <f t="shared" si="40"/>
        <v>-</v>
      </c>
      <c r="O395" s="13">
        <f t="shared" si="41"/>
        <v>23524.895257207514</v>
      </c>
    </row>
    <row r="396" spans="1:15" x14ac:dyDescent="0.25">
      <c r="A396" s="1" t="s">
        <v>3</v>
      </c>
      <c r="B396" s="1" t="s">
        <v>4</v>
      </c>
      <c r="C396" s="1" t="s">
        <v>7</v>
      </c>
      <c r="D396" s="1">
        <v>49</v>
      </c>
      <c r="E396" s="1">
        <v>31.35</v>
      </c>
      <c r="F396" s="1">
        <v>1</v>
      </c>
      <c r="G396" s="7">
        <f t="shared" si="39"/>
        <v>0</v>
      </c>
      <c r="H396" s="7">
        <f t="shared" si="42"/>
        <v>0</v>
      </c>
      <c r="I396" s="7">
        <f t="shared" si="43"/>
        <v>0</v>
      </c>
      <c r="J396" s="7">
        <f t="shared" si="43"/>
        <v>0</v>
      </c>
      <c r="K396" s="7">
        <f t="shared" si="43"/>
        <v>1</v>
      </c>
      <c r="L396" s="11">
        <v>9290.1394999999993</v>
      </c>
      <c r="M396" s="12" cm="1">
        <f t="array" ref="M396">IF(($R$34+SUMPRODUCT(TRANSPOSE(D396:K396),$R$35:$R$42))&lt;0,"-",$R$34+SUMPRODUCT(TRANSPOSE(D396:K396),$R$35:$R$42))</f>
        <v>11625.323654616703</v>
      </c>
      <c r="N396" s="13" t="str">
        <f t="shared" si="40"/>
        <v>-</v>
      </c>
      <c r="O396" s="13">
        <f t="shared" si="41"/>
        <v>23749.528231651828</v>
      </c>
    </row>
    <row r="397" spans="1:15" x14ac:dyDescent="0.25">
      <c r="A397" s="1" t="s">
        <v>0</v>
      </c>
      <c r="B397" s="1" t="s">
        <v>4</v>
      </c>
      <c r="C397" s="1" t="s">
        <v>7</v>
      </c>
      <c r="D397" s="1">
        <v>46</v>
      </c>
      <c r="E397" s="1">
        <v>32.299999999999997</v>
      </c>
      <c r="F397" s="1">
        <v>2</v>
      </c>
      <c r="G397" s="7">
        <f t="shared" si="39"/>
        <v>1</v>
      </c>
      <c r="H397" s="7">
        <f t="shared" si="42"/>
        <v>0</v>
      </c>
      <c r="I397" s="7">
        <f t="shared" si="43"/>
        <v>0</v>
      </c>
      <c r="J397" s="7">
        <f t="shared" si="43"/>
        <v>0</v>
      </c>
      <c r="K397" s="7">
        <f t="shared" si="43"/>
        <v>1</v>
      </c>
      <c r="L397" s="11">
        <v>9411.0049999999992</v>
      </c>
      <c r="M397" s="12" cm="1">
        <f t="array" ref="M397">IF(($R$34+SUMPRODUCT(TRANSPOSE(D397:K397),$R$35:$R$42))&lt;0,"-",$R$34+SUMPRODUCT(TRANSPOSE(D397:K397),$R$35:$R$42))</f>
        <v>11783.803282479195</v>
      </c>
      <c r="N397" s="13" t="str">
        <f t="shared" si="40"/>
        <v>-</v>
      </c>
      <c r="O397" s="13">
        <f t="shared" si="41"/>
        <v>23908.00785951432</v>
      </c>
    </row>
    <row r="398" spans="1:15" x14ac:dyDescent="0.25">
      <c r="A398" s="1" t="s">
        <v>3</v>
      </c>
      <c r="B398" s="1" t="s">
        <v>4</v>
      </c>
      <c r="C398" s="1" t="s">
        <v>6</v>
      </c>
      <c r="D398" s="1">
        <v>46</v>
      </c>
      <c r="E398" s="1">
        <v>19.855</v>
      </c>
      <c r="F398" s="1">
        <v>0</v>
      </c>
      <c r="G398" s="7">
        <f t="shared" si="39"/>
        <v>0</v>
      </c>
      <c r="H398" s="7">
        <f t="shared" si="42"/>
        <v>0</v>
      </c>
      <c r="I398" s="7">
        <f t="shared" si="43"/>
        <v>0</v>
      </c>
      <c r="J398" s="7">
        <f t="shared" si="43"/>
        <v>1</v>
      </c>
      <c r="K398" s="7">
        <f t="shared" si="43"/>
        <v>0</v>
      </c>
      <c r="L398" s="11">
        <v>7526.7064499999997</v>
      </c>
      <c r="M398" s="12" cm="1">
        <f t="array" ref="M398">IF(($R$34+SUMPRODUCT(TRANSPOSE(D398:K398),$R$35:$R$42))&lt;0,"-",$R$34+SUMPRODUCT(TRANSPOSE(D398:K398),$R$35:$R$42))</f>
        <v>6127.2614031742814</v>
      </c>
      <c r="N398" s="13" t="str">
        <f t="shared" si="40"/>
        <v>-</v>
      </c>
      <c r="O398" s="13">
        <f t="shared" si="41"/>
        <v>18251.465980209403</v>
      </c>
    </row>
    <row r="399" spans="1:15" x14ac:dyDescent="0.25">
      <c r="A399" s="1" t="s">
        <v>0</v>
      </c>
      <c r="B399" s="1" t="s">
        <v>4</v>
      </c>
      <c r="C399" s="1" t="s">
        <v>2</v>
      </c>
      <c r="D399" s="1">
        <v>43</v>
      </c>
      <c r="E399" s="1">
        <v>34.4</v>
      </c>
      <c r="F399" s="1">
        <v>3</v>
      </c>
      <c r="G399" s="7">
        <f t="shared" si="39"/>
        <v>1</v>
      </c>
      <c r="H399" s="7">
        <f t="shared" si="42"/>
        <v>0</v>
      </c>
      <c r="I399" s="7">
        <f t="shared" si="43"/>
        <v>0</v>
      </c>
      <c r="J399" s="7">
        <f t="shared" si="43"/>
        <v>0</v>
      </c>
      <c r="K399" s="7">
        <f t="shared" si="43"/>
        <v>0</v>
      </c>
      <c r="L399" s="11">
        <v>8522.0030000000006</v>
      </c>
      <c r="M399" s="12" cm="1">
        <f t="array" ref="M399">IF(($R$34+SUMPRODUCT(TRANSPOSE(D399:K399),$R$35:$R$42))&lt;0,"-",$R$34+SUMPRODUCT(TRANSPOSE(D399:K399),$R$35:$R$42))</f>
        <v>11240.990031298217</v>
      </c>
      <c r="N399" s="13" t="str">
        <f t="shared" si="40"/>
        <v>-</v>
      </c>
      <c r="O399" s="13">
        <f t="shared" si="41"/>
        <v>23365.194608333339</v>
      </c>
    </row>
    <row r="400" spans="1:15" x14ac:dyDescent="0.25">
      <c r="A400" s="1" t="s">
        <v>3</v>
      </c>
      <c r="B400" s="1" t="s">
        <v>4</v>
      </c>
      <c r="C400" s="1" t="s">
        <v>5</v>
      </c>
      <c r="D400" s="1">
        <v>21</v>
      </c>
      <c r="E400" s="1">
        <v>31.02</v>
      </c>
      <c r="F400" s="1">
        <v>0</v>
      </c>
      <c r="G400" s="7">
        <f t="shared" si="39"/>
        <v>0</v>
      </c>
      <c r="H400" s="7">
        <f t="shared" si="42"/>
        <v>0</v>
      </c>
      <c r="I400" s="7">
        <f t="shared" si="43"/>
        <v>1</v>
      </c>
      <c r="J400" s="7">
        <f t="shared" si="43"/>
        <v>0</v>
      </c>
      <c r="K400" s="7">
        <f t="shared" si="43"/>
        <v>0</v>
      </c>
      <c r="L400" s="11">
        <v>16586.49771</v>
      </c>
      <c r="M400" s="12" cm="1">
        <f t="array" ref="M400">IF(($R$34+SUMPRODUCT(TRANSPOSE(D400:K400),$R$35:$R$42))&lt;0,"-",$R$34+SUMPRODUCT(TRANSPOSE(D400:K400),$R$35:$R$42))</f>
        <v>2810.889349342433</v>
      </c>
      <c r="N400" s="13" t="str">
        <f t="shared" si="40"/>
        <v>-</v>
      </c>
      <c r="O400" s="13">
        <f t="shared" si="41"/>
        <v>14935.093926377556</v>
      </c>
    </row>
    <row r="401" spans="1:15" x14ac:dyDescent="0.25">
      <c r="A401" s="1" t="s">
        <v>3</v>
      </c>
      <c r="B401" s="1" t="s">
        <v>4</v>
      </c>
      <c r="C401" s="1" t="s">
        <v>2</v>
      </c>
      <c r="D401" s="1">
        <v>64</v>
      </c>
      <c r="E401" s="1">
        <v>25.6</v>
      </c>
      <c r="F401" s="1">
        <v>2</v>
      </c>
      <c r="G401" s="7">
        <f t="shared" si="39"/>
        <v>0</v>
      </c>
      <c r="H401" s="7">
        <f t="shared" si="42"/>
        <v>0</v>
      </c>
      <c r="I401" s="7">
        <f t="shared" si="43"/>
        <v>0</v>
      </c>
      <c r="J401" s="7">
        <f t="shared" si="43"/>
        <v>0</v>
      </c>
      <c r="K401" s="7">
        <f t="shared" si="43"/>
        <v>0</v>
      </c>
      <c r="L401" s="11">
        <v>14988.432000000001</v>
      </c>
      <c r="M401" s="12" cm="1">
        <f t="array" ref="M401">IF(($R$34+SUMPRODUCT(TRANSPOSE(D401:K401),$R$35:$R$42))&lt;0,"-",$R$34+SUMPRODUCT(TRANSPOSE(D401:K401),$R$35:$R$42))</f>
        <v>13043.256138262896</v>
      </c>
      <c r="N401" s="13">
        <f t="shared" si="40"/>
        <v>919.05156122777225</v>
      </c>
      <c r="O401" s="13">
        <f t="shared" si="41"/>
        <v>25167.460715298017</v>
      </c>
    </row>
    <row r="402" spans="1:15" x14ac:dyDescent="0.25">
      <c r="A402" s="1" t="s">
        <v>0</v>
      </c>
      <c r="B402" s="1" t="s">
        <v>4</v>
      </c>
      <c r="C402" s="1" t="s">
        <v>5</v>
      </c>
      <c r="D402" s="1">
        <v>18</v>
      </c>
      <c r="E402" s="1">
        <v>38.17</v>
      </c>
      <c r="F402" s="1">
        <v>0</v>
      </c>
      <c r="G402" s="7">
        <f t="shared" si="39"/>
        <v>1</v>
      </c>
      <c r="H402" s="7">
        <f t="shared" si="42"/>
        <v>0</v>
      </c>
      <c r="I402" s="7">
        <f t="shared" si="43"/>
        <v>1</v>
      </c>
      <c r="J402" s="7">
        <f t="shared" si="43"/>
        <v>0</v>
      </c>
      <c r="K402" s="7">
        <f t="shared" si="43"/>
        <v>0</v>
      </c>
      <c r="L402" s="11">
        <v>1631.6683</v>
      </c>
      <c r="M402" s="12" cm="1">
        <f t="array" ref="M402">IF(($R$34+SUMPRODUCT(TRANSPOSE(D402:K402),$R$35:$R$42))&lt;0,"-",$R$34+SUMPRODUCT(TRANSPOSE(D402:K402),$R$35:$R$42))</f>
        <v>4596.8678444430006</v>
      </c>
      <c r="N402" s="13" t="str">
        <f t="shared" si="40"/>
        <v>-</v>
      </c>
      <c r="O402" s="13">
        <f t="shared" si="41"/>
        <v>16721.072421478122</v>
      </c>
    </row>
    <row r="403" spans="1:15" x14ac:dyDescent="0.25">
      <c r="A403" s="1" t="s">
        <v>0</v>
      </c>
      <c r="B403" s="1" t="s">
        <v>4</v>
      </c>
      <c r="C403" s="1" t="s">
        <v>2</v>
      </c>
      <c r="D403" s="1">
        <v>51</v>
      </c>
      <c r="E403" s="1">
        <v>20.6</v>
      </c>
      <c r="F403" s="1">
        <v>0</v>
      </c>
      <c r="G403" s="7">
        <f t="shared" si="39"/>
        <v>1</v>
      </c>
      <c r="H403" s="7">
        <f t="shared" si="42"/>
        <v>0</v>
      </c>
      <c r="I403" s="7">
        <f t="shared" si="43"/>
        <v>0</v>
      </c>
      <c r="J403" s="7">
        <f t="shared" si="43"/>
        <v>0</v>
      </c>
      <c r="K403" s="7">
        <f t="shared" si="43"/>
        <v>0</v>
      </c>
      <c r="L403" s="11">
        <v>9264.7970000000005</v>
      </c>
      <c r="M403" s="12" cm="1">
        <f t="array" ref="M403">IF(($R$34+SUMPRODUCT(TRANSPOSE(D403:K403),$R$35:$R$42))&lt;0,"-",$R$34+SUMPRODUCT(TRANSPOSE(D403:K403),$R$35:$R$42))</f>
        <v>7188.4695563200112</v>
      </c>
      <c r="N403" s="13" t="str">
        <f t="shared" si="40"/>
        <v>-</v>
      </c>
      <c r="O403" s="13">
        <f t="shared" si="41"/>
        <v>19312.674133355133</v>
      </c>
    </row>
    <row r="404" spans="1:15" x14ac:dyDescent="0.25">
      <c r="A404" s="1" t="s">
        <v>3</v>
      </c>
      <c r="B404" s="1" t="s">
        <v>4</v>
      </c>
      <c r="C404" s="1" t="s">
        <v>5</v>
      </c>
      <c r="D404" s="1">
        <v>47</v>
      </c>
      <c r="E404" s="1">
        <v>47.52</v>
      </c>
      <c r="F404" s="1">
        <v>1</v>
      </c>
      <c r="G404" s="7">
        <f t="shared" si="39"/>
        <v>0</v>
      </c>
      <c r="H404" s="7">
        <f t="shared" si="42"/>
        <v>0</v>
      </c>
      <c r="I404" s="7">
        <f t="shared" si="43"/>
        <v>1</v>
      </c>
      <c r="J404" s="7">
        <f t="shared" si="43"/>
        <v>0</v>
      </c>
      <c r="K404" s="7">
        <f t="shared" si="43"/>
        <v>0</v>
      </c>
      <c r="L404" s="11">
        <v>8083.9197999999997</v>
      </c>
      <c r="M404" s="12" cm="1">
        <f t="array" ref="M404">IF(($R$34+SUMPRODUCT(TRANSPOSE(D404:K404),$R$35:$R$42))&lt;0,"-",$R$34+SUMPRODUCT(TRANSPOSE(D404:K404),$R$35:$R$42))</f>
        <v>15561.347045041475</v>
      </c>
      <c r="N404" s="13">
        <f t="shared" si="40"/>
        <v>3437.1424680063519</v>
      </c>
      <c r="O404" s="13">
        <f t="shared" si="41"/>
        <v>27685.5516220766</v>
      </c>
    </row>
    <row r="405" spans="1:15" x14ac:dyDescent="0.25">
      <c r="A405" s="1" t="s">
        <v>0</v>
      </c>
      <c r="B405" s="1" t="s">
        <v>4</v>
      </c>
      <c r="C405" s="1" t="s">
        <v>6</v>
      </c>
      <c r="D405" s="1">
        <v>64</v>
      </c>
      <c r="E405" s="1">
        <v>32.965000000000003</v>
      </c>
      <c r="F405" s="1">
        <v>0</v>
      </c>
      <c r="G405" s="7">
        <f t="shared" si="39"/>
        <v>1</v>
      </c>
      <c r="H405" s="7">
        <f t="shared" si="42"/>
        <v>0</v>
      </c>
      <c r="I405" s="7">
        <f t="shared" si="43"/>
        <v>0</v>
      </c>
      <c r="J405" s="7">
        <f t="shared" si="43"/>
        <v>1</v>
      </c>
      <c r="K405" s="7">
        <f t="shared" si="43"/>
        <v>0</v>
      </c>
      <c r="L405" s="11">
        <v>14692.66935</v>
      </c>
      <c r="M405" s="12" cm="1">
        <f t="array" ref="M405">IF(($R$34+SUMPRODUCT(TRANSPOSE(D405:K405),$R$35:$R$42))&lt;0,"-",$R$34+SUMPRODUCT(TRANSPOSE(D405:K405),$R$35:$R$42))</f>
        <v>15328.816285079763</v>
      </c>
      <c r="N405" s="13">
        <f t="shared" si="40"/>
        <v>3204.6117080446402</v>
      </c>
      <c r="O405" s="13">
        <f t="shared" si="41"/>
        <v>27453.020862114885</v>
      </c>
    </row>
    <row r="406" spans="1:15" x14ac:dyDescent="0.25">
      <c r="A406" s="1" t="s">
        <v>3</v>
      </c>
      <c r="B406" s="1" t="s">
        <v>4</v>
      </c>
      <c r="C406" s="1" t="s">
        <v>6</v>
      </c>
      <c r="D406" s="1">
        <v>49</v>
      </c>
      <c r="E406" s="1">
        <v>32.299999999999997</v>
      </c>
      <c r="F406" s="1">
        <v>3</v>
      </c>
      <c r="G406" s="7">
        <f t="shared" si="39"/>
        <v>0</v>
      </c>
      <c r="H406" s="7">
        <f t="shared" si="42"/>
        <v>0</v>
      </c>
      <c r="I406" s="7">
        <f t="shared" si="43"/>
        <v>0</v>
      </c>
      <c r="J406" s="7">
        <f t="shared" si="43"/>
        <v>1</v>
      </c>
      <c r="K406" s="7">
        <f t="shared" si="43"/>
        <v>0</v>
      </c>
      <c r="L406" s="11">
        <v>10269.459999999999</v>
      </c>
      <c r="M406" s="12" cm="1">
        <f t="array" ref="M406">IF(($R$34+SUMPRODUCT(TRANSPOSE(D406:K406),$R$35:$R$42))&lt;0,"-",$R$34+SUMPRODUCT(TRANSPOSE(D406:K406),$R$35:$R$42))</f>
        <v>12545.594626420625</v>
      </c>
      <c r="N406" s="13">
        <f t="shared" si="40"/>
        <v>421.3900493855017</v>
      </c>
      <c r="O406" s="13">
        <f t="shared" si="41"/>
        <v>24669.799203455746</v>
      </c>
    </row>
    <row r="407" spans="1:15" x14ac:dyDescent="0.25">
      <c r="A407" s="1" t="s">
        <v>3</v>
      </c>
      <c r="B407" s="1" t="s">
        <v>4</v>
      </c>
      <c r="C407" s="1" t="s">
        <v>2</v>
      </c>
      <c r="D407" s="1">
        <v>31</v>
      </c>
      <c r="E407" s="1">
        <v>20.399999999999999</v>
      </c>
      <c r="F407" s="1">
        <v>0</v>
      </c>
      <c r="G407" s="7">
        <f t="shared" si="39"/>
        <v>0</v>
      </c>
      <c r="H407" s="7">
        <f t="shared" si="42"/>
        <v>0</v>
      </c>
      <c r="I407" s="7">
        <f t="shared" si="43"/>
        <v>0</v>
      </c>
      <c r="J407" s="7">
        <f t="shared" si="43"/>
        <v>0</v>
      </c>
      <c r="K407" s="7">
        <f t="shared" si="43"/>
        <v>0</v>
      </c>
      <c r="L407" s="11">
        <v>3260.1990000000001</v>
      </c>
      <c r="M407" s="12" cm="1">
        <f t="array" ref="M407">IF(($R$34+SUMPRODUCT(TRANSPOSE(D407:K407),$R$35:$R$42))&lt;0,"-",$R$34+SUMPRODUCT(TRANSPOSE(D407:K407),$R$35:$R$42))</f>
        <v>1852.1894554557766</v>
      </c>
      <c r="N407" s="13" t="str">
        <f t="shared" si="40"/>
        <v>-</v>
      </c>
      <c r="O407" s="13">
        <f t="shared" si="41"/>
        <v>13976.3940324909</v>
      </c>
    </row>
    <row r="408" spans="1:15" x14ac:dyDescent="0.25">
      <c r="A408" s="1" t="s">
        <v>0</v>
      </c>
      <c r="B408" s="1" t="s">
        <v>4</v>
      </c>
      <c r="C408" s="1" t="s">
        <v>7</v>
      </c>
      <c r="D408" s="1">
        <v>52</v>
      </c>
      <c r="E408" s="1">
        <v>38.380000000000003</v>
      </c>
      <c r="F408" s="1">
        <v>2</v>
      </c>
      <c r="G408" s="7">
        <f t="shared" si="39"/>
        <v>1</v>
      </c>
      <c r="H408" s="7">
        <f t="shared" si="42"/>
        <v>0</v>
      </c>
      <c r="I408" s="7">
        <f t="shared" si="43"/>
        <v>0</v>
      </c>
      <c r="J408" s="7">
        <f t="shared" si="43"/>
        <v>0</v>
      </c>
      <c r="K408" s="7">
        <f t="shared" si="43"/>
        <v>1</v>
      </c>
      <c r="L408" s="11">
        <v>11396.9002</v>
      </c>
      <c r="M408" s="12" cm="1">
        <f t="array" ref="M408">IF(($R$34+SUMPRODUCT(TRANSPOSE(D408:K408),$R$35:$R$42))&lt;0,"-",$R$34+SUMPRODUCT(TRANSPOSE(D408:K408),$R$35:$R$42))</f>
        <v>15387.237595657192</v>
      </c>
      <c r="N408" s="13">
        <f t="shared" si="40"/>
        <v>3263.033018622069</v>
      </c>
      <c r="O408" s="13">
        <f t="shared" si="41"/>
        <v>27511.442172692317</v>
      </c>
    </row>
    <row r="409" spans="1:15" x14ac:dyDescent="0.25">
      <c r="A409" s="1" t="s">
        <v>0</v>
      </c>
      <c r="B409" s="1" t="s">
        <v>4</v>
      </c>
      <c r="C409" s="1" t="s">
        <v>5</v>
      </c>
      <c r="D409" s="1">
        <v>33</v>
      </c>
      <c r="E409" s="1">
        <v>24.31</v>
      </c>
      <c r="F409" s="1">
        <v>0</v>
      </c>
      <c r="G409" s="7">
        <f t="shared" si="39"/>
        <v>1</v>
      </c>
      <c r="H409" s="7">
        <f t="shared" si="42"/>
        <v>0</v>
      </c>
      <c r="I409" s="7">
        <f t="shared" si="43"/>
        <v>1</v>
      </c>
      <c r="J409" s="7">
        <f t="shared" si="43"/>
        <v>0</v>
      </c>
      <c r="K409" s="7">
        <f t="shared" si="43"/>
        <v>0</v>
      </c>
      <c r="L409" s="11">
        <v>4185.0978999999998</v>
      </c>
      <c r="M409" s="12" cm="1">
        <f t="array" ref="M409">IF(($R$34+SUMPRODUCT(TRANSPOSE(D409:K409),$R$35:$R$42))&lt;0,"-",$R$34+SUMPRODUCT(TRANSPOSE(D409:K409),$R$35:$R$42))</f>
        <v>3748.4918654569774</v>
      </c>
      <c r="N409" s="13" t="str">
        <f t="shared" si="40"/>
        <v>-</v>
      </c>
      <c r="O409" s="13">
        <f t="shared" si="41"/>
        <v>15872.696442492101</v>
      </c>
    </row>
    <row r="410" spans="1:15" x14ac:dyDescent="0.25">
      <c r="A410" s="1" t="s">
        <v>0</v>
      </c>
      <c r="B410" s="1" t="s">
        <v>4</v>
      </c>
      <c r="C410" s="1" t="s">
        <v>2</v>
      </c>
      <c r="D410" s="1">
        <v>47</v>
      </c>
      <c r="E410" s="1">
        <v>23.6</v>
      </c>
      <c r="F410" s="1">
        <v>1</v>
      </c>
      <c r="G410" s="7">
        <f t="shared" si="39"/>
        <v>1</v>
      </c>
      <c r="H410" s="7">
        <f t="shared" si="42"/>
        <v>0</v>
      </c>
      <c r="I410" s="7">
        <f t="shared" si="43"/>
        <v>0</v>
      </c>
      <c r="J410" s="7">
        <f t="shared" si="43"/>
        <v>0</v>
      </c>
      <c r="K410" s="7">
        <f t="shared" si="43"/>
        <v>0</v>
      </c>
      <c r="L410" s="11">
        <v>8539.6710000000003</v>
      </c>
      <c r="M410" s="12" cm="1">
        <f t="array" ref="M410">IF(($R$34+SUMPRODUCT(TRANSPOSE(D410:K410),$R$35:$R$42))&lt;0,"-",$R$34+SUMPRODUCT(TRANSPOSE(D410:K410),$R$35:$R$42))</f>
        <v>7654.1250521522743</v>
      </c>
      <c r="N410" s="13" t="str">
        <f t="shared" si="40"/>
        <v>-</v>
      </c>
      <c r="O410" s="13">
        <f t="shared" si="41"/>
        <v>19778.329629187399</v>
      </c>
    </row>
    <row r="411" spans="1:15" x14ac:dyDescent="0.25">
      <c r="A411" s="1" t="s">
        <v>3</v>
      </c>
      <c r="B411" s="1" t="s">
        <v>4</v>
      </c>
      <c r="C411" s="1" t="s">
        <v>5</v>
      </c>
      <c r="D411" s="1">
        <v>38</v>
      </c>
      <c r="E411" s="1">
        <v>21.12</v>
      </c>
      <c r="F411" s="1">
        <v>3</v>
      </c>
      <c r="G411" s="7">
        <f t="shared" si="39"/>
        <v>0</v>
      </c>
      <c r="H411" s="7">
        <f t="shared" si="42"/>
        <v>0</v>
      </c>
      <c r="I411" s="7">
        <f t="shared" si="43"/>
        <v>1</v>
      </c>
      <c r="J411" s="7">
        <f t="shared" si="43"/>
        <v>0</v>
      </c>
      <c r="K411" s="7">
        <f t="shared" si="43"/>
        <v>0</v>
      </c>
      <c r="L411" s="11">
        <v>6652.5288</v>
      </c>
      <c r="M411" s="12" cm="1">
        <f t="array" ref="M411">IF(($R$34+SUMPRODUCT(TRANSPOSE(D411:K411),$R$35:$R$42))&lt;0,"-",$R$34+SUMPRODUCT(TRANSPOSE(D411:K411),$R$35:$R$42))</f>
        <v>5245.9337871774333</v>
      </c>
      <c r="N411" s="13" t="str">
        <f t="shared" si="40"/>
        <v>-</v>
      </c>
      <c r="O411" s="13">
        <f t="shared" si="41"/>
        <v>17370.138364212558</v>
      </c>
    </row>
    <row r="412" spans="1:15" x14ac:dyDescent="0.25">
      <c r="A412" s="1" t="s">
        <v>3</v>
      </c>
      <c r="B412" s="1" t="s">
        <v>4</v>
      </c>
      <c r="C412" s="1" t="s">
        <v>5</v>
      </c>
      <c r="D412" s="1">
        <v>32</v>
      </c>
      <c r="E412" s="1">
        <v>30.03</v>
      </c>
      <c r="F412" s="1">
        <v>1</v>
      </c>
      <c r="G412" s="7">
        <f t="shared" si="39"/>
        <v>0</v>
      </c>
      <c r="H412" s="7">
        <f t="shared" si="42"/>
        <v>0</v>
      </c>
      <c r="I412" s="7">
        <f t="shared" si="43"/>
        <v>1</v>
      </c>
      <c r="J412" s="7">
        <f t="shared" si="43"/>
        <v>0</v>
      </c>
      <c r="K412" s="7">
        <f t="shared" si="43"/>
        <v>0</v>
      </c>
      <c r="L412" s="11">
        <v>4074.4537</v>
      </c>
      <c r="M412" s="12" cm="1">
        <f t="array" ref="M412">IF(($R$34+SUMPRODUCT(TRANSPOSE(D412:K412),$R$35:$R$42))&lt;0,"-",$R$34+SUMPRODUCT(TRANSPOSE(D412:K412),$R$35:$R$42))</f>
        <v>5776.0082533276618</v>
      </c>
      <c r="N412" s="13" t="str">
        <f t="shared" si="40"/>
        <v>-</v>
      </c>
      <c r="O412" s="13">
        <f t="shared" si="41"/>
        <v>17900.212830362783</v>
      </c>
    </row>
    <row r="413" spans="1:15" x14ac:dyDescent="0.25">
      <c r="A413" s="1" t="s">
        <v>3</v>
      </c>
      <c r="B413" s="1" t="s">
        <v>4</v>
      </c>
      <c r="C413" s="1" t="s">
        <v>6</v>
      </c>
      <c r="D413" s="1">
        <v>19</v>
      </c>
      <c r="E413" s="1">
        <v>17.48</v>
      </c>
      <c r="F413" s="1">
        <v>0</v>
      </c>
      <c r="G413" s="7">
        <f t="shared" si="39"/>
        <v>0</v>
      </c>
      <c r="H413" s="7">
        <f t="shared" si="42"/>
        <v>0</v>
      </c>
      <c r="I413" s="7">
        <f t="shared" si="43"/>
        <v>0</v>
      </c>
      <c r="J413" s="7">
        <f t="shared" si="43"/>
        <v>1</v>
      </c>
      <c r="K413" s="7">
        <f t="shared" si="43"/>
        <v>0</v>
      </c>
      <c r="L413" s="11">
        <v>1621.3402000000001</v>
      </c>
      <c r="M413" s="12" t="str" cm="1">
        <f t="array" ref="M413">IF(($R$34+SUMPRODUCT(TRANSPOSE(D413:K413),$R$35:$R$42))&lt;0,"-",$R$34+SUMPRODUCT(TRANSPOSE(D413:K413),$R$35:$R$42))</f>
        <v>-</v>
      </c>
      <c r="N413" s="13" t="str">
        <f t="shared" si="40"/>
        <v>-</v>
      </c>
      <c r="O413" s="13" t="str">
        <f t="shared" si="41"/>
        <v>-</v>
      </c>
    </row>
    <row r="414" spans="1:15" x14ac:dyDescent="0.25">
      <c r="A414" s="1" t="s">
        <v>0</v>
      </c>
      <c r="B414" s="1" t="s">
        <v>1</v>
      </c>
      <c r="C414" s="1" t="s">
        <v>7</v>
      </c>
      <c r="D414" s="1">
        <v>44</v>
      </c>
      <c r="E414" s="1">
        <v>20.234999999999999</v>
      </c>
      <c r="F414" s="1">
        <v>1</v>
      </c>
      <c r="G414" s="7">
        <f t="shared" si="39"/>
        <v>1</v>
      </c>
      <c r="H414" s="7">
        <f t="shared" si="42"/>
        <v>1</v>
      </c>
      <c r="I414" s="7">
        <f t="shared" si="43"/>
        <v>0</v>
      </c>
      <c r="J414" s="7">
        <f t="shared" si="43"/>
        <v>0</v>
      </c>
      <c r="K414" s="7">
        <f t="shared" si="43"/>
        <v>1</v>
      </c>
      <c r="L414" s="11">
        <v>19594.809649999999</v>
      </c>
      <c r="M414" s="12" cm="1">
        <f t="array" ref="M414">IF(($R$34+SUMPRODUCT(TRANSPOSE(D414:K414),$R$35:$R$42))&lt;0,"-",$R$34+SUMPRODUCT(TRANSPOSE(D414:K414),$R$35:$R$42))</f>
        <v>30550.755556353375</v>
      </c>
      <c r="N414" s="13">
        <f t="shared" si="40"/>
        <v>18426.55097931825</v>
      </c>
      <c r="O414" s="13">
        <f t="shared" si="41"/>
        <v>42674.9601333885</v>
      </c>
    </row>
    <row r="415" spans="1:15" x14ac:dyDescent="0.25">
      <c r="A415" s="1" t="s">
        <v>0</v>
      </c>
      <c r="B415" s="1" t="s">
        <v>1</v>
      </c>
      <c r="C415" s="1" t="s">
        <v>7</v>
      </c>
      <c r="D415" s="1">
        <v>26</v>
      </c>
      <c r="E415" s="1">
        <v>17.195</v>
      </c>
      <c r="F415" s="1">
        <v>2</v>
      </c>
      <c r="G415" s="7">
        <f t="shared" si="39"/>
        <v>1</v>
      </c>
      <c r="H415" s="7">
        <f t="shared" si="42"/>
        <v>1</v>
      </c>
      <c r="I415" s="7">
        <f t="shared" si="43"/>
        <v>0</v>
      </c>
      <c r="J415" s="7">
        <f t="shared" si="43"/>
        <v>0</v>
      </c>
      <c r="K415" s="7">
        <f t="shared" si="43"/>
        <v>1</v>
      </c>
      <c r="L415" s="11">
        <v>14455.644050000001</v>
      </c>
      <c r="M415" s="12" cm="1">
        <f t="array" ref="M415">IF(($R$34+SUMPRODUCT(TRANSPOSE(D415:K415),$R$35:$R$42))&lt;0,"-",$R$34+SUMPRODUCT(TRANSPOSE(D415:K415),$R$35:$R$42))</f>
        <v>25371.693656853291</v>
      </c>
      <c r="N415" s="13">
        <f t="shared" si="40"/>
        <v>13247.489079818168</v>
      </c>
      <c r="O415" s="13">
        <f t="shared" si="41"/>
        <v>37495.898233888416</v>
      </c>
    </row>
    <row r="416" spans="1:15" x14ac:dyDescent="0.25">
      <c r="A416" s="1" t="s">
        <v>3</v>
      </c>
      <c r="B416" s="1" t="s">
        <v>4</v>
      </c>
      <c r="C416" s="1" t="s">
        <v>2</v>
      </c>
      <c r="D416" s="1">
        <v>25</v>
      </c>
      <c r="E416" s="1">
        <v>23.9</v>
      </c>
      <c r="F416" s="1">
        <v>5</v>
      </c>
      <c r="G416" s="7">
        <f t="shared" si="39"/>
        <v>0</v>
      </c>
      <c r="H416" s="7">
        <f t="shared" si="42"/>
        <v>0</v>
      </c>
      <c r="I416" s="7">
        <f t="shared" si="43"/>
        <v>0</v>
      </c>
      <c r="J416" s="7">
        <f t="shared" si="43"/>
        <v>0</v>
      </c>
      <c r="K416" s="7">
        <f t="shared" si="43"/>
        <v>0</v>
      </c>
      <c r="L416" s="11">
        <v>5080.0959999999995</v>
      </c>
      <c r="M416" s="12" cm="1">
        <f t="array" ref="M416">IF(($R$34+SUMPRODUCT(TRANSPOSE(D416:K416),$R$35:$R$42))&lt;0,"-",$R$34+SUMPRODUCT(TRANSPOSE(D416:K416),$R$35:$R$42))</f>
        <v>3875.731153615292</v>
      </c>
      <c r="N416" s="13" t="str">
        <f t="shared" si="40"/>
        <v>-</v>
      </c>
      <c r="O416" s="13">
        <f t="shared" si="41"/>
        <v>15999.935730650415</v>
      </c>
    </row>
    <row r="417" spans="1:15" x14ac:dyDescent="0.25">
      <c r="A417" s="1" t="s">
        <v>0</v>
      </c>
      <c r="B417" s="1" t="s">
        <v>4</v>
      </c>
      <c r="C417" s="1" t="s">
        <v>6</v>
      </c>
      <c r="D417" s="1">
        <v>19</v>
      </c>
      <c r="E417" s="1">
        <v>35.15</v>
      </c>
      <c r="F417" s="1">
        <v>0</v>
      </c>
      <c r="G417" s="7">
        <f t="shared" si="39"/>
        <v>1</v>
      </c>
      <c r="H417" s="7">
        <f t="shared" si="42"/>
        <v>0</v>
      </c>
      <c r="I417" s="7">
        <f t="shared" si="43"/>
        <v>0</v>
      </c>
      <c r="J417" s="7">
        <f t="shared" si="43"/>
        <v>1</v>
      </c>
      <c r="K417" s="7">
        <f t="shared" si="43"/>
        <v>0</v>
      </c>
      <c r="L417" s="11">
        <v>2134.9014999999999</v>
      </c>
      <c r="M417" s="12" cm="1">
        <f t="array" ref="M417">IF(($R$34+SUMPRODUCT(TRANSPOSE(D417:K417),$R$35:$R$42))&lt;0,"-",$R$34+SUMPRODUCT(TRANSPOSE(D417:K417),$R$35:$R$42))</f>
        <v>4511.4181170387892</v>
      </c>
      <c r="N417" s="13" t="str">
        <f t="shared" si="40"/>
        <v>-</v>
      </c>
      <c r="O417" s="13">
        <f t="shared" si="41"/>
        <v>16635.622694073914</v>
      </c>
    </row>
    <row r="418" spans="1:15" x14ac:dyDescent="0.25">
      <c r="A418" s="1" t="s">
        <v>0</v>
      </c>
      <c r="B418" s="1" t="s">
        <v>4</v>
      </c>
      <c r="C418" s="1" t="s">
        <v>5</v>
      </c>
      <c r="D418" s="1">
        <v>43</v>
      </c>
      <c r="E418" s="1">
        <v>35.64</v>
      </c>
      <c r="F418" s="1">
        <v>1</v>
      </c>
      <c r="G418" s="7">
        <f t="shared" si="39"/>
        <v>1</v>
      </c>
      <c r="H418" s="7">
        <f t="shared" si="42"/>
        <v>0</v>
      </c>
      <c r="I418" s="7">
        <f t="shared" si="43"/>
        <v>1</v>
      </c>
      <c r="J418" s="7">
        <f t="shared" si="43"/>
        <v>0</v>
      </c>
      <c r="K418" s="7">
        <f t="shared" si="43"/>
        <v>0</v>
      </c>
      <c r="L418" s="11">
        <v>7345.7266</v>
      </c>
      <c r="M418" s="12" cm="1">
        <f t="array" ref="M418">IF(($R$34+SUMPRODUCT(TRANSPOSE(D418:K418),$R$35:$R$42))&lt;0,"-",$R$34+SUMPRODUCT(TRANSPOSE(D418:K418),$R$35:$R$42))</f>
        <v>10635.617765390409</v>
      </c>
      <c r="N418" s="13" t="str">
        <f t="shared" si="40"/>
        <v>-</v>
      </c>
      <c r="O418" s="13">
        <f t="shared" si="41"/>
        <v>22759.822342425534</v>
      </c>
    </row>
    <row r="419" spans="1:15" x14ac:dyDescent="0.25">
      <c r="A419" s="1" t="s">
        <v>3</v>
      </c>
      <c r="B419" s="1" t="s">
        <v>4</v>
      </c>
      <c r="C419" s="1" t="s">
        <v>5</v>
      </c>
      <c r="D419" s="1">
        <v>52</v>
      </c>
      <c r="E419" s="1">
        <v>34.1</v>
      </c>
      <c r="F419" s="1">
        <v>0</v>
      </c>
      <c r="G419" s="7">
        <f t="shared" si="39"/>
        <v>0</v>
      </c>
      <c r="H419" s="7">
        <f t="shared" si="42"/>
        <v>0</v>
      </c>
      <c r="I419" s="7">
        <f t="shared" si="43"/>
        <v>1</v>
      </c>
      <c r="J419" s="7">
        <f t="shared" si="43"/>
        <v>0</v>
      </c>
      <c r="K419" s="7">
        <f t="shared" si="43"/>
        <v>0</v>
      </c>
      <c r="L419" s="11">
        <v>9140.9509999999991</v>
      </c>
      <c r="M419" s="12" cm="1">
        <f t="array" ref="M419">IF(($R$34+SUMPRODUCT(TRANSPOSE(D419:K419),$R$35:$R$42))&lt;0,"-",$R$34+SUMPRODUCT(TRANSPOSE(D419:K419),$R$35:$R$42))</f>
        <v>11818.152115121607</v>
      </c>
      <c r="N419" s="13" t="str">
        <f t="shared" si="40"/>
        <v>-</v>
      </c>
      <c r="O419" s="13">
        <f t="shared" si="41"/>
        <v>23942.356692156733</v>
      </c>
    </row>
    <row r="420" spans="1:15" x14ac:dyDescent="0.25">
      <c r="A420" s="1" t="s">
        <v>0</v>
      </c>
      <c r="B420" s="1" t="s">
        <v>1</v>
      </c>
      <c r="C420" s="1" t="s">
        <v>2</v>
      </c>
      <c r="D420" s="1">
        <v>36</v>
      </c>
      <c r="E420" s="1">
        <v>22.6</v>
      </c>
      <c r="F420" s="1">
        <v>2</v>
      </c>
      <c r="G420" s="7">
        <f t="shared" si="39"/>
        <v>1</v>
      </c>
      <c r="H420" s="7">
        <f t="shared" si="42"/>
        <v>1</v>
      </c>
      <c r="I420" s="7">
        <f t="shared" si="43"/>
        <v>0</v>
      </c>
      <c r="J420" s="7">
        <f t="shared" si="43"/>
        <v>0</v>
      </c>
      <c r="K420" s="7">
        <f t="shared" si="43"/>
        <v>0</v>
      </c>
      <c r="L420" s="11">
        <v>18608.261999999999</v>
      </c>
      <c r="M420" s="12" cm="1">
        <f t="array" ref="M420">IF(($R$34+SUMPRODUCT(TRANSPOSE(D420:K420),$R$35:$R$42))&lt;0,"-",$R$34+SUMPRODUCT(TRANSPOSE(D420:K420),$R$35:$R$42))</f>
        <v>28813.546807692532</v>
      </c>
      <c r="N420" s="13">
        <f t="shared" si="40"/>
        <v>16689.342230657407</v>
      </c>
      <c r="O420" s="13">
        <f t="shared" si="41"/>
        <v>40937.751384727657</v>
      </c>
    </row>
    <row r="421" spans="1:15" x14ac:dyDescent="0.25">
      <c r="A421" s="1" t="s">
        <v>3</v>
      </c>
      <c r="B421" s="1" t="s">
        <v>4</v>
      </c>
      <c r="C421" s="1" t="s">
        <v>5</v>
      </c>
      <c r="D421" s="1">
        <v>64</v>
      </c>
      <c r="E421" s="1">
        <v>39.159999999999997</v>
      </c>
      <c r="F421" s="1">
        <v>1</v>
      </c>
      <c r="G421" s="7">
        <f t="shared" si="39"/>
        <v>0</v>
      </c>
      <c r="H421" s="7">
        <f t="shared" si="42"/>
        <v>0</v>
      </c>
      <c r="I421" s="7">
        <f t="shared" si="43"/>
        <v>1</v>
      </c>
      <c r="J421" s="7">
        <f t="shared" si="43"/>
        <v>0</v>
      </c>
      <c r="K421" s="7">
        <f t="shared" si="43"/>
        <v>0</v>
      </c>
      <c r="L421" s="11">
        <v>14418.2804</v>
      </c>
      <c r="M421" s="12" cm="1">
        <f t="array" ref="M421">IF(($R$34+SUMPRODUCT(TRANSPOSE(D421:K421),$R$35:$R$42))&lt;0,"-",$R$34+SUMPRODUCT(TRANSPOSE(D421:K421),$R$35:$R$42))</f>
        <v>17092.247765989767</v>
      </c>
      <c r="N421" s="13">
        <f t="shared" si="40"/>
        <v>4968.0431889546435</v>
      </c>
      <c r="O421" s="13">
        <f t="shared" si="41"/>
        <v>29216.452343024888</v>
      </c>
    </row>
    <row r="422" spans="1:15" x14ac:dyDescent="0.25">
      <c r="A422" s="1" t="s">
        <v>0</v>
      </c>
      <c r="B422" s="1" t="s">
        <v>1</v>
      </c>
      <c r="C422" s="1" t="s">
        <v>6</v>
      </c>
      <c r="D422" s="1">
        <v>63</v>
      </c>
      <c r="E422" s="1">
        <v>26.98</v>
      </c>
      <c r="F422" s="1">
        <v>0</v>
      </c>
      <c r="G422" s="7">
        <f t="shared" si="39"/>
        <v>1</v>
      </c>
      <c r="H422" s="7">
        <f t="shared" si="42"/>
        <v>1</v>
      </c>
      <c r="I422" s="7">
        <f t="shared" si="43"/>
        <v>0</v>
      </c>
      <c r="J422" s="7">
        <f t="shared" si="43"/>
        <v>1</v>
      </c>
      <c r="K422" s="7">
        <f t="shared" si="43"/>
        <v>0</v>
      </c>
      <c r="L422" s="11">
        <v>28950.4692</v>
      </c>
      <c r="M422" s="12" cm="1">
        <f t="array" ref="M422">IF(($R$34+SUMPRODUCT(TRANSPOSE(D422:K422),$R$35:$R$42))&lt;0,"-",$R$34+SUMPRODUCT(TRANSPOSE(D422:K422),$R$35:$R$42))</f>
        <v>36890.421654594327</v>
      </c>
      <c r="N422" s="13">
        <f t="shared" si="40"/>
        <v>24766.217077559202</v>
      </c>
      <c r="O422" s="13">
        <f t="shared" si="41"/>
        <v>49014.626231629452</v>
      </c>
    </row>
    <row r="423" spans="1:15" x14ac:dyDescent="0.25">
      <c r="A423" s="1" t="s">
        <v>3</v>
      </c>
      <c r="B423" s="1" t="s">
        <v>1</v>
      </c>
      <c r="C423" s="1" t="s">
        <v>5</v>
      </c>
      <c r="D423" s="1">
        <v>64</v>
      </c>
      <c r="E423" s="1">
        <v>33.880000000000003</v>
      </c>
      <c r="F423" s="1">
        <v>0</v>
      </c>
      <c r="G423" s="7">
        <f t="shared" si="39"/>
        <v>0</v>
      </c>
      <c r="H423" s="7">
        <f t="shared" si="42"/>
        <v>1</v>
      </c>
      <c r="I423" s="7">
        <f t="shared" si="43"/>
        <v>1</v>
      </c>
      <c r="J423" s="7">
        <f t="shared" si="43"/>
        <v>0</v>
      </c>
      <c r="K423" s="7">
        <f t="shared" si="43"/>
        <v>0</v>
      </c>
      <c r="L423" s="11">
        <v>46889.261200000001</v>
      </c>
      <c r="M423" s="12" cm="1">
        <f t="array" ref="M423">IF(($R$34+SUMPRODUCT(TRANSPOSE(D423:K423),$R$35:$R$42))&lt;0,"-",$R$34+SUMPRODUCT(TRANSPOSE(D423:K423),$R$35:$R$42))</f>
        <v>38674.340327688187</v>
      </c>
      <c r="N423" s="13">
        <f t="shared" si="40"/>
        <v>26550.135750653062</v>
      </c>
      <c r="O423" s="13">
        <f t="shared" si="41"/>
        <v>50798.544904723312</v>
      </c>
    </row>
    <row r="424" spans="1:15" x14ac:dyDescent="0.25">
      <c r="A424" s="1" t="s">
        <v>3</v>
      </c>
      <c r="B424" s="1" t="s">
        <v>1</v>
      </c>
      <c r="C424" s="1" t="s">
        <v>5</v>
      </c>
      <c r="D424" s="1">
        <v>61</v>
      </c>
      <c r="E424" s="1">
        <v>35.86</v>
      </c>
      <c r="F424" s="1">
        <v>0</v>
      </c>
      <c r="G424" s="7">
        <f t="shared" si="39"/>
        <v>0</v>
      </c>
      <c r="H424" s="7">
        <f t="shared" si="42"/>
        <v>1</v>
      </c>
      <c r="I424" s="7">
        <f t="shared" si="43"/>
        <v>1</v>
      </c>
      <c r="J424" s="7">
        <f t="shared" si="43"/>
        <v>0</v>
      </c>
      <c r="K424" s="7">
        <f t="shared" si="43"/>
        <v>0</v>
      </c>
      <c r="L424" s="11">
        <v>46599.108399999997</v>
      </c>
      <c r="M424" s="12" cm="1">
        <f t="array" ref="M424">IF(($R$34+SUMPRODUCT(TRANSPOSE(D424:K424),$R$35:$R$42))&lt;0,"-",$R$34+SUMPRODUCT(TRANSPOSE(D424:K424),$R$35:$R$42))</f>
        <v>38575.374308225611</v>
      </c>
      <c r="N424" s="13">
        <f t="shared" si="40"/>
        <v>26451.169731190486</v>
      </c>
      <c r="O424" s="13">
        <f t="shared" si="41"/>
        <v>50699.578885260737</v>
      </c>
    </row>
    <row r="425" spans="1:15" x14ac:dyDescent="0.25">
      <c r="A425" s="1" t="s">
        <v>3</v>
      </c>
      <c r="B425" s="1" t="s">
        <v>1</v>
      </c>
      <c r="C425" s="1" t="s">
        <v>7</v>
      </c>
      <c r="D425" s="1">
        <v>40</v>
      </c>
      <c r="E425" s="1">
        <v>32.774999999999999</v>
      </c>
      <c r="F425" s="1">
        <v>1</v>
      </c>
      <c r="G425" s="7">
        <f t="shared" si="39"/>
        <v>0</v>
      </c>
      <c r="H425" s="7">
        <f t="shared" si="42"/>
        <v>1</v>
      </c>
      <c r="I425" s="7">
        <f t="shared" si="43"/>
        <v>0</v>
      </c>
      <c r="J425" s="7">
        <f t="shared" si="43"/>
        <v>0</v>
      </c>
      <c r="K425" s="7">
        <f t="shared" si="43"/>
        <v>1</v>
      </c>
      <c r="L425" s="11">
        <v>39125.332249999999</v>
      </c>
      <c r="M425" s="12" cm="1">
        <f t="array" ref="M425">IF(($R$34+SUMPRODUCT(TRANSPOSE(D425:K425),$R$35:$R$42))&lt;0,"-",$R$34+SUMPRODUCT(TRANSPOSE(D425:K425),$R$35:$R$42))</f>
        <v>33645.501695088809</v>
      </c>
      <c r="N425" s="13">
        <f t="shared" si="40"/>
        <v>21521.297118053684</v>
      </c>
      <c r="O425" s="13">
        <f t="shared" si="41"/>
        <v>45769.706272123934</v>
      </c>
    </row>
    <row r="426" spans="1:15" x14ac:dyDescent="0.25">
      <c r="A426" s="1" t="s">
        <v>3</v>
      </c>
      <c r="B426" s="1" t="s">
        <v>4</v>
      </c>
      <c r="C426" s="1" t="s">
        <v>7</v>
      </c>
      <c r="D426" s="1">
        <v>25</v>
      </c>
      <c r="E426" s="1">
        <v>30.59</v>
      </c>
      <c r="F426" s="1">
        <v>0</v>
      </c>
      <c r="G426" s="7">
        <f t="shared" si="39"/>
        <v>0</v>
      </c>
      <c r="H426" s="7">
        <f t="shared" si="42"/>
        <v>0</v>
      </c>
      <c r="I426" s="7">
        <f t="shared" si="43"/>
        <v>0</v>
      </c>
      <c r="J426" s="7">
        <f t="shared" si="43"/>
        <v>0</v>
      </c>
      <c r="K426" s="7">
        <f t="shared" si="43"/>
        <v>1</v>
      </c>
      <c r="L426" s="11">
        <v>2727.3951000000002</v>
      </c>
      <c r="M426" s="12" cm="1">
        <f t="array" ref="M426">IF(($R$34+SUMPRODUCT(TRANSPOSE(D426:K426),$R$35:$R$42))&lt;0,"-",$R$34+SUMPRODUCT(TRANSPOSE(D426:K426),$R$35:$R$42))</f>
        <v>4727.4836238269818</v>
      </c>
      <c r="N426" s="13" t="str">
        <f t="shared" si="40"/>
        <v>-</v>
      </c>
      <c r="O426" s="13">
        <f t="shared" si="41"/>
        <v>16851.688200862103</v>
      </c>
    </row>
    <row r="427" spans="1:15" x14ac:dyDescent="0.25">
      <c r="A427" s="1" t="s">
        <v>3</v>
      </c>
      <c r="B427" s="1" t="s">
        <v>4</v>
      </c>
      <c r="C427" s="1" t="s">
        <v>2</v>
      </c>
      <c r="D427" s="1">
        <v>48</v>
      </c>
      <c r="E427" s="1">
        <v>30.2</v>
      </c>
      <c r="F427" s="1">
        <v>2</v>
      </c>
      <c r="G427" s="7">
        <f t="shared" si="39"/>
        <v>0</v>
      </c>
      <c r="H427" s="7">
        <f t="shared" si="42"/>
        <v>0</v>
      </c>
      <c r="I427" s="7">
        <f t="shared" si="43"/>
        <v>0</v>
      </c>
      <c r="J427" s="7">
        <f t="shared" si="43"/>
        <v>0</v>
      </c>
      <c r="K427" s="7">
        <f t="shared" si="43"/>
        <v>0</v>
      </c>
      <c r="L427" s="11">
        <v>8968.33</v>
      </c>
      <c r="M427" s="12" cm="1">
        <f t="array" ref="M427">IF(($R$34+SUMPRODUCT(TRANSPOSE(D427:K427),$R$35:$R$42))&lt;0,"-",$R$34+SUMPRODUCT(TRANSPOSE(D427:K427),$R$35:$R$42))</f>
        <v>10493.844384275191</v>
      </c>
      <c r="N427" s="13" t="str">
        <f t="shared" si="40"/>
        <v>-</v>
      </c>
      <c r="O427" s="13">
        <f t="shared" si="41"/>
        <v>22618.048961310313</v>
      </c>
    </row>
    <row r="428" spans="1:15" x14ac:dyDescent="0.25">
      <c r="A428" s="1" t="s">
        <v>3</v>
      </c>
      <c r="B428" s="1" t="s">
        <v>4</v>
      </c>
      <c r="C428" s="1" t="s">
        <v>5</v>
      </c>
      <c r="D428" s="1">
        <v>45</v>
      </c>
      <c r="E428" s="1">
        <v>24.31</v>
      </c>
      <c r="F428" s="1">
        <v>5</v>
      </c>
      <c r="G428" s="7">
        <f t="shared" si="39"/>
        <v>0</v>
      </c>
      <c r="H428" s="7">
        <f t="shared" si="42"/>
        <v>0</v>
      </c>
      <c r="I428" s="7">
        <f t="shared" si="43"/>
        <v>1</v>
      </c>
      <c r="J428" s="7">
        <f t="shared" si="43"/>
        <v>0</v>
      </c>
      <c r="K428" s="7">
        <f t="shared" si="43"/>
        <v>0</v>
      </c>
      <c r="L428" s="11">
        <v>9788.8659000000007</v>
      </c>
      <c r="M428" s="12" cm="1">
        <f t="array" ref="M428">IF(($R$34+SUMPRODUCT(TRANSPOSE(D428:K428),$R$35:$R$42))&lt;0,"-",$R$34+SUMPRODUCT(TRANSPOSE(D428:K428),$R$35:$R$42))</f>
        <v>9076.9564622557118</v>
      </c>
      <c r="N428" s="13" t="str">
        <f t="shared" si="40"/>
        <v>-</v>
      </c>
      <c r="O428" s="13">
        <f t="shared" si="41"/>
        <v>21201.161039290833</v>
      </c>
    </row>
    <row r="429" spans="1:15" x14ac:dyDescent="0.25">
      <c r="A429" s="1" t="s">
        <v>0</v>
      </c>
      <c r="B429" s="1" t="s">
        <v>4</v>
      </c>
      <c r="C429" s="1" t="s">
        <v>7</v>
      </c>
      <c r="D429" s="1">
        <v>38</v>
      </c>
      <c r="E429" s="1">
        <v>27.265000000000001</v>
      </c>
      <c r="F429" s="1">
        <v>1</v>
      </c>
      <c r="G429" s="7">
        <f t="shared" si="39"/>
        <v>1</v>
      </c>
      <c r="H429" s="7">
        <f t="shared" si="42"/>
        <v>0</v>
      </c>
      <c r="I429" s="7">
        <f t="shared" si="43"/>
        <v>0</v>
      </c>
      <c r="J429" s="7">
        <f t="shared" si="43"/>
        <v>0</v>
      </c>
      <c r="K429" s="7">
        <f t="shared" si="43"/>
        <v>1</v>
      </c>
      <c r="L429" s="11">
        <v>6555.07035</v>
      </c>
      <c r="M429" s="12" cm="1">
        <f t="array" ref="M429">IF(($R$34+SUMPRODUCT(TRANSPOSE(D429:K429),$R$35:$R$42))&lt;0,"-",$R$34+SUMPRODUCT(TRANSPOSE(D429:K429),$R$35:$R$42))</f>
        <v>7545.6128781007028</v>
      </c>
      <c r="N429" s="13" t="str">
        <f t="shared" si="40"/>
        <v>-</v>
      </c>
      <c r="O429" s="13">
        <f t="shared" si="41"/>
        <v>19669.817455135824</v>
      </c>
    </row>
    <row r="430" spans="1:15" x14ac:dyDescent="0.25">
      <c r="A430" s="1" t="s">
        <v>0</v>
      </c>
      <c r="B430" s="1" t="s">
        <v>4</v>
      </c>
      <c r="C430" s="1" t="s">
        <v>7</v>
      </c>
      <c r="D430" s="1">
        <v>18</v>
      </c>
      <c r="E430" s="1">
        <v>29.164999999999999</v>
      </c>
      <c r="F430" s="1">
        <v>0</v>
      </c>
      <c r="G430" s="7">
        <f t="shared" si="39"/>
        <v>1</v>
      </c>
      <c r="H430" s="7">
        <f t="shared" si="42"/>
        <v>0</v>
      </c>
      <c r="I430" s="7">
        <f t="shared" si="43"/>
        <v>0</v>
      </c>
      <c r="J430" s="7">
        <f t="shared" si="43"/>
        <v>0</v>
      </c>
      <c r="K430" s="7">
        <f t="shared" si="43"/>
        <v>1</v>
      </c>
      <c r="L430" s="11">
        <v>7323.7348190000002</v>
      </c>
      <c r="M430" s="12" cm="1">
        <f t="array" ref="M430">IF(($R$34+SUMPRODUCT(TRANSPOSE(D430:K430),$R$35:$R$42))&lt;0,"-",$R$34+SUMPRODUCT(TRANSPOSE(D430:K430),$R$35:$R$42))</f>
        <v>2577.4528440652048</v>
      </c>
      <c r="N430" s="13" t="str">
        <f t="shared" si="40"/>
        <v>-</v>
      </c>
      <c r="O430" s="13">
        <f t="shared" si="41"/>
        <v>14701.657421100328</v>
      </c>
    </row>
    <row r="431" spans="1:15" x14ac:dyDescent="0.25">
      <c r="A431" s="1" t="s">
        <v>0</v>
      </c>
      <c r="B431" s="1" t="s">
        <v>4</v>
      </c>
      <c r="C431" s="1" t="s">
        <v>7</v>
      </c>
      <c r="D431" s="1">
        <v>21</v>
      </c>
      <c r="E431" s="1">
        <v>16.815000000000001</v>
      </c>
      <c r="F431" s="1">
        <v>1</v>
      </c>
      <c r="G431" s="7">
        <f t="shared" si="39"/>
        <v>1</v>
      </c>
      <c r="H431" s="7">
        <f t="shared" si="42"/>
        <v>0</v>
      </c>
      <c r="I431" s="7">
        <f t="shared" si="43"/>
        <v>0</v>
      </c>
      <c r="J431" s="7">
        <f t="shared" si="43"/>
        <v>0</v>
      </c>
      <c r="K431" s="7">
        <f t="shared" si="43"/>
        <v>1</v>
      </c>
      <c r="L431" s="11">
        <v>3167.4558499999998</v>
      </c>
      <c r="M431" s="12" t="str" cm="1">
        <f t="array" ref="M431">IF(($R$34+SUMPRODUCT(TRANSPOSE(D431:K431),$R$35:$R$42))&lt;0,"-",$R$34+SUMPRODUCT(TRANSPOSE(D431:K431),$R$35:$R$42))</f>
        <v>-</v>
      </c>
      <c r="N431" s="13" t="str">
        <f t="shared" si="40"/>
        <v>-</v>
      </c>
      <c r="O431" s="13" t="str">
        <f t="shared" si="41"/>
        <v>-</v>
      </c>
    </row>
    <row r="432" spans="1:15" x14ac:dyDescent="0.25">
      <c r="A432" s="1" t="s">
        <v>0</v>
      </c>
      <c r="B432" s="1" t="s">
        <v>4</v>
      </c>
      <c r="C432" s="1" t="s">
        <v>6</v>
      </c>
      <c r="D432" s="1">
        <v>27</v>
      </c>
      <c r="E432" s="1">
        <v>30.4</v>
      </c>
      <c r="F432" s="1">
        <v>3</v>
      </c>
      <c r="G432" s="7">
        <f t="shared" si="39"/>
        <v>1</v>
      </c>
      <c r="H432" s="7">
        <f t="shared" si="42"/>
        <v>0</v>
      </c>
      <c r="I432" s="7">
        <f t="shared" si="43"/>
        <v>0</v>
      </c>
      <c r="J432" s="7">
        <f t="shared" si="43"/>
        <v>1</v>
      </c>
      <c r="K432" s="7">
        <f t="shared" si="43"/>
        <v>0</v>
      </c>
      <c r="L432" s="11">
        <v>18804.752400000001</v>
      </c>
      <c r="M432" s="12" cm="1">
        <f t="array" ref="M432">IF(($R$34+SUMPRODUCT(TRANSPOSE(D432:K432),$R$35:$R$42))&lt;0,"-",$R$34+SUMPRODUCT(TRANSPOSE(D432:K432),$R$35:$R$42))</f>
        <v>6381.6016681334804</v>
      </c>
      <c r="N432" s="13" t="str">
        <f t="shared" si="40"/>
        <v>-</v>
      </c>
      <c r="O432" s="13">
        <f t="shared" si="41"/>
        <v>18505.806245168606</v>
      </c>
    </row>
    <row r="433" spans="1:15" x14ac:dyDescent="0.25">
      <c r="A433" s="1" t="s">
        <v>3</v>
      </c>
      <c r="B433" s="1" t="s">
        <v>4</v>
      </c>
      <c r="C433" s="1" t="s">
        <v>2</v>
      </c>
      <c r="D433" s="1">
        <v>19</v>
      </c>
      <c r="E433" s="1">
        <v>33.1</v>
      </c>
      <c r="F433" s="1">
        <v>0</v>
      </c>
      <c r="G433" s="7">
        <f t="shared" si="39"/>
        <v>0</v>
      </c>
      <c r="H433" s="7">
        <f t="shared" si="42"/>
        <v>0</v>
      </c>
      <c r="I433" s="7">
        <f t="shared" si="43"/>
        <v>0</v>
      </c>
      <c r="J433" s="7">
        <f t="shared" si="43"/>
        <v>0</v>
      </c>
      <c r="K433" s="7">
        <f t="shared" si="43"/>
        <v>0</v>
      </c>
      <c r="L433" s="11">
        <v>23082.955330000001</v>
      </c>
      <c r="M433" s="12" cm="1">
        <f t="array" ref="M433">IF(($R$34+SUMPRODUCT(TRANSPOSE(D433:K433),$R$35:$R$42))&lt;0,"-",$R$34+SUMPRODUCT(TRANSPOSE(D433:K433),$R$35:$R$42))</f>
        <v>3077.6700858652712</v>
      </c>
      <c r="N433" s="13" t="str">
        <f t="shared" si="40"/>
        <v>-</v>
      </c>
      <c r="O433" s="13">
        <f t="shared" si="41"/>
        <v>15201.874662900394</v>
      </c>
    </row>
    <row r="434" spans="1:15" x14ac:dyDescent="0.25">
      <c r="A434" s="1" t="s">
        <v>0</v>
      </c>
      <c r="B434" s="1" t="s">
        <v>4</v>
      </c>
      <c r="C434" s="1" t="s">
        <v>6</v>
      </c>
      <c r="D434" s="1">
        <v>29</v>
      </c>
      <c r="E434" s="1">
        <v>20.234999999999999</v>
      </c>
      <c r="F434" s="1">
        <v>2</v>
      </c>
      <c r="G434" s="7">
        <f t="shared" si="39"/>
        <v>1</v>
      </c>
      <c r="H434" s="7">
        <f t="shared" si="42"/>
        <v>0</v>
      </c>
      <c r="I434" s="7">
        <f t="shared" si="43"/>
        <v>0</v>
      </c>
      <c r="J434" s="7">
        <f t="shared" si="43"/>
        <v>1</v>
      </c>
      <c r="K434" s="7">
        <f t="shared" si="43"/>
        <v>0</v>
      </c>
      <c r="L434" s="11">
        <v>4906.4096499999996</v>
      </c>
      <c r="M434" s="12" cm="1">
        <f t="array" ref="M434">IF(($R$34+SUMPRODUCT(TRANSPOSE(D434:K434),$R$35:$R$42))&lt;0,"-",$R$34+SUMPRODUCT(TRANSPOSE(D434:K434),$R$35:$R$42))</f>
        <v>2971.9123721048527</v>
      </c>
      <c r="N434" s="13" t="str">
        <f t="shared" si="40"/>
        <v>-</v>
      </c>
      <c r="O434" s="13">
        <f t="shared" si="41"/>
        <v>15096.116949139976</v>
      </c>
    </row>
    <row r="435" spans="1:15" x14ac:dyDescent="0.25">
      <c r="A435" s="1" t="s">
        <v>3</v>
      </c>
      <c r="B435" s="1" t="s">
        <v>4</v>
      </c>
      <c r="C435" s="1" t="s">
        <v>2</v>
      </c>
      <c r="D435" s="1">
        <v>42</v>
      </c>
      <c r="E435" s="1">
        <v>26.9</v>
      </c>
      <c r="F435" s="1">
        <v>0</v>
      </c>
      <c r="G435" s="7">
        <f t="shared" si="39"/>
        <v>0</v>
      </c>
      <c r="H435" s="7">
        <f t="shared" si="42"/>
        <v>0</v>
      </c>
      <c r="I435" s="7">
        <f t="shared" si="43"/>
        <v>0</v>
      </c>
      <c r="J435" s="7">
        <f t="shared" si="43"/>
        <v>0</v>
      </c>
      <c r="K435" s="7">
        <f t="shared" si="43"/>
        <v>0</v>
      </c>
      <c r="L435" s="11">
        <v>5969.723</v>
      </c>
      <c r="M435" s="12" cm="1">
        <f t="array" ref="M435">IF(($R$34+SUMPRODUCT(TRANSPOSE(D435:K435),$R$35:$R$42))&lt;0,"-",$R$34+SUMPRODUCT(TRANSPOSE(D435:K435),$R$35:$R$42))</f>
        <v>6882.3667818370668</v>
      </c>
      <c r="N435" s="13" t="str">
        <f t="shared" si="40"/>
        <v>-</v>
      </c>
      <c r="O435" s="13">
        <f t="shared" si="41"/>
        <v>19006.571358872192</v>
      </c>
    </row>
    <row r="436" spans="1:15" x14ac:dyDescent="0.25">
      <c r="A436" s="1" t="s">
        <v>0</v>
      </c>
      <c r="B436" s="1" t="s">
        <v>4</v>
      </c>
      <c r="C436" s="1" t="s">
        <v>2</v>
      </c>
      <c r="D436" s="1">
        <v>60</v>
      </c>
      <c r="E436" s="1">
        <v>30.5</v>
      </c>
      <c r="F436" s="1">
        <v>0</v>
      </c>
      <c r="G436" s="7">
        <f t="shared" si="39"/>
        <v>1</v>
      </c>
      <c r="H436" s="7">
        <f t="shared" si="42"/>
        <v>0</v>
      </c>
      <c r="I436" s="7">
        <f t="shared" si="43"/>
        <v>0</v>
      </c>
      <c r="J436" s="7">
        <f t="shared" si="43"/>
        <v>0</v>
      </c>
      <c r="K436" s="7">
        <f t="shared" si="43"/>
        <v>0</v>
      </c>
      <c r="L436" s="11">
        <v>12638.195</v>
      </c>
      <c r="M436" s="12" cm="1">
        <f t="array" ref="M436">IF(($R$34+SUMPRODUCT(TRANSPOSE(D436:K436),$R$35:$R$42))&lt;0,"-",$R$34+SUMPRODUCT(TRANSPOSE(D436:K436),$R$35:$R$42))</f>
        <v>12858.19191990346</v>
      </c>
      <c r="N436" s="13">
        <f t="shared" si="40"/>
        <v>733.98734286833678</v>
      </c>
      <c r="O436" s="13">
        <f t="shared" si="41"/>
        <v>24982.396496938585</v>
      </c>
    </row>
    <row r="437" spans="1:15" x14ac:dyDescent="0.25">
      <c r="A437" s="1" t="s">
        <v>3</v>
      </c>
      <c r="B437" s="1" t="s">
        <v>4</v>
      </c>
      <c r="C437" s="1" t="s">
        <v>6</v>
      </c>
      <c r="D437" s="1">
        <v>31</v>
      </c>
      <c r="E437" s="1">
        <v>28.594999999999999</v>
      </c>
      <c r="F437" s="1">
        <v>1</v>
      </c>
      <c r="G437" s="7">
        <f t="shared" si="39"/>
        <v>0</v>
      </c>
      <c r="H437" s="7">
        <f t="shared" si="42"/>
        <v>0</v>
      </c>
      <c r="I437" s="7">
        <f t="shared" si="43"/>
        <v>0</v>
      </c>
      <c r="J437" s="7">
        <f t="shared" si="43"/>
        <v>1</v>
      </c>
      <c r="K437" s="7">
        <f t="shared" si="43"/>
        <v>0</v>
      </c>
      <c r="L437" s="11">
        <v>4243.5900499999998</v>
      </c>
      <c r="M437" s="12" cm="1">
        <f t="array" ref="M437">IF(($R$34+SUMPRODUCT(TRANSPOSE(D437:K437),$R$35:$R$42))&lt;0,"-",$R$34+SUMPRODUCT(TRANSPOSE(D437:K437),$R$35:$R$42))</f>
        <v>5714.4674448219375</v>
      </c>
      <c r="N437" s="13" t="str">
        <f t="shared" si="40"/>
        <v>-</v>
      </c>
      <c r="O437" s="13">
        <f t="shared" si="41"/>
        <v>17838.672021857063</v>
      </c>
    </row>
    <row r="438" spans="1:15" x14ac:dyDescent="0.25">
      <c r="A438" s="1" t="s">
        <v>3</v>
      </c>
      <c r="B438" s="1" t="s">
        <v>4</v>
      </c>
      <c r="C438" s="1" t="s">
        <v>5</v>
      </c>
      <c r="D438" s="1">
        <v>60</v>
      </c>
      <c r="E438" s="1">
        <v>33.11</v>
      </c>
      <c r="F438" s="1">
        <v>3</v>
      </c>
      <c r="G438" s="7">
        <f t="shared" si="39"/>
        <v>0</v>
      </c>
      <c r="H438" s="7">
        <f t="shared" si="42"/>
        <v>0</v>
      </c>
      <c r="I438" s="7">
        <f t="shared" si="43"/>
        <v>1</v>
      </c>
      <c r="J438" s="7">
        <f t="shared" si="43"/>
        <v>0</v>
      </c>
      <c r="K438" s="7">
        <f t="shared" si="43"/>
        <v>0</v>
      </c>
      <c r="L438" s="11">
        <v>13919.822899999999</v>
      </c>
      <c r="M438" s="12" cm="1">
        <f t="array" ref="M438">IF(($R$34+SUMPRODUCT(TRANSPOSE(D438:K438),$R$35:$R$42))&lt;0,"-",$R$34+SUMPRODUCT(TRANSPOSE(D438:K438),$R$35:$R$42))</f>
        <v>14963.703051793058</v>
      </c>
      <c r="N438" s="13">
        <f t="shared" si="40"/>
        <v>2839.4984747579347</v>
      </c>
      <c r="O438" s="13">
        <f t="shared" si="41"/>
        <v>27087.907628828179</v>
      </c>
    </row>
    <row r="439" spans="1:15" x14ac:dyDescent="0.25">
      <c r="A439" s="1" t="s">
        <v>3</v>
      </c>
      <c r="B439" s="1" t="s">
        <v>4</v>
      </c>
      <c r="C439" s="1" t="s">
        <v>7</v>
      </c>
      <c r="D439" s="1">
        <v>22</v>
      </c>
      <c r="E439" s="1">
        <v>31.73</v>
      </c>
      <c r="F439" s="1">
        <v>0</v>
      </c>
      <c r="G439" s="7">
        <f t="shared" si="39"/>
        <v>0</v>
      </c>
      <c r="H439" s="7">
        <f t="shared" si="42"/>
        <v>0</v>
      </c>
      <c r="I439" s="7">
        <f t="shared" si="43"/>
        <v>0</v>
      </c>
      <c r="J439" s="7">
        <f t="shared" si="43"/>
        <v>0</v>
      </c>
      <c r="K439" s="7">
        <f t="shared" si="43"/>
        <v>1</v>
      </c>
      <c r="L439" s="11">
        <v>2254.7966999999999</v>
      </c>
      <c r="M439" s="12" cm="1">
        <f t="array" ref="M439">IF(($R$34+SUMPRODUCT(TRANSPOSE(D439:K439),$R$35:$R$42))&lt;0,"-",$R$34+SUMPRODUCT(TRANSPOSE(D439:K439),$R$35:$R$42))</f>
        <v>4343.5951033312958</v>
      </c>
      <c r="N439" s="13" t="str">
        <f t="shared" si="40"/>
        <v>-</v>
      </c>
      <c r="O439" s="13">
        <f t="shared" si="41"/>
        <v>16467.799680366421</v>
      </c>
    </row>
    <row r="440" spans="1:15" x14ac:dyDescent="0.25">
      <c r="A440" s="1" t="s">
        <v>3</v>
      </c>
      <c r="B440" s="1" t="s">
        <v>4</v>
      </c>
      <c r="C440" s="1" t="s">
        <v>2</v>
      </c>
      <c r="D440" s="1">
        <v>35</v>
      </c>
      <c r="E440" s="1">
        <v>28.9</v>
      </c>
      <c r="F440" s="1">
        <v>3</v>
      </c>
      <c r="G440" s="7">
        <f t="shared" si="39"/>
        <v>0</v>
      </c>
      <c r="H440" s="7">
        <f t="shared" si="42"/>
        <v>0</v>
      </c>
      <c r="I440" s="7">
        <f t="shared" si="43"/>
        <v>0</v>
      </c>
      <c r="J440" s="7">
        <f t="shared" si="43"/>
        <v>0</v>
      </c>
      <c r="K440" s="7">
        <f t="shared" si="43"/>
        <v>0</v>
      </c>
      <c r="L440" s="11">
        <v>5926.8459999999995</v>
      </c>
      <c r="M440" s="12" cm="1">
        <f t="array" ref="M440">IF(($R$34+SUMPRODUCT(TRANSPOSE(D440:K440),$R$35:$R$42))&lt;0,"-",$R$34+SUMPRODUCT(TRANSPOSE(D440:K440),$R$35:$R$42))</f>
        <v>7189.2608567447096</v>
      </c>
      <c r="N440" s="13" t="str">
        <f t="shared" si="40"/>
        <v>-</v>
      </c>
      <c r="O440" s="13">
        <f t="shared" si="41"/>
        <v>19313.465433779835</v>
      </c>
    </row>
    <row r="441" spans="1:15" x14ac:dyDescent="0.25">
      <c r="A441" s="1" t="s">
        <v>0</v>
      </c>
      <c r="B441" s="1" t="s">
        <v>4</v>
      </c>
      <c r="C441" s="1" t="s">
        <v>5</v>
      </c>
      <c r="D441" s="1">
        <v>52</v>
      </c>
      <c r="E441" s="1">
        <v>46.75</v>
      </c>
      <c r="F441" s="1">
        <v>5</v>
      </c>
      <c r="G441" s="7">
        <f t="shared" si="39"/>
        <v>1</v>
      </c>
      <c r="H441" s="7">
        <f t="shared" si="42"/>
        <v>0</v>
      </c>
      <c r="I441" s="7">
        <f t="shared" si="43"/>
        <v>1</v>
      </c>
      <c r="J441" s="7">
        <f t="shared" si="43"/>
        <v>0</v>
      </c>
      <c r="K441" s="7">
        <f t="shared" si="43"/>
        <v>0</v>
      </c>
      <c r="L441" s="11">
        <v>12592.5345</v>
      </c>
      <c r="M441" s="12" cm="1">
        <f t="array" ref="M441">IF(($R$34+SUMPRODUCT(TRANSPOSE(D441:K441),$R$35:$R$42))&lt;0,"-",$R$34+SUMPRODUCT(TRANSPOSE(D441:K441),$R$35:$R$42))</f>
        <v>18617.766388439504</v>
      </c>
      <c r="N441" s="13">
        <f t="shared" si="40"/>
        <v>6493.5618114043809</v>
      </c>
      <c r="O441" s="13">
        <f t="shared" si="41"/>
        <v>30741.970965474626</v>
      </c>
    </row>
    <row r="442" spans="1:15" x14ac:dyDescent="0.25">
      <c r="A442" s="1" t="s">
        <v>3</v>
      </c>
      <c r="B442" s="1" t="s">
        <v>4</v>
      </c>
      <c r="C442" s="1" t="s">
        <v>7</v>
      </c>
      <c r="D442" s="1">
        <v>26</v>
      </c>
      <c r="E442" s="1">
        <v>29.45</v>
      </c>
      <c r="F442" s="1">
        <v>0</v>
      </c>
      <c r="G442" s="7">
        <f t="shared" si="39"/>
        <v>0</v>
      </c>
      <c r="H442" s="7">
        <f t="shared" si="42"/>
        <v>0</v>
      </c>
      <c r="I442" s="7">
        <f t="shared" si="43"/>
        <v>0</v>
      </c>
      <c r="J442" s="7">
        <f t="shared" si="43"/>
        <v>0</v>
      </c>
      <c r="K442" s="7">
        <f t="shared" si="43"/>
        <v>1</v>
      </c>
      <c r="L442" s="11">
        <v>2897.3235</v>
      </c>
      <c r="M442" s="12" cm="1">
        <f t="array" ref="M442">IF(($R$34+SUMPRODUCT(TRANSPOSE(D442:K442),$R$35:$R$42))&lt;0,"-",$R$34+SUMPRODUCT(TRANSPOSE(D442:K442),$R$35:$R$42))</f>
        <v>4597.659439247971</v>
      </c>
      <c r="N442" s="13" t="str">
        <f t="shared" si="40"/>
        <v>-</v>
      </c>
      <c r="O442" s="13">
        <f t="shared" si="41"/>
        <v>16721.864016283092</v>
      </c>
    </row>
    <row r="443" spans="1:15" x14ac:dyDescent="0.25">
      <c r="A443" s="1" t="s">
        <v>0</v>
      </c>
      <c r="B443" s="1" t="s">
        <v>4</v>
      </c>
      <c r="C443" s="1" t="s">
        <v>6</v>
      </c>
      <c r="D443" s="1">
        <v>31</v>
      </c>
      <c r="E443" s="1">
        <v>32.68</v>
      </c>
      <c r="F443" s="1">
        <v>1</v>
      </c>
      <c r="G443" s="7">
        <f t="shared" si="39"/>
        <v>1</v>
      </c>
      <c r="H443" s="7">
        <f t="shared" si="42"/>
        <v>0</v>
      </c>
      <c r="I443" s="7">
        <f t="shared" si="43"/>
        <v>0</v>
      </c>
      <c r="J443" s="7">
        <f t="shared" si="43"/>
        <v>1</v>
      </c>
      <c r="K443" s="7">
        <f t="shared" si="43"/>
        <v>0</v>
      </c>
      <c r="L443" s="11">
        <v>4738.2682000000004</v>
      </c>
      <c r="M443" s="12" cm="1">
        <f t="array" ref="M443">IF(($R$34+SUMPRODUCT(TRANSPOSE(D443:K443),$R$35:$R$42))&lt;0,"-",$R$34+SUMPRODUCT(TRANSPOSE(D443:K443),$R$35:$R$42))</f>
        <v>7231.3870622173235</v>
      </c>
      <c r="N443" s="13" t="str">
        <f t="shared" si="40"/>
        <v>-</v>
      </c>
      <c r="O443" s="13">
        <f t="shared" si="41"/>
        <v>19355.591639252445</v>
      </c>
    </row>
    <row r="444" spans="1:15" x14ac:dyDescent="0.25">
      <c r="A444" s="1" t="s">
        <v>0</v>
      </c>
      <c r="B444" s="1" t="s">
        <v>1</v>
      </c>
      <c r="C444" s="1" t="s">
        <v>2</v>
      </c>
      <c r="D444" s="1">
        <v>33</v>
      </c>
      <c r="E444" s="1">
        <v>33.5</v>
      </c>
      <c r="F444" s="1">
        <v>0</v>
      </c>
      <c r="G444" s="7">
        <f t="shared" si="39"/>
        <v>1</v>
      </c>
      <c r="H444" s="7">
        <f t="shared" si="42"/>
        <v>1</v>
      </c>
      <c r="I444" s="7">
        <f t="shared" si="43"/>
        <v>0</v>
      </c>
      <c r="J444" s="7">
        <f t="shared" si="43"/>
        <v>0</v>
      </c>
      <c r="K444" s="7">
        <f t="shared" si="43"/>
        <v>0</v>
      </c>
      <c r="L444" s="11">
        <v>37079.372000000003</v>
      </c>
      <c r="M444" s="12" cm="1">
        <f t="array" ref="M444">IF(($R$34+SUMPRODUCT(TRANSPOSE(D444:K444),$R$35:$R$42))&lt;0,"-",$R$34+SUMPRODUCT(TRANSPOSE(D444:K444),$R$35:$R$42))</f>
        <v>30789.185304140381</v>
      </c>
      <c r="N444" s="13">
        <f t="shared" si="40"/>
        <v>18664.980727105256</v>
      </c>
      <c r="O444" s="13">
        <f t="shared" si="41"/>
        <v>42913.389881175506</v>
      </c>
    </row>
    <row r="445" spans="1:15" x14ac:dyDescent="0.25">
      <c r="A445" s="1" t="s">
        <v>3</v>
      </c>
      <c r="B445" s="1" t="s">
        <v>4</v>
      </c>
      <c r="C445" s="1" t="s">
        <v>5</v>
      </c>
      <c r="D445" s="1">
        <v>18</v>
      </c>
      <c r="E445" s="1">
        <v>43.01</v>
      </c>
      <c r="F445" s="1">
        <v>0</v>
      </c>
      <c r="G445" s="7">
        <f t="shared" si="39"/>
        <v>0</v>
      </c>
      <c r="H445" s="7">
        <f t="shared" si="42"/>
        <v>0</v>
      </c>
      <c r="I445" s="7">
        <f t="shared" si="43"/>
        <v>1</v>
      </c>
      <c r="J445" s="7">
        <f t="shared" si="43"/>
        <v>0</v>
      </c>
      <c r="K445" s="7">
        <f t="shared" si="43"/>
        <v>0</v>
      </c>
      <c r="L445" s="11">
        <v>1149.3959</v>
      </c>
      <c r="M445" s="12" cm="1">
        <f t="array" ref="M445">IF(($R$34+SUMPRODUCT(TRANSPOSE(D445:K445),$R$35:$R$42))&lt;0,"-",$R$34+SUMPRODUCT(TRANSPOSE(D445:K445),$R$35:$R$42))</f>
        <v>6107.2498005243615</v>
      </c>
      <c r="N445" s="13" t="str">
        <f t="shared" si="40"/>
        <v>-</v>
      </c>
      <c r="O445" s="13">
        <f t="shared" si="41"/>
        <v>18231.454377559487</v>
      </c>
    </row>
    <row r="446" spans="1:15" x14ac:dyDescent="0.25">
      <c r="A446" s="1" t="s">
        <v>0</v>
      </c>
      <c r="B446" s="1" t="s">
        <v>4</v>
      </c>
      <c r="C446" s="1" t="s">
        <v>5</v>
      </c>
      <c r="D446" s="1">
        <v>59</v>
      </c>
      <c r="E446" s="1">
        <v>36.520000000000003</v>
      </c>
      <c r="F446" s="1">
        <v>1</v>
      </c>
      <c r="G446" s="7">
        <f t="shared" si="39"/>
        <v>1</v>
      </c>
      <c r="H446" s="7">
        <f t="shared" si="42"/>
        <v>0</v>
      </c>
      <c r="I446" s="7">
        <f t="shared" si="43"/>
        <v>1</v>
      </c>
      <c r="J446" s="7">
        <f t="shared" si="43"/>
        <v>0</v>
      </c>
      <c r="K446" s="7">
        <f t="shared" si="43"/>
        <v>0</v>
      </c>
      <c r="L446" s="11">
        <v>28287.897659999999</v>
      </c>
      <c r="M446" s="12" cm="1">
        <f t="array" ref="M446">IF(($R$34+SUMPRODUCT(TRANSPOSE(D446:K446),$R$35:$R$42))&lt;0,"-",$R$34+SUMPRODUCT(TRANSPOSE(D446:K446),$R$35:$R$42))</f>
        <v>15043.809645165515</v>
      </c>
      <c r="N446" s="13">
        <f t="shared" si="40"/>
        <v>2919.6050681303914</v>
      </c>
      <c r="O446" s="13">
        <f t="shared" si="41"/>
        <v>27168.01422220064</v>
      </c>
    </row>
    <row r="447" spans="1:15" x14ac:dyDescent="0.25">
      <c r="A447" s="1" t="s">
        <v>3</v>
      </c>
      <c r="B447" s="1" t="s">
        <v>1</v>
      </c>
      <c r="C447" s="1" t="s">
        <v>6</v>
      </c>
      <c r="D447" s="1">
        <v>56</v>
      </c>
      <c r="E447" s="1">
        <v>26.695</v>
      </c>
      <c r="F447" s="1">
        <v>1</v>
      </c>
      <c r="G447" s="7">
        <f t="shared" si="39"/>
        <v>0</v>
      </c>
      <c r="H447" s="7">
        <f t="shared" si="42"/>
        <v>1</v>
      </c>
      <c r="I447" s="7">
        <f t="shared" si="43"/>
        <v>0</v>
      </c>
      <c r="J447" s="7">
        <f t="shared" si="43"/>
        <v>1</v>
      </c>
      <c r="K447" s="7">
        <f t="shared" si="43"/>
        <v>0</v>
      </c>
      <c r="L447" s="11">
        <v>26109.32905</v>
      </c>
      <c r="M447" s="12" cm="1">
        <f t="array" ref="M447">IF(($R$34+SUMPRODUCT(TRANSPOSE(D447:K447),$R$35:$R$42))&lt;0,"-",$R$34+SUMPRODUCT(TRANSPOSE(D447:K447),$R$35:$R$42))</f>
        <v>35339.943238307831</v>
      </c>
      <c r="N447" s="13">
        <f t="shared" si="40"/>
        <v>23215.738661272706</v>
      </c>
      <c r="O447" s="13">
        <f t="shared" si="41"/>
        <v>47464.147815342956</v>
      </c>
    </row>
    <row r="448" spans="1:15" x14ac:dyDescent="0.25">
      <c r="A448" s="1" t="s">
        <v>0</v>
      </c>
      <c r="B448" s="1" t="s">
        <v>4</v>
      </c>
      <c r="C448" s="1" t="s">
        <v>2</v>
      </c>
      <c r="D448" s="1">
        <v>45</v>
      </c>
      <c r="E448" s="1">
        <v>33.1</v>
      </c>
      <c r="F448" s="1">
        <v>0</v>
      </c>
      <c r="G448" s="7">
        <f t="shared" si="39"/>
        <v>1</v>
      </c>
      <c r="H448" s="7">
        <f t="shared" si="42"/>
        <v>0</v>
      </c>
      <c r="I448" s="7">
        <f t="shared" si="43"/>
        <v>0</v>
      </c>
      <c r="J448" s="7">
        <f t="shared" si="43"/>
        <v>0</v>
      </c>
      <c r="K448" s="7">
        <f t="shared" si="43"/>
        <v>0</v>
      </c>
      <c r="L448" s="11">
        <v>7345.0839999999998</v>
      </c>
      <c r="M448" s="12" cm="1">
        <f t="array" ref="M448">IF(($R$34+SUMPRODUCT(TRANSPOSE(D448:K448),$R$35:$R$42))&lt;0,"-",$R$34+SUMPRODUCT(TRANSPOSE(D448:K448),$R$35:$R$42))</f>
        <v>9887.249611231422</v>
      </c>
      <c r="N448" s="13" t="str">
        <f t="shared" si="40"/>
        <v>-</v>
      </c>
      <c r="O448" s="13">
        <f t="shared" si="41"/>
        <v>22011.454188266543</v>
      </c>
    </row>
    <row r="449" spans="1:15" x14ac:dyDescent="0.25">
      <c r="A449" s="1" t="s">
        <v>3</v>
      </c>
      <c r="B449" s="1" t="s">
        <v>4</v>
      </c>
      <c r="C449" s="1" t="s">
        <v>7</v>
      </c>
      <c r="D449" s="1">
        <v>60</v>
      </c>
      <c r="E449" s="1">
        <v>29.64</v>
      </c>
      <c r="F449" s="1">
        <v>0</v>
      </c>
      <c r="G449" s="7">
        <f t="shared" si="39"/>
        <v>0</v>
      </c>
      <c r="H449" s="7">
        <f t="shared" si="42"/>
        <v>0</v>
      </c>
      <c r="I449" s="7">
        <f t="shared" si="43"/>
        <v>0</v>
      </c>
      <c r="J449" s="7">
        <f t="shared" si="43"/>
        <v>0</v>
      </c>
      <c r="K449" s="7">
        <f t="shared" si="43"/>
        <v>1</v>
      </c>
      <c r="L449" s="11">
        <v>12730.999599999999</v>
      </c>
      <c r="M449" s="12" cm="1">
        <f t="array" ref="M449">IF(($R$34+SUMPRODUCT(TRANSPOSE(D449:K449),$R$35:$R$42))&lt;0,"-",$R$34+SUMPRODUCT(TRANSPOSE(D449:K449),$R$35:$R$42))</f>
        <v>13395.222181703863</v>
      </c>
      <c r="N449" s="13">
        <f t="shared" si="40"/>
        <v>1271.0176046687393</v>
      </c>
      <c r="O449" s="13">
        <f t="shared" si="41"/>
        <v>25519.426758738984</v>
      </c>
    </row>
    <row r="450" spans="1:15" x14ac:dyDescent="0.25">
      <c r="A450" s="1" t="s">
        <v>0</v>
      </c>
      <c r="B450" s="1" t="s">
        <v>4</v>
      </c>
      <c r="C450" s="1" t="s">
        <v>6</v>
      </c>
      <c r="D450" s="1">
        <v>56</v>
      </c>
      <c r="E450" s="1">
        <v>25.65</v>
      </c>
      <c r="F450" s="1">
        <v>0</v>
      </c>
      <c r="G450" s="7">
        <f t="shared" si="39"/>
        <v>1</v>
      </c>
      <c r="H450" s="7">
        <f t="shared" si="42"/>
        <v>0</v>
      </c>
      <c r="I450" s="7">
        <f t="shared" si="43"/>
        <v>0</v>
      </c>
      <c r="J450" s="7">
        <f t="shared" si="43"/>
        <v>1</v>
      </c>
      <c r="K450" s="7">
        <f t="shared" si="43"/>
        <v>0</v>
      </c>
      <c r="L450" s="11">
        <v>11454.021500000001</v>
      </c>
      <c r="M450" s="12" cm="1">
        <f t="array" ref="M450">IF(($R$34+SUMPRODUCT(TRANSPOSE(D450:K450),$R$35:$R$42))&lt;0,"-",$R$34+SUMPRODUCT(TRANSPOSE(D450:K450),$R$35:$R$42))</f>
        <v>10792.765351617683</v>
      </c>
      <c r="N450" s="13" t="str">
        <f t="shared" si="40"/>
        <v>-</v>
      </c>
      <c r="O450" s="13">
        <f t="shared" si="41"/>
        <v>22916.969928652805</v>
      </c>
    </row>
    <row r="451" spans="1:15" x14ac:dyDescent="0.25">
      <c r="A451" s="1" t="s">
        <v>0</v>
      </c>
      <c r="B451" s="1" t="s">
        <v>4</v>
      </c>
      <c r="C451" s="1" t="s">
        <v>2</v>
      </c>
      <c r="D451" s="1">
        <v>40</v>
      </c>
      <c r="E451" s="1">
        <v>29.6</v>
      </c>
      <c r="F451" s="1">
        <v>0</v>
      </c>
      <c r="G451" s="7">
        <f t="shared" ref="G451:G514" si="44">IF($A451=G$2,1,0)</f>
        <v>1</v>
      </c>
      <c r="H451" s="7">
        <f t="shared" si="42"/>
        <v>0</v>
      </c>
      <c r="I451" s="7">
        <f t="shared" si="43"/>
        <v>0</v>
      </c>
      <c r="J451" s="7">
        <f t="shared" si="43"/>
        <v>0</v>
      </c>
      <c r="K451" s="7">
        <f t="shared" si="43"/>
        <v>0</v>
      </c>
      <c r="L451" s="11">
        <v>5910.9440000000004</v>
      </c>
      <c r="M451" s="12" cm="1">
        <f t="array" ref="M451">IF(($R$34+SUMPRODUCT(TRANSPOSE(D451:K451),$R$35:$R$42))&lt;0,"-",$R$34+SUMPRODUCT(TRANSPOSE(D451:K451),$R$35:$R$42))</f>
        <v>7415.7907609067443</v>
      </c>
      <c r="N451" s="13" t="str">
        <f t="shared" ref="N451:N514" si="45">IFERROR(IF($M451-(2*$R$24)&lt;0,"-",($M451-(2*$R$24))),"-")</f>
        <v>-</v>
      </c>
      <c r="O451" s="13">
        <f t="shared" ref="O451:O514" si="46">IFERROR(IF($L451+(2*$R$24)&lt;0,"-",($M451+(2*$R$24))),"-")</f>
        <v>19539.995337941866</v>
      </c>
    </row>
    <row r="452" spans="1:15" x14ac:dyDescent="0.25">
      <c r="A452" s="1" t="s">
        <v>3</v>
      </c>
      <c r="B452" s="1" t="s">
        <v>4</v>
      </c>
      <c r="C452" s="1" t="s">
        <v>2</v>
      </c>
      <c r="D452" s="1">
        <v>35</v>
      </c>
      <c r="E452" s="1">
        <v>38.6</v>
      </c>
      <c r="F452" s="1">
        <v>1</v>
      </c>
      <c r="G452" s="7">
        <f t="shared" si="44"/>
        <v>0</v>
      </c>
      <c r="H452" s="7">
        <f t="shared" ref="H452:H515" si="47">IF(B452="yes",1,0)</f>
        <v>0</v>
      </c>
      <c r="I452" s="7">
        <f t="shared" ref="I452:K515" si="48">IF($C452=I$2,1,0)</f>
        <v>0</v>
      </c>
      <c r="J452" s="7">
        <f t="shared" si="48"/>
        <v>0</v>
      </c>
      <c r="K452" s="7">
        <f t="shared" si="48"/>
        <v>0</v>
      </c>
      <c r="L452" s="11">
        <v>4762.3289999999997</v>
      </c>
      <c r="M452" s="12" cm="1">
        <f t="array" ref="M452">IF(($R$34+SUMPRODUCT(TRANSPOSE(D452:K452),$R$35:$R$42))&lt;0,"-",$R$34+SUMPRODUCT(TRANSPOSE(D452:K452),$R$35:$R$42))</f>
        <v>9528.4362664715918</v>
      </c>
      <c r="N452" s="13" t="str">
        <f t="shared" si="45"/>
        <v>-</v>
      </c>
      <c r="O452" s="13">
        <f t="shared" si="46"/>
        <v>21652.640843506713</v>
      </c>
    </row>
    <row r="453" spans="1:15" x14ac:dyDescent="0.25">
      <c r="A453" s="1" t="s">
        <v>3</v>
      </c>
      <c r="B453" s="1" t="s">
        <v>4</v>
      </c>
      <c r="C453" s="1" t="s">
        <v>2</v>
      </c>
      <c r="D453" s="1">
        <v>39</v>
      </c>
      <c r="E453" s="1">
        <v>29.6</v>
      </c>
      <c r="F453" s="1">
        <v>4</v>
      </c>
      <c r="G453" s="7">
        <f t="shared" si="44"/>
        <v>0</v>
      </c>
      <c r="H453" s="7">
        <f t="shared" si="47"/>
        <v>0</v>
      </c>
      <c r="I453" s="7">
        <f t="shared" si="48"/>
        <v>0</v>
      </c>
      <c r="J453" s="7">
        <f t="shared" si="48"/>
        <v>0</v>
      </c>
      <c r="K453" s="7">
        <f t="shared" si="48"/>
        <v>0</v>
      </c>
      <c r="L453" s="11">
        <v>7512.2669999999998</v>
      </c>
      <c r="M453" s="12" cm="1">
        <f t="array" ref="M453">IF(($R$34+SUMPRODUCT(TRANSPOSE(D453:K453),$R$35:$R$42))&lt;0,"-",$R$34+SUMPRODUCT(TRANSPOSE(D453:K453),$R$35:$R$42))</f>
        <v>8929.6222295708212</v>
      </c>
      <c r="N453" s="13" t="str">
        <f t="shared" si="45"/>
        <v>-</v>
      </c>
      <c r="O453" s="13">
        <f t="shared" si="46"/>
        <v>21053.826806605946</v>
      </c>
    </row>
    <row r="454" spans="1:15" x14ac:dyDescent="0.25">
      <c r="A454" s="1" t="s">
        <v>3</v>
      </c>
      <c r="B454" s="1" t="s">
        <v>4</v>
      </c>
      <c r="C454" s="1" t="s">
        <v>6</v>
      </c>
      <c r="D454" s="1">
        <v>30</v>
      </c>
      <c r="E454" s="1">
        <v>24.13</v>
      </c>
      <c r="F454" s="1">
        <v>1</v>
      </c>
      <c r="G454" s="7">
        <f t="shared" si="44"/>
        <v>0</v>
      </c>
      <c r="H454" s="7">
        <f t="shared" si="47"/>
        <v>0</v>
      </c>
      <c r="I454" s="7">
        <f t="shared" si="48"/>
        <v>0</v>
      </c>
      <c r="J454" s="7">
        <f t="shared" si="48"/>
        <v>1</v>
      </c>
      <c r="K454" s="7">
        <f t="shared" si="48"/>
        <v>0</v>
      </c>
      <c r="L454" s="11">
        <v>4032.2406999999998</v>
      </c>
      <c r="M454" s="12" cm="1">
        <f t="array" ref="M454">IF(($R$34+SUMPRODUCT(TRANSPOSE(D454:K454),$R$35:$R$42))&lt;0,"-",$R$34+SUMPRODUCT(TRANSPOSE(D454:K454),$R$35:$R$42))</f>
        <v>3943.1123219121837</v>
      </c>
      <c r="N454" s="13" t="str">
        <f t="shared" si="45"/>
        <v>-</v>
      </c>
      <c r="O454" s="13">
        <f t="shared" si="46"/>
        <v>16067.316898947307</v>
      </c>
    </row>
    <row r="455" spans="1:15" x14ac:dyDescent="0.25">
      <c r="A455" s="1" t="s">
        <v>3</v>
      </c>
      <c r="B455" s="1" t="s">
        <v>4</v>
      </c>
      <c r="C455" s="1" t="s">
        <v>2</v>
      </c>
      <c r="D455" s="1">
        <v>24</v>
      </c>
      <c r="E455" s="1">
        <v>23.4</v>
      </c>
      <c r="F455" s="1">
        <v>0</v>
      </c>
      <c r="G455" s="7">
        <f t="shared" si="44"/>
        <v>0</v>
      </c>
      <c r="H455" s="7">
        <f t="shared" si="47"/>
        <v>0</v>
      </c>
      <c r="I455" s="7">
        <f t="shared" si="48"/>
        <v>0</v>
      </c>
      <c r="J455" s="7">
        <f t="shared" si="48"/>
        <v>0</v>
      </c>
      <c r="K455" s="7">
        <f t="shared" si="48"/>
        <v>0</v>
      </c>
      <c r="L455" s="11">
        <v>1969.614</v>
      </c>
      <c r="M455" s="12" cm="1">
        <f t="array" ref="M455">IF(($R$34+SUMPRODUCT(TRANSPOSE(D455:K455),$R$35:$R$42))&lt;0,"-",$R$34+SUMPRODUCT(TRANSPOSE(D455:K455),$R$35:$R$42))</f>
        <v>1071.7753485268622</v>
      </c>
      <c r="N455" s="13" t="str">
        <f t="shared" si="45"/>
        <v>-</v>
      </c>
      <c r="O455" s="13">
        <f t="shared" si="46"/>
        <v>13195.979925561986</v>
      </c>
    </row>
    <row r="456" spans="1:15" x14ac:dyDescent="0.25">
      <c r="A456" s="1" t="s">
        <v>3</v>
      </c>
      <c r="B456" s="1" t="s">
        <v>4</v>
      </c>
      <c r="C456" s="1" t="s">
        <v>6</v>
      </c>
      <c r="D456" s="1">
        <v>20</v>
      </c>
      <c r="E456" s="1">
        <v>29.734999999999999</v>
      </c>
      <c r="F456" s="1">
        <v>0</v>
      </c>
      <c r="G456" s="7">
        <f t="shared" si="44"/>
        <v>0</v>
      </c>
      <c r="H456" s="7">
        <f t="shared" si="47"/>
        <v>0</v>
      </c>
      <c r="I456" s="7">
        <f t="shared" si="48"/>
        <v>0</v>
      </c>
      <c r="J456" s="7">
        <f t="shared" si="48"/>
        <v>1</v>
      </c>
      <c r="K456" s="7">
        <f t="shared" si="48"/>
        <v>0</v>
      </c>
      <c r="L456" s="11">
        <v>1769.5316499999999</v>
      </c>
      <c r="M456" s="12" cm="1">
        <f t="array" ref="M456">IF(($R$34+SUMPRODUCT(TRANSPOSE(D456:K456),$R$35:$R$42))&lt;0,"-",$R$34+SUMPRODUCT(TRANSPOSE(D456:K456),$R$35:$R$42))</f>
        <v>2800.2275588783305</v>
      </c>
      <c r="N456" s="13" t="str">
        <f t="shared" si="45"/>
        <v>-</v>
      </c>
      <c r="O456" s="13">
        <f t="shared" si="46"/>
        <v>14924.432135913454</v>
      </c>
    </row>
    <row r="457" spans="1:15" x14ac:dyDescent="0.25">
      <c r="A457" s="1" t="s">
        <v>3</v>
      </c>
      <c r="B457" s="1" t="s">
        <v>4</v>
      </c>
      <c r="C457" s="1" t="s">
        <v>5</v>
      </c>
      <c r="D457" s="1">
        <v>32</v>
      </c>
      <c r="E457" s="1">
        <v>46.53</v>
      </c>
      <c r="F457" s="1">
        <v>2</v>
      </c>
      <c r="G457" s="7">
        <f t="shared" si="44"/>
        <v>0</v>
      </c>
      <c r="H457" s="7">
        <f t="shared" si="47"/>
        <v>0</v>
      </c>
      <c r="I457" s="7">
        <f t="shared" si="48"/>
        <v>1</v>
      </c>
      <c r="J457" s="7">
        <f t="shared" si="48"/>
        <v>0</v>
      </c>
      <c r="K457" s="7">
        <f t="shared" si="48"/>
        <v>0</v>
      </c>
      <c r="L457" s="11">
        <v>4686.3887000000004</v>
      </c>
      <c r="M457" s="12" cm="1">
        <f t="array" ref="M457">IF(($R$34+SUMPRODUCT(TRANSPOSE(D457:K457),$R$35:$R$42))&lt;0,"-",$R$34+SUMPRODUCT(TRANSPOSE(D457:K457),$R$35:$R$42))</f>
        <v>11848.200783055654</v>
      </c>
      <c r="N457" s="13" t="str">
        <f t="shared" si="45"/>
        <v>-</v>
      </c>
      <c r="O457" s="13">
        <f t="shared" si="46"/>
        <v>23972.405360090779</v>
      </c>
    </row>
    <row r="458" spans="1:15" x14ac:dyDescent="0.25">
      <c r="A458" s="1" t="s">
        <v>3</v>
      </c>
      <c r="B458" s="1" t="s">
        <v>4</v>
      </c>
      <c r="C458" s="1" t="s">
        <v>2</v>
      </c>
      <c r="D458" s="1">
        <v>59</v>
      </c>
      <c r="E458" s="1">
        <v>37.4</v>
      </c>
      <c r="F458" s="1">
        <v>0</v>
      </c>
      <c r="G458" s="7">
        <f t="shared" si="44"/>
        <v>0</v>
      </c>
      <c r="H458" s="7">
        <f t="shared" si="47"/>
        <v>0</v>
      </c>
      <c r="I458" s="7">
        <f t="shared" si="48"/>
        <v>0</v>
      </c>
      <c r="J458" s="7">
        <f t="shared" si="48"/>
        <v>0</v>
      </c>
      <c r="K458" s="7">
        <f t="shared" si="48"/>
        <v>0</v>
      </c>
      <c r="L458" s="11">
        <v>21797.000400000001</v>
      </c>
      <c r="M458" s="12" cm="1">
        <f t="array" ref="M458">IF(($R$34+SUMPRODUCT(TRANSPOSE(D458:K458),$R$35:$R$42))&lt;0,"-",$R$34+SUMPRODUCT(TRANSPOSE(D458:K458),$R$35:$R$42))</f>
        <v>14810.4560378858</v>
      </c>
      <c r="N458" s="13">
        <f t="shared" si="45"/>
        <v>2686.2514608506772</v>
      </c>
      <c r="O458" s="13">
        <f t="shared" si="46"/>
        <v>26934.660614920926</v>
      </c>
    </row>
    <row r="459" spans="1:15" x14ac:dyDescent="0.25">
      <c r="A459" s="1" t="s">
        <v>0</v>
      </c>
      <c r="B459" s="1" t="s">
        <v>4</v>
      </c>
      <c r="C459" s="1" t="s">
        <v>5</v>
      </c>
      <c r="D459" s="1">
        <v>55</v>
      </c>
      <c r="E459" s="1">
        <v>30.14</v>
      </c>
      <c r="F459" s="1">
        <v>2</v>
      </c>
      <c r="G459" s="7">
        <f t="shared" si="44"/>
        <v>1</v>
      </c>
      <c r="H459" s="7">
        <f t="shared" si="47"/>
        <v>0</v>
      </c>
      <c r="I459" s="7">
        <f t="shared" si="48"/>
        <v>1</v>
      </c>
      <c r="J459" s="7">
        <f t="shared" si="48"/>
        <v>0</v>
      </c>
      <c r="K459" s="7">
        <f t="shared" si="48"/>
        <v>0</v>
      </c>
      <c r="L459" s="11">
        <v>11881.9696</v>
      </c>
      <c r="M459" s="12" cm="1">
        <f t="array" ref="M459">IF(($R$34+SUMPRODUCT(TRANSPOSE(D459:K459),$R$35:$R$42))&lt;0,"-",$R$34+SUMPRODUCT(TRANSPOSE(D459:K459),$R$35:$R$42))</f>
        <v>12327.830546128094</v>
      </c>
      <c r="N459" s="13">
        <f t="shared" si="45"/>
        <v>203.62596909297099</v>
      </c>
      <c r="O459" s="13">
        <f t="shared" si="46"/>
        <v>24452.035123163216</v>
      </c>
    </row>
    <row r="460" spans="1:15" x14ac:dyDescent="0.25">
      <c r="A460" s="1" t="s">
        <v>0</v>
      </c>
      <c r="B460" s="1" t="s">
        <v>4</v>
      </c>
      <c r="C460" s="1" t="s">
        <v>6</v>
      </c>
      <c r="D460" s="1">
        <v>57</v>
      </c>
      <c r="E460" s="1">
        <v>30.495000000000001</v>
      </c>
      <c r="F460" s="1">
        <v>0</v>
      </c>
      <c r="G460" s="7">
        <f t="shared" si="44"/>
        <v>1</v>
      </c>
      <c r="H460" s="7">
        <f t="shared" si="47"/>
        <v>0</v>
      </c>
      <c r="I460" s="7">
        <f t="shared" si="48"/>
        <v>0</v>
      </c>
      <c r="J460" s="7">
        <f t="shared" si="48"/>
        <v>1</v>
      </c>
      <c r="K460" s="7">
        <f t="shared" si="48"/>
        <v>0</v>
      </c>
      <c r="L460" s="11">
        <v>11840.77505</v>
      </c>
      <c r="M460" s="12" cm="1">
        <f t="array" ref="M460">IF(($R$34+SUMPRODUCT(TRANSPOSE(D460:K460),$R$35:$R$42))&lt;0,"-",$R$34+SUMPRODUCT(TRANSPOSE(D460:K460),$R$35:$R$42))</f>
        <v>12693.013986899554</v>
      </c>
      <c r="N460" s="13">
        <f t="shared" si="45"/>
        <v>568.80940986443056</v>
      </c>
      <c r="O460" s="13">
        <f t="shared" si="46"/>
        <v>24817.218563934679</v>
      </c>
    </row>
    <row r="461" spans="1:15" x14ac:dyDescent="0.25">
      <c r="A461" s="1" t="s">
        <v>3</v>
      </c>
      <c r="B461" s="1" t="s">
        <v>4</v>
      </c>
      <c r="C461" s="1" t="s">
        <v>2</v>
      </c>
      <c r="D461" s="1">
        <v>56</v>
      </c>
      <c r="E461" s="1">
        <v>39.6</v>
      </c>
      <c r="F461" s="1">
        <v>0</v>
      </c>
      <c r="G461" s="7">
        <f t="shared" si="44"/>
        <v>0</v>
      </c>
      <c r="H461" s="7">
        <f t="shared" si="47"/>
        <v>0</v>
      </c>
      <c r="I461" s="7">
        <f t="shared" si="48"/>
        <v>0</v>
      </c>
      <c r="J461" s="7">
        <f t="shared" si="48"/>
        <v>0</v>
      </c>
      <c r="K461" s="7">
        <f t="shared" si="48"/>
        <v>0</v>
      </c>
      <c r="L461" s="11">
        <v>10601.412</v>
      </c>
      <c r="M461" s="12" cm="1">
        <f t="array" ref="M461">IF(($R$34+SUMPRODUCT(TRANSPOSE(D461:K461),$R$35:$R$42))&lt;0,"-",$R$34+SUMPRODUCT(TRANSPOSE(D461:K461),$R$35:$R$42))</f>
        <v>14786.112578217606</v>
      </c>
      <c r="N461" s="13">
        <f t="shared" si="45"/>
        <v>2661.9080011824826</v>
      </c>
      <c r="O461" s="13">
        <f t="shared" si="46"/>
        <v>26910.317155252727</v>
      </c>
    </row>
    <row r="462" spans="1:15" x14ac:dyDescent="0.25">
      <c r="A462" s="1" t="s">
        <v>0</v>
      </c>
      <c r="B462" s="1" t="s">
        <v>4</v>
      </c>
      <c r="C462" s="1" t="s">
        <v>5</v>
      </c>
      <c r="D462" s="1">
        <v>40</v>
      </c>
      <c r="E462" s="1">
        <v>33</v>
      </c>
      <c r="F462" s="1">
        <v>3</v>
      </c>
      <c r="G462" s="7">
        <f t="shared" si="44"/>
        <v>1</v>
      </c>
      <c r="H462" s="7">
        <f t="shared" si="47"/>
        <v>0</v>
      </c>
      <c r="I462" s="7">
        <f t="shared" si="48"/>
        <v>1</v>
      </c>
      <c r="J462" s="7">
        <f t="shared" si="48"/>
        <v>0</v>
      </c>
      <c r="K462" s="7">
        <f t="shared" si="48"/>
        <v>0</v>
      </c>
      <c r="L462" s="11">
        <v>7682.67</v>
      </c>
      <c r="M462" s="12" cm="1">
        <f t="array" ref="M462">IF(($R$34+SUMPRODUCT(TRANSPOSE(D462:K462),$R$35:$R$42))&lt;0,"-",$R$34+SUMPRODUCT(TRANSPOSE(D462:K462),$R$35:$R$42))</f>
        <v>9920.579080544012</v>
      </c>
      <c r="N462" s="13" t="str">
        <f t="shared" si="45"/>
        <v>-</v>
      </c>
      <c r="O462" s="13">
        <f t="shared" si="46"/>
        <v>22044.783657579137</v>
      </c>
    </row>
    <row r="463" spans="1:15" x14ac:dyDescent="0.25">
      <c r="A463" s="1" t="s">
        <v>0</v>
      </c>
      <c r="B463" s="1" t="s">
        <v>4</v>
      </c>
      <c r="C463" s="1" t="s">
        <v>5</v>
      </c>
      <c r="D463" s="1">
        <v>49</v>
      </c>
      <c r="E463" s="1">
        <v>36.630000000000003</v>
      </c>
      <c r="F463" s="1">
        <v>3</v>
      </c>
      <c r="G463" s="7">
        <f t="shared" si="44"/>
        <v>1</v>
      </c>
      <c r="H463" s="7">
        <f t="shared" si="47"/>
        <v>0</v>
      </c>
      <c r="I463" s="7">
        <f t="shared" si="48"/>
        <v>1</v>
      </c>
      <c r="J463" s="7">
        <f t="shared" si="48"/>
        <v>0</v>
      </c>
      <c r="K463" s="7">
        <f t="shared" si="48"/>
        <v>0</v>
      </c>
      <c r="L463" s="11">
        <v>10381.4787</v>
      </c>
      <c r="M463" s="12" cm="1">
        <f t="array" ref="M463">IF(($R$34+SUMPRODUCT(TRANSPOSE(D463:K463),$R$35:$R$42))&lt;0,"-",$R$34+SUMPRODUCT(TRANSPOSE(D463:K463),$R$35:$R$42))</f>
        <v>13463.558489987492</v>
      </c>
      <c r="N463" s="13">
        <f t="shared" si="45"/>
        <v>1339.3539129523688</v>
      </c>
      <c r="O463" s="13">
        <f t="shared" si="46"/>
        <v>25587.763067022614</v>
      </c>
    </row>
    <row r="464" spans="1:15" x14ac:dyDescent="0.25">
      <c r="A464" s="1" t="s">
        <v>3</v>
      </c>
      <c r="B464" s="1" t="s">
        <v>1</v>
      </c>
      <c r="C464" s="1" t="s">
        <v>2</v>
      </c>
      <c r="D464" s="1">
        <v>42</v>
      </c>
      <c r="E464" s="1">
        <v>30</v>
      </c>
      <c r="F464" s="1">
        <v>0</v>
      </c>
      <c r="G464" s="7">
        <f t="shared" si="44"/>
        <v>0</v>
      </c>
      <c r="H464" s="7">
        <f t="shared" si="47"/>
        <v>1</v>
      </c>
      <c r="I464" s="7">
        <f t="shared" si="48"/>
        <v>0</v>
      </c>
      <c r="J464" s="7">
        <f t="shared" si="48"/>
        <v>0</v>
      </c>
      <c r="K464" s="7">
        <f t="shared" si="48"/>
        <v>0</v>
      </c>
      <c r="L464" s="11">
        <v>22144.031999999999</v>
      </c>
      <c r="M464" s="12" cm="1">
        <f t="array" ref="M464">IF(($R$34+SUMPRODUCT(TRANSPOSE(D464:K464),$R$35:$R$42))&lt;0,"-",$R$34+SUMPRODUCT(TRANSPOSE(D464:K464),$R$35:$R$42))</f>
        <v>31782.401029943459</v>
      </c>
      <c r="N464" s="13">
        <f t="shared" si="45"/>
        <v>19658.196452908334</v>
      </c>
      <c r="O464" s="13">
        <f t="shared" si="46"/>
        <v>43906.605606978585</v>
      </c>
    </row>
    <row r="465" spans="1:15" x14ac:dyDescent="0.25">
      <c r="A465" s="1" t="s">
        <v>0</v>
      </c>
      <c r="B465" s="1" t="s">
        <v>4</v>
      </c>
      <c r="C465" s="1" t="s">
        <v>7</v>
      </c>
      <c r="D465" s="1">
        <v>62</v>
      </c>
      <c r="E465" s="1">
        <v>38.094999999999999</v>
      </c>
      <c r="F465" s="1">
        <v>2</v>
      </c>
      <c r="G465" s="7">
        <f t="shared" si="44"/>
        <v>1</v>
      </c>
      <c r="H465" s="7">
        <f t="shared" si="47"/>
        <v>0</v>
      </c>
      <c r="I465" s="7">
        <f t="shared" si="48"/>
        <v>0</v>
      </c>
      <c r="J465" s="7">
        <f t="shared" si="48"/>
        <v>0</v>
      </c>
      <c r="K465" s="7">
        <f t="shared" si="48"/>
        <v>1</v>
      </c>
      <c r="L465" s="11">
        <v>15230.324049999999</v>
      </c>
      <c r="M465" s="12" cm="1">
        <f t="array" ref="M465">IF(($R$34+SUMPRODUCT(TRANSPOSE(D465:K465),$R$35:$R$42))&lt;0,"-",$R$34+SUMPRODUCT(TRANSPOSE(D465:K465),$R$35:$R$42))</f>
        <v>17859.130986751581</v>
      </c>
      <c r="N465" s="13">
        <f t="shared" si="45"/>
        <v>5734.9264097164578</v>
      </c>
      <c r="O465" s="13">
        <f t="shared" si="46"/>
        <v>29983.335563786706</v>
      </c>
    </row>
    <row r="466" spans="1:15" x14ac:dyDescent="0.25">
      <c r="A466" s="1" t="s">
        <v>3</v>
      </c>
      <c r="B466" s="1" t="s">
        <v>4</v>
      </c>
      <c r="C466" s="1" t="s">
        <v>7</v>
      </c>
      <c r="D466" s="1">
        <v>56</v>
      </c>
      <c r="E466" s="1">
        <v>25.934999999999999</v>
      </c>
      <c r="F466" s="1">
        <v>0</v>
      </c>
      <c r="G466" s="7">
        <f t="shared" si="44"/>
        <v>0</v>
      </c>
      <c r="H466" s="7">
        <f t="shared" si="47"/>
        <v>0</v>
      </c>
      <c r="I466" s="7">
        <f t="shared" si="48"/>
        <v>0</v>
      </c>
      <c r="J466" s="7">
        <f t="shared" si="48"/>
        <v>0</v>
      </c>
      <c r="K466" s="7">
        <f t="shared" si="48"/>
        <v>1</v>
      </c>
      <c r="L466" s="11">
        <v>11165.417649999999</v>
      </c>
      <c r="M466" s="12" cm="1">
        <f t="array" ref="M466">IF(($R$34+SUMPRODUCT(TRANSPOSE(D466:K466),$R$35:$R$42))&lt;0,"-",$R$34+SUMPRODUCT(TRANSPOSE(D466:K466),$R$35:$R$42))</f>
        <v>11111.085025926306</v>
      </c>
      <c r="N466" s="13" t="str">
        <f t="shared" si="45"/>
        <v>-</v>
      </c>
      <c r="O466" s="13">
        <f t="shared" si="46"/>
        <v>23235.289602961428</v>
      </c>
    </row>
    <row r="467" spans="1:15" x14ac:dyDescent="0.25">
      <c r="A467" s="1" t="s">
        <v>3</v>
      </c>
      <c r="B467" s="1" t="s">
        <v>4</v>
      </c>
      <c r="C467" s="1" t="s">
        <v>6</v>
      </c>
      <c r="D467" s="1">
        <v>19</v>
      </c>
      <c r="E467" s="1">
        <v>25.175000000000001</v>
      </c>
      <c r="F467" s="1">
        <v>0</v>
      </c>
      <c r="G467" s="7">
        <f t="shared" si="44"/>
        <v>0</v>
      </c>
      <c r="H467" s="7">
        <f t="shared" si="47"/>
        <v>0</v>
      </c>
      <c r="I467" s="7">
        <f t="shared" si="48"/>
        <v>0</v>
      </c>
      <c r="J467" s="7">
        <f t="shared" si="48"/>
        <v>1</v>
      </c>
      <c r="K467" s="7">
        <f t="shared" si="48"/>
        <v>0</v>
      </c>
      <c r="L467" s="11">
        <v>1632.0362500000001</v>
      </c>
      <c r="M467" s="12" cm="1">
        <f t="array" ref="M467">IF(($R$34+SUMPRODUCT(TRANSPOSE(D467:K467),$R$35:$R$42))&lt;0,"-",$R$34+SUMPRODUCT(TRANSPOSE(D467:K467),$R$35:$R$42))</f>
        <v>996.64905787555472</v>
      </c>
      <c r="N467" s="13" t="str">
        <f t="shared" si="45"/>
        <v>-</v>
      </c>
      <c r="O467" s="13">
        <f t="shared" si="46"/>
        <v>13120.853634910678</v>
      </c>
    </row>
    <row r="468" spans="1:15" x14ac:dyDescent="0.25">
      <c r="A468" s="1" t="s">
        <v>0</v>
      </c>
      <c r="B468" s="1" t="s">
        <v>1</v>
      </c>
      <c r="C468" s="1" t="s">
        <v>5</v>
      </c>
      <c r="D468" s="1">
        <v>30</v>
      </c>
      <c r="E468" s="1">
        <v>28.38</v>
      </c>
      <c r="F468" s="1">
        <v>1</v>
      </c>
      <c r="G468" s="7">
        <f t="shared" si="44"/>
        <v>1</v>
      </c>
      <c r="H468" s="7">
        <f t="shared" si="47"/>
        <v>1</v>
      </c>
      <c r="I468" s="7">
        <f t="shared" si="48"/>
        <v>1</v>
      </c>
      <c r="J468" s="7">
        <f t="shared" si="48"/>
        <v>0</v>
      </c>
      <c r="K468" s="7">
        <f t="shared" si="48"/>
        <v>0</v>
      </c>
      <c r="L468" s="11">
        <v>19521.968199999999</v>
      </c>
      <c r="M468" s="12" cm="1">
        <f t="array" ref="M468">IF(($R$34+SUMPRODUCT(TRANSPOSE(D468:K468),$R$35:$R$42))&lt;0,"-",$R$34+SUMPRODUCT(TRANSPOSE(D468:K468),$R$35:$R$42))</f>
        <v>28682.47525110298</v>
      </c>
      <c r="N468" s="13">
        <f t="shared" si="45"/>
        <v>16558.270674067855</v>
      </c>
      <c r="O468" s="13">
        <f t="shared" si="46"/>
        <v>40806.679828138105</v>
      </c>
    </row>
    <row r="469" spans="1:15" x14ac:dyDescent="0.25">
      <c r="A469" s="1" t="s">
        <v>0</v>
      </c>
      <c r="B469" s="1" t="s">
        <v>4</v>
      </c>
      <c r="C469" s="1" t="s">
        <v>2</v>
      </c>
      <c r="D469" s="1">
        <v>60</v>
      </c>
      <c r="E469" s="1">
        <v>28.7</v>
      </c>
      <c r="F469" s="1">
        <v>1</v>
      </c>
      <c r="G469" s="7">
        <f t="shared" si="44"/>
        <v>1</v>
      </c>
      <c r="H469" s="7">
        <f t="shared" si="47"/>
        <v>0</v>
      </c>
      <c r="I469" s="7">
        <f t="shared" si="48"/>
        <v>0</v>
      </c>
      <c r="J469" s="7">
        <f t="shared" si="48"/>
        <v>0</v>
      </c>
      <c r="K469" s="7">
        <f t="shared" si="48"/>
        <v>0</v>
      </c>
      <c r="L469" s="11">
        <v>13224.692999999999</v>
      </c>
      <c r="M469" s="12" cm="1">
        <f t="array" ref="M469">IF(($R$34+SUMPRODUCT(TRANSPOSE(D469:K469),$R$35:$R$42))&lt;0,"-",$R$34+SUMPRODUCT(TRANSPOSE(D469:K469),$R$35:$R$42))</f>
        <v>12723.144248553079</v>
      </c>
      <c r="N469" s="13">
        <f t="shared" si="45"/>
        <v>598.9396715179555</v>
      </c>
      <c r="O469" s="13">
        <f t="shared" si="46"/>
        <v>24847.348825588204</v>
      </c>
    </row>
    <row r="470" spans="1:15" x14ac:dyDescent="0.25">
      <c r="A470" s="1" t="s">
        <v>0</v>
      </c>
      <c r="B470" s="1" t="s">
        <v>4</v>
      </c>
      <c r="C470" s="1" t="s">
        <v>6</v>
      </c>
      <c r="D470" s="1">
        <v>56</v>
      </c>
      <c r="E470" s="1">
        <v>33.82</v>
      </c>
      <c r="F470" s="1">
        <v>2</v>
      </c>
      <c r="G470" s="7">
        <f t="shared" si="44"/>
        <v>1</v>
      </c>
      <c r="H470" s="7">
        <f t="shared" si="47"/>
        <v>0</v>
      </c>
      <c r="I470" s="7">
        <f t="shared" si="48"/>
        <v>0</v>
      </c>
      <c r="J470" s="7">
        <f t="shared" si="48"/>
        <v>1</v>
      </c>
      <c r="K470" s="7">
        <f t="shared" si="48"/>
        <v>0</v>
      </c>
      <c r="L470" s="11">
        <v>12643.3778</v>
      </c>
      <c r="M470" s="12" cm="1">
        <f t="array" ref="M470">IF(($R$34+SUMPRODUCT(TRANSPOSE(D470:K470),$R$35:$R$42))&lt;0,"-",$R$34+SUMPRODUCT(TRANSPOSE(D470:K470),$R$35:$R$42))</f>
        <v>14514.976957916511</v>
      </c>
      <c r="N470" s="13">
        <f t="shared" si="45"/>
        <v>2390.772380881388</v>
      </c>
      <c r="O470" s="13">
        <f t="shared" si="46"/>
        <v>26639.181534951633</v>
      </c>
    </row>
    <row r="471" spans="1:15" x14ac:dyDescent="0.25">
      <c r="A471" s="1" t="s">
        <v>0</v>
      </c>
      <c r="B471" s="1" t="s">
        <v>4</v>
      </c>
      <c r="C471" s="1" t="s">
        <v>7</v>
      </c>
      <c r="D471" s="1">
        <v>28</v>
      </c>
      <c r="E471" s="1">
        <v>24.32</v>
      </c>
      <c r="F471" s="1">
        <v>1</v>
      </c>
      <c r="G471" s="7">
        <f t="shared" si="44"/>
        <v>1</v>
      </c>
      <c r="H471" s="7">
        <f t="shared" si="47"/>
        <v>0</v>
      </c>
      <c r="I471" s="7">
        <f t="shared" si="48"/>
        <v>0</v>
      </c>
      <c r="J471" s="7">
        <f t="shared" si="48"/>
        <v>0</v>
      </c>
      <c r="K471" s="7">
        <f t="shared" si="48"/>
        <v>1</v>
      </c>
      <c r="L471" s="11">
        <v>23288.928400000001</v>
      </c>
      <c r="M471" s="12" cm="1">
        <f t="array" ref="M471">IF(($R$34+SUMPRODUCT(TRANSPOSE(D471:K471),$R$35:$R$42))&lt;0,"-",$R$34+SUMPRODUCT(TRANSPOSE(D471:K471),$R$35:$R$42))</f>
        <v>3978.1246318432968</v>
      </c>
      <c r="N471" s="13" t="str">
        <f t="shared" si="45"/>
        <v>-</v>
      </c>
      <c r="O471" s="13">
        <f t="shared" si="46"/>
        <v>16102.32920887842</v>
      </c>
    </row>
    <row r="472" spans="1:15" x14ac:dyDescent="0.25">
      <c r="A472" s="1" t="s">
        <v>0</v>
      </c>
      <c r="B472" s="1" t="s">
        <v>4</v>
      </c>
      <c r="C472" s="1" t="s">
        <v>5</v>
      </c>
      <c r="D472" s="1">
        <v>18</v>
      </c>
      <c r="E472" s="1">
        <v>24.09</v>
      </c>
      <c r="F472" s="1">
        <v>1</v>
      </c>
      <c r="G472" s="7">
        <f t="shared" si="44"/>
        <v>1</v>
      </c>
      <c r="H472" s="7">
        <f t="shared" si="47"/>
        <v>0</v>
      </c>
      <c r="I472" s="7">
        <f t="shared" si="48"/>
        <v>1</v>
      </c>
      <c r="J472" s="7">
        <f t="shared" si="48"/>
        <v>0</v>
      </c>
      <c r="K472" s="7">
        <f t="shared" si="48"/>
        <v>0</v>
      </c>
      <c r="L472" s="11">
        <v>2201.0971</v>
      </c>
      <c r="M472" s="12" cm="1">
        <f t="array" ref="M472">IF(($R$34+SUMPRODUCT(TRANSPOSE(D472:K472),$R$35:$R$42))&lt;0,"-",$R$34+SUMPRODUCT(TRANSPOSE(D472:K472),$R$35:$R$42))</f>
        <v>296.52456275150507</v>
      </c>
      <c r="N472" s="13" t="str">
        <f t="shared" si="45"/>
        <v>-</v>
      </c>
      <c r="O472" s="13">
        <f t="shared" si="46"/>
        <v>12420.729139786628</v>
      </c>
    </row>
    <row r="473" spans="1:15" x14ac:dyDescent="0.25">
      <c r="A473" s="1" t="s">
        <v>3</v>
      </c>
      <c r="B473" s="1" t="s">
        <v>4</v>
      </c>
      <c r="C473" s="1" t="s">
        <v>5</v>
      </c>
      <c r="D473" s="1">
        <v>27</v>
      </c>
      <c r="E473" s="1">
        <v>32.67</v>
      </c>
      <c r="F473" s="1">
        <v>0</v>
      </c>
      <c r="G473" s="7">
        <f t="shared" si="44"/>
        <v>0</v>
      </c>
      <c r="H473" s="7">
        <f t="shared" si="47"/>
        <v>0</v>
      </c>
      <c r="I473" s="7">
        <f t="shared" si="48"/>
        <v>1</v>
      </c>
      <c r="J473" s="7">
        <f t="shared" si="48"/>
        <v>0</v>
      </c>
      <c r="K473" s="7">
        <f t="shared" si="48"/>
        <v>0</v>
      </c>
      <c r="L473" s="11">
        <v>2497.0383000000002</v>
      </c>
      <c r="M473" s="12" cm="1">
        <f t="array" ref="M473">IF(($R$34+SUMPRODUCT(TRANSPOSE(D473:K473),$R$35:$R$42))&lt;0,"-",$R$34+SUMPRODUCT(TRANSPOSE(D473:K473),$R$35:$R$42))</f>
        <v>4911.696663024406</v>
      </c>
      <c r="N473" s="13" t="str">
        <f t="shared" si="45"/>
        <v>-</v>
      </c>
      <c r="O473" s="13">
        <f t="shared" si="46"/>
        <v>17035.901240059531</v>
      </c>
    </row>
    <row r="474" spans="1:15" x14ac:dyDescent="0.25">
      <c r="A474" s="1" t="s">
        <v>0</v>
      </c>
      <c r="B474" s="1" t="s">
        <v>4</v>
      </c>
      <c r="C474" s="1" t="s">
        <v>7</v>
      </c>
      <c r="D474" s="1">
        <v>18</v>
      </c>
      <c r="E474" s="1">
        <v>30.114999999999998</v>
      </c>
      <c r="F474" s="1">
        <v>0</v>
      </c>
      <c r="G474" s="7">
        <f t="shared" si="44"/>
        <v>1</v>
      </c>
      <c r="H474" s="7">
        <f t="shared" si="47"/>
        <v>0</v>
      </c>
      <c r="I474" s="7">
        <f t="shared" si="48"/>
        <v>0</v>
      </c>
      <c r="J474" s="7">
        <f t="shared" si="48"/>
        <v>0</v>
      </c>
      <c r="K474" s="7">
        <f t="shared" si="48"/>
        <v>1</v>
      </c>
      <c r="L474" s="11">
        <v>2203.4718499999999</v>
      </c>
      <c r="M474" s="12" cm="1">
        <f t="array" ref="M474">IF(($R$34+SUMPRODUCT(TRANSPOSE(D474:K474),$R$35:$R$42))&lt;0,"-",$R$34+SUMPRODUCT(TRANSPOSE(D474:K474),$R$35:$R$42))</f>
        <v>2899.6866249955019</v>
      </c>
      <c r="N474" s="13" t="str">
        <f t="shared" si="45"/>
        <v>-</v>
      </c>
      <c r="O474" s="13">
        <f t="shared" si="46"/>
        <v>15023.891202030625</v>
      </c>
    </row>
    <row r="475" spans="1:15" x14ac:dyDescent="0.25">
      <c r="A475" s="1" t="s">
        <v>0</v>
      </c>
      <c r="B475" s="1" t="s">
        <v>4</v>
      </c>
      <c r="C475" s="1" t="s">
        <v>2</v>
      </c>
      <c r="D475" s="1">
        <v>19</v>
      </c>
      <c r="E475" s="1">
        <v>29.8</v>
      </c>
      <c r="F475" s="1">
        <v>0</v>
      </c>
      <c r="G475" s="7">
        <f t="shared" si="44"/>
        <v>1</v>
      </c>
      <c r="H475" s="7">
        <f t="shared" si="47"/>
        <v>0</v>
      </c>
      <c r="I475" s="7">
        <f t="shared" si="48"/>
        <v>0</v>
      </c>
      <c r="J475" s="7">
        <f t="shared" si="48"/>
        <v>0</v>
      </c>
      <c r="K475" s="7">
        <f t="shared" si="48"/>
        <v>0</v>
      </c>
      <c r="L475" s="11">
        <v>1744.4649999999999</v>
      </c>
      <c r="M475" s="12" cm="1">
        <f t="array" ref="M475">IF(($R$34+SUMPRODUCT(TRANSPOSE(D475:K475),$R$35:$R$42))&lt;0,"-",$R$34+SUMPRODUCT(TRANSPOSE(D475:K475),$R$35:$R$42))</f>
        <v>2089.6460483446044</v>
      </c>
      <c r="N475" s="13" t="str">
        <f t="shared" si="45"/>
        <v>-</v>
      </c>
      <c r="O475" s="13">
        <f t="shared" si="46"/>
        <v>14213.850625379728</v>
      </c>
    </row>
    <row r="476" spans="1:15" x14ac:dyDescent="0.25">
      <c r="A476" s="1" t="s">
        <v>0</v>
      </c>
      <c r="B476" s="1" t="s">
        <v>4</v>
      </c>
      <c r="C476" s="1" t="s">
        <v>7</v>
      </c>
      <c r="D476" s="1">
        <v>47</v>
      </c>
      <c r="E476" s="1">
        <v>33.344999999999999</v>
      </c>
      <c r="F476" s="1">
        <v>0</v>
      </c>
      <c r="G476" s="7">
        <f t="shared" si="44"/>
        <v>1</v>
      </c>
      <c r="H476" s="7">
        <f t="shared" si="47"/>
        <v>0</v>
      </c>
      <c r="I476" s="7">
        <f t="shared" si="48"/>
        <v>0</v>
      </c>
      <c r="J476" s="7">
        <f t="shared" si="48"/>
        <v>0</v>
      </c>
      <c r="K476" s="7">
        <f t="shared" si="48"/>
        <v>1</v>
      </c>
      <c r="L476" s="11">
        <v>20878.78443</v>
      </c>
      <c r="M476" s="12" cm="1">
        <f t="array" ref="M476">IF(($R$34+SUMPRODUCT(TRANSPOSE(D476:K476),$R$35:$R$42))&lt;0,"-",$R$34+SUMPRODUCT(TRANSPOSE(D476:K476),$R$35:$R$42))</f>
        <v>11444.115703741605</v>
      </c>
      <c r="N476" s="13" t="str">
        <f t="shared" si="45"/>
        <v>-</v>
      </c>
      <c r="O476" s="13">
        <f t="shared" si="46"/>
        <v>23568.32028077673</v>
      </c>
    </row>
    <row r="477" spans="1:15" x14ac:dyDescent="0.25">
      <c r="A477" s="1" t="s">
        <v>3</v>
      </c>
      <c r="B477" s="1" t="s">
        <v>1</v>
      </c>
      <c r="C477" s="1" t="s">
        <v>2</v>
      </c>
      <c r="D477" s="1">
        <v>54</v>
      </c>
      <c r="E477" s="1">
        <v>25.1</v>
      </c>
      <c r="F477" s="1">
        <v>3</v>
      </c>
      <c r="G477" s="7">
        <f t="shared" si="44"/>
        <v>0</v>
      </c>
      <c r="H477" s="7">
        <f t="shared" si="47"/>
        <v>1</v>
      </c>
      <c r="I477" s="7">
        <f t="shared" si="48"/>
        <v>0</v>
      </c>
      <c r="J477" s="7">
        <f t="shared" si="48"/>
        <v>0</v>
      </c>
      <c r="K477" s="7">
        <f t="shared" si="48"/>
        <v>0</v>
      </c>
      <c r="L477" s="11">
        <v>25382.296999999999</v>
      </c>
      <c r="M477" s="12" cm="1">
        <f t="array" ref="M477">IF(($R$34+SUMPRODUCT(TRANSPOSE(D477:K477),$R$35:$R$42))&lt;0,"-",$R$34+SUMPRODUCT(TRANSPOSE(D477:K477),$R$35:$R$42))</f>
        <v>34629.130973145919</v>
      </c>
      <c r="N477" s="13">
        <f t="shared" si="45"/>
        <v>22504.926396110794</v>
      </c>
      <c r="O477" s="13">
        <f t="shared" si="46"/>
        <v>46753.335550181044</v>
      </c>
    </row>
    <row r="478" spans="1:15" x14ac:dyDescent="0.25">
      <c r="A478" s="1" t="s">
        <v>3</v>
      </c>
      <c r="B478" s="1" t="s">
        <v>1</v>
      </c>
      <c r="C478" s="1" t="s">
        <v>6</v>
      </c>
      <c r="D478" s="1">
        <v>61</v>
      </c>
      <c r="E478" s="1">
        <v>28.31</v>
      </c>
      <c r="F478" s="1">
        <v>1</v>
      </c>
      <c r="G478" s="7">
        <f t="shared" si="44"/>
        <v>0</v>
      </c>
      <c r="H478" s="7">
        <f t="shared" si="47"/>
        <v>1</v>
      </c>
      <c r="I478" s="7">
        <f t="shared" si="48"/>
        <v>0</v>
      </c>
      <c r="J478" s="7">
        <f t="shared" si="48"/>
        <v>1</v>
      </c>
      <c r="K478" s="7">
        <f t="shared" si="48"/>
        <v>0</v>
      </c>
      <c r="L478" s="11">
        <v>28868.6639</v>
      </c>
      <c r="M478" s="12" cm="1">
        <f t="array" ref="M478">IF(($R$34+SUMPRODUCT(TRANSPOSE(D478:K478),$R$35:$R$42))&lt;0,"-",$R$34+SUMPRODUCT(TRANSPOSE(D478:K478),$R$35:$R$42))</f>
        <v>37172.022428576078</v>
      </c>
      <c r="N478" s="13">
        <f t="shared" si="45"/>
        <v>25047.817851540953</v>
      </c>
      <c r="O478" s="13">
        <f t="shared" si="46"/>
        <v>49296.227005611203</v>
      </c>
    </row>
    <row r="479" spans="1:15" x14ac:dyDescent="0.25">
      <c r="A479" s="1" t="s">
        <v>3</v>
      </c>
      <c r="B479" s="1" t="s">
        <v>1</v>
      </c>
      <c r="C479" s="1" t="s">
        <v>7</v>
      </c>
      <c r="D479" s="1">
        <v>24</v>
      </c>
      <c r="E479" s="1">
        <v>28.5</v>
      </c>
      <c r="F479" s="1">
        <v>0</v>
      </c>
      <c r="G479" s="7">
        <f t="shared" si="44"/>
        <v>0</v>
      </c>
      <c r="H479" s="7">
        <f t="shared" si="47"/>
        <v>1</v>
      </c>
      <c r="I479" s="7">
        <f t="shared" si="48"/>
        <v>0</v>
      </c>
      <c r="J479" s="7">
        <f t="shared" si="48"/>
        <v>0</v>
      </c>
      <c r="K479" s="7">
        <f t="shared" si="48"/>
        <v>1</v>
      </c>
      <c r="L479" s="11">
        <v>35147.528480000001</v>
      </c>
      <c r="M479" s="12" cm="1">
        <f t="array" ref="M479">IF(($R$34+SUMPRODUCT(TRANSPOSE(D479:K479),$R$35:$R$42))&lt;0,"-",$R$34+SUMPRODUCT(TRANSPOSE(D479:K479),$R$35:$R$42))</f>
        <v>27610.247495155767</v>
      </c>
      <c r="N479" s="13">
        <f t="shared" si="45"/>
        <v>15486.042918120644</v>
      </c>
      <c r="O479" s="13">
        <f t="shared" si="46"/>
        <v>39734.452072190892</v>
      </c>
    </row>
    <row r="480" spans="1:15" x14ac:dyDescent="0.25">
      <c r="A480" s="1" t="s">
        <v>3</v>
      </c>
      <c r="B480" s="1" t="s">
        <v>4</v>
      </c>
      <c r="C480" s="1" t="s">
        <v>6</v>
      </c>
      <c r="D480" s="1">
        <v>25</v>
      </c>
      <c r="E480" s="1">
        <v>35.625</v>
      </c>
      <c r="F480" s="1">
        <v>0</v>
      </c>
      <c r="G480" s="7">
        <f t="shared" si="44"/>
        <v>0</v>
      </c>
      <c r="H480" s="7">
        <f t="shared" si="47"/>
        <v>0</v>
      </c>
      <c r="I480" s="7">
        <f t="shared" si="48"/>
        <v>0</v>
      </c>
      <c r="J480" s="7">
        <f t="shared" si="48"/>
        <v>1</v>
      </c>
      <c r="K480" s="7">
        <f t="shared" si="48"/>
        <v>0</v>
      </c>
      <c r="L480" s="11">
        <v>2534.3937500000002</v>
      </c>
      <c r="M480" s="12" cm="1">
        <f t="array" ref="M480">IF(($R$34+SUMPRODUCT(TRANSPOSE(D480:K480),$R$35:$R$42))&lt;0,"-",$R$34+SUMPRODUCT(TRANSPOSE(D480:K480),$R$35:$R$42))</f>
        <v>6082.3587633329189</v>
      </c>
      <c r="N480" s="13" t="str">
        <f t="shared" si="45"/>
        <v>-</v>
      </c>
      <c r="O480" s="13">
        <f t="shared" si="46"/>
        <v>18206.56334036804</v>
      </c>
    </row>
    <row r="481" spans="1:15" x14ac:dyDescent="0.25">
      <c r="A481" s="1" t="s">
        <v>3</v>
      </c>
      <c r="B481" s="1" t="s">
        <v>4</v>
      </c>
      <c r="C481" s="1" t="s">
        <v>5</v>
      </c>
      <c r="D481" s="1">
        <v>21</v>
      </c>
      <c r="E481" s="1">
        <v>36.85</v>
      </c>
      <c r="F481" s="1">
        <v>0</v>
      </c>
      <c r="G481" s="7">
        <f t="shared" si="44"/>
        <v>0</v>
      </c>
      <c r="H481" s="7">
        <f t="shared" si="47"/>
        <v>0</v>
      </c>
      <c r="I481" s="7">
        <f t="shared" si="48"/>
        <v>1</v>
      </c>
      <c r="J481" s="7">
        <f t="shared" si="48"/>
        <v>0</v>
      </c>
      <c r="K481" s="7">
        <f t="shared" si="48"/>
        <v>0</v>
      </c>
      <c r="L481" s="11">
        <v>1534.3045</v>
      </c>
      <c r="M481" s="12" cm="1">
        <f t="array" ref="M481">IF(($R$34+SUMPRODUCT(TRANSPOSE(D481:K481),$R$35:$R$42))&lt;0,"-",$R$34+SUMPRODUCT(TRANSPOSE(D481:K481),$R$35:$R$42))</f>
        <v>4788.387183893632</v>
      </c>
      <c r="N481" s="13" t="str">
        <f t="shared" si="45"/>
        <v>-</v>
      </c>
      <c r="O481" s="13">
        <f t="shared" si="46"/>
        <v>16912.591760928757</v>
      </c>
    </row>
    <row r="482" spans="1:15" x14ac:dyDescent="0.25">
      <c r="A482" s="1" t="s">
        <v>3</v>
      </c>
      <c r="B482" s="1" t="s">
        <v>4</v>
      </c>
      <c r="C482" s="1" t="s">
        <v>5</v>
      </c>
      <c r="D482" s="1">
        <v>23</v>
      </c>
      <c r="E482" s="1">
        <v>32.56</v>
      </c>
      <c r="F482" s="1">
        <v>0</v>
      </c>
      <c r="G482" s="7">
        <f t="shared" si="44"/>
        <v>0</v>
      </c>
      <c r="H482" s="7">
        <f t="shared" si="47"/>
        <v>0</v>
      </c>
      <c r="I482" s="7">
        <f t="shared" si="48"/>
        <v>1</v>
      </c>
      <c r="J482" s="7">
        <f t="shared" si="48"/>
        <v>0</v>
      </c>
      <c r="K482" s="7">
        <f t="shared" si="48"/>
        <v>0</v>
      </c>
      <c r="L482" s="11">
        <v>1824.2854</v>
      </c>
      <c r="M482" s="12" cm="1">
        <f t="array" ref="M482">IF(($R$34+SUMPRODUCT(TRANSPOSE(D482:K482),$R$35:$R$42))&lt;0,"-",$R$34+SUMPRODUCT(TRANSPOSE(D482:K482),$R$35:$R$42))</f>
        <v>3846.9599729778201</v>
      </c>
      <c r="N482" s="13" t="str">
        <f t="shared" si="45"/>
        <v>-</v>
      </c>
      <c r="O482" s="13">
        <f t="shared" si="46"/>
        <v>15971.164550012943</v>
      </c>
    </row>
    <row r="483" spans="1:15" x14ac:dyDescent="0.25">
      <c r="A483" s="1" t="s">
        <v>3</v>
      </c>
      <c r="B483" s="1" t="s">
        <v>4</v>
      </c>
      <c r="C483" s="1" t="s">
        <v>6</v>
      </c>
      <c r="D483" s="1">
        <v>63</v>
      </c>
      <c r="E483" s="1">
        <v>41.325000000000003</v>
      </c>
      <c r="F483" s="1">
        <v>3</v>
      </c>
      <c r="G483" s="7">
        <f t="shared" si="44"/>
        <v>0</v>
      </c>
      <c r="H483" s="7">
        <f t="shared" si="47"/>
        <v>0</v>
      </c>
      <c r="I483" s="7">
        <f t="shared" si="48"/>
        <v>0</v>
      </c>
      <c r="J483" s="7">
        <f t="shared" si="48"/>
        <v>1</v>
      </c>
      <c r="K483" s="7">
        <f t="shared" si="48"/>
        <v>0</v>
      </c>
      <c r="L483" s="11">
        <v>15555.188749999999</v>
      </c>
      <c r="M483" s="12" cm="1">
        <f t="array" ref="M483">IF(($R$34+SUMPRODUCT(TRANSPOSE(D483:K483),$R$35:$R$42))&lt;0,"-",$R$34+SUMPRODUCT(TRANSPOSE(D483:K483),$R$35:$R$42))</f>
        <v>19202.804480781331</v>
      </c>
      <c r="N483" s="13">
        <f t="shared" si="45"/>
        <v>7078.5999037462079</v>
      </c>
      <c r="O483" s="13">
        <f t="shared" si="46"/>
        <v>31327.009057816453</v>
      </c>
    </row>
    <row r="484" spans="1:15" x14ac:dyDescent="0.25">
      <c r="A484" s="1" t="s">
        <v>3</v>
      </c>
      <c r="B484" s="1" t="s">
        <v>4</v>
      </c>
      <c r="C484" s="1" t="s">
        <v>5</v>
      </c>
      <c r="D484" s="1">
        <v>49</v>
      </c>
      <c r="E484" s="1">
        <v>37.51</v>
      </c>
      <c r="F484" s="1">
        <v>2</v>
      </c>
      <c r="G484" s="7">
        <f t="shared" si="44"/>
        <v>0</v>
      </c>
      <c r="H484" s="7">
        <f t="shared" si="47"/>
        <v>0</v>
      </c>
      <c r="I484" s="7">
        <f t="shared" si="48"/>
        <v>1</v>
      </c>
      <c r="J484" s="7">
        <f t="shared" si="48"/>
        <v>0</v>
      </c>
      <c r="K484" s="7">
        <f t="shared" si="48"/>
        <v>0</v>
      </c>
      <c r="L484" s="11">
        <v>9304.7019</v>
      </c>
      <c r="M484" s="12" cm="1">
        <f t="array" ref="M484">IF(($R$34+SUMPRODUCT(TRANSPOSE(D484:K484),$R$35:$R$42))&lt;0,"-",$R$34+SUMPRODUCT(TRANSPOSE(D484:K484),$R$35:$R$42))</f>
        <v>13155.233824620791</v>
      </c>
      <c r="N484" s="13">
        <f t="shared" si="45"/>
        <v>1031.0292475856677</v>
      </c>
      <c r="O484" s="13">
        <f t="shared" si="46"/>
        <v>25279.438401655912</v>
      </c>
    </row>
    <row r="485" spans="1:15" x14ac:dyDescent="0.25">
      <c r="A485" s="1" t="s">
        <v>0</v>
      </c>
      <c r="B485" s="1" t="s">
        <v>4</v>
      </c>
      <c r="C485" s="1" t="s">
        <v>5</v>
      </c>
      <c r="D485" s="1">
        <v>18</v>
      </c>
      <c r="E485" s="1">
        <v>31.35</v>
      </c>
      <c r="F485" s="1">
        <v>0</v>
      </c>
      <c r="G485" s="7">
        <f t="shared" si="44"/>
        <v>1</v>
      </c>
      <c r="H485" s="7">
        <f t="shared" si="47"/>
        <v>0</v>
      </c>
      <c r="I485" s="7">
        <f t="shared" si="48"/>
        <v>1</v>
      </c>
      <c r="J485" s="7">
        <f t="shared" si="48"/>
        <v>0</v>
      </c>
      <c r="K485" s="7">
        <f t="shared" si="48"/>
        <v>0</v>
      </c>
      <c r="L485" s="11">
        <v>1622.1885</v>
      </c>
      <c r="M485" s="12" cm="1">
        <f t="array" ref="M485">IF(($R$34+SUMPRODUCT(TRANSPOSE(D485:K485),$R$35:$R$42))&lt;0,"-",$R$34+SUMPRODUCT(TRANSPOSE(D485:K485),$R$35:$R$42))</f>
        <v>2283.5684908170715</v>
      </c>
      <c r="N485" s="13" t="str">
        <f t="shared" si="45"/>
        <v>-</v>
      </c>
      <c r="O485" s="13">
        <f t="shared" si="46"/>
        <v>14407.773067852195</v>
      </c>
    </row>
    <row r="486" spans="1:15" x14ac:dyDescent="0.25">
      <c r="A486" s="1" t="s">
        <v>0</v>
      </c>
      <c r="B486" s="1" t="s">
        <v>4</v>
      </c>
      <c r="C486" s="1" t="s">
        <v>2</v>
      </c>
      <c r="D486" s="1">
        <v>51</v>
      </c>
      <c r="E486" s="1">
        <v>39.5</v>
      </c>
      <c r="F486" s="1">
        <v>1</v>
      </c>
      <c r="G486" s="7">
        <f t="shared" si="44"/>
        <v>1</v>
      </c>
      <c r="H486" s="7">
        <f t="shared" si="47"/>
        <v>0</v>
      </c>
      <c r="I486" s="7">
        <f t="shared" si="48"/>
        <v>0</v>
      </c>
      <c r="J486" s="7">
        <f t="shared" si="48"/>
        <v>0</v>
      </c>
      <c r="K486" s="7">
        <f t="shared" si="48"/>
        <v>0</v>
      </c>
      <c r="L486" s="11">
        <v>9880.0679999999993</v>
      </c>
      <c r="M486" s="12" cm="1">
        <f t="array" ref="M486">IF(($R$34+SUMPRODUCT(TRANSPOSE(D486:K486),$R$35:$R$42))&lt;0,"-",$R$34+SUMPRODUCT(TRANSPOSE(D486:K486),$R$35:$R$42))</f>
        <v>14074.726374714024</v>
      </c>
      <c r="N486" s="13">
        <f t="shared" si="45"/>
        <v>1950.5217976789008</v>
      </c>
      <c r="O486" s="13">
        <f t="shared" si="46"/>
        <v>26198.930951749149</v>
      </c>
    </row>
    <row r="487" spans="1:15" x14ac:dyDescent="0.25">
      <c r="A487" s="1" t="s">
        <v>3</v>
      </c>
      <c r="B487" s="1" t="s">
        <v>4</v>
      </c>
      <c r="C487" s="1" t="s">
        <v>2</v>
      </c>
      <c r="D487" s="1">
        <v>48</v>
      </c>
      <c r="E487" s="1">
        <v>34.299999999999997</v>
      </c>
      <c r="F487" s="1">
        <v>3</v>
      </c>
      <c r="G487" s="7">
        <f t="shared" si="44"/>
        <v>0</v>
      </c>
      <c r="H487" s="7">
        <f t="shared" si="47"/>
        <v>0</v>
      </c>
      <c r="I487" s="7">
        <f t="shared" si="48"/>
        <v>0</v>
      </c>
      <c r="J487" s="7">
        <f t="shared" si="48"/>
        <v>0</v>
      </c>
      <c r="K487" s="7">
        <f t="shared" si="48"/>
        <v>0</v>
      </c>
      <c r="L487" s="11">
        <v>9563.0290000000005</v>
      </c>
      <c r="M487" s="12" cm="1">
        <f t="array" ref="M487">IF(($R$34+SUMPRODUCT(TRANSPOSE(D487:K487),$R$35:$R$42))&lt;0,"-",$R$34+SUMPRODUCT(TRANSPOSE(D487:K487),$R$35:$R$42))</f>
        <v>12360.038089228769</v>
      </c>
      <c r="N487" s="13">
        <f t="shared" si="45"/>
        <v>235.83351219364522</v>
      </c>
      <c r="O487" s="13">
        <f t="shared" si="46"/>
        <v>24484.24266626389</v>
      </c>
    </row>
    <row r="488" spans="1:15" x14ac:dyDescent="0.25">
      <c r="A488" s="1" t="s">
        <v>0</v>
      </c>
      <c r="B488" s="1" t="s">
        <v>4</v>
      </c>
      <c r="C488" s="1" t="s">
        <v>7</v>
      </c>
      <c r="D488" s="1">
        <v>31</v>
      </c>
      <c r="E488" s="1">
        <v>31.065000000000001</v>
      </c>
      <c r="F488" s="1">
        <v>0</v>
      </c>
      <c r="G488" s="7">
        <f t="shared" si="44"/>
        <v>1</v>
      </c>
      <c r="H488" s="7">
        <f t="shared" si="47"/>
        <v>0</v>
      </c>
      <c r="I488" s="7">
        <f t="shared" si="48"/>
        <v>0</v>
      </c>
      <c r="J488" s="7">
        <f t="shared" si="48"/>
        <v>0</v>
      </c>
      <c r="K488" s="7">
        <f t="shared" si="48"/>
        <v>1</v>
      </c>
      <c r="L488" s="11">
        <v>4347.0233500000004</v>
      </c>
      <c r="M488" s="12" cm="1">
        <f t="array" ref="M488">IF(($R$34+SUMPRODUCT(TRANSPOSE(D488:K488),$R$35:$R$42))&lt;0,"-",$R$34+SUMPRODUCT(TRANSPOSE(D488:K488),$R$35:$R$42))</f>
        <v>6561.0529889113241</v>
      </c>
      <c r="N488" s="13" t="str">
        <f t="shared" si="45"/>
        <v>-</v>
      </c>
      <c r="O488" s="13">
        <f t="shared" si="46"/>
        <v>18685.257565946449</v>
      </c>
    </row>
    <row r="489" spans="1:15" x14ac:dyDescent="0.25">
      <c r="A489" s="1" t="s">
        <v>0</v>
      </c>
      <c r="B489" s="1" t="s">
        <v>4</v>
      </c>
      <c r="C489" s="1" t="s">
        <v>6</v>
      </c>
      <c r="D489" s="1">
        <v>54</v>
      </c>
      <c r="E489" s="1">
        <v>21.47</v>
      </c>
      <c r="F489" s="1">
        <v>3</v>
      </c>
      <c r="G489" s="7">
        <f t="shared" si="44"/>
        <v>1</v>
      </c>
      <c r="H489" s="7">
        <f t="shared" si="47"/>
        <v>0</v>
      </c>
      <c r="I489" s="7">
        <f t="shared" si="48"/>
        <v>0</v>
      </c>
      <c r="J489" s="7">
        <f t="shared" si="48"/>
        <v>1</v>
      </c>
      <c r="K489" s="7">
        <f t="shared" si="48"/>
        <v>0</v>
      </c>
      <c r="L489" s="11">
        <v>12475.3513</v>
      </c>
      <c r="M489" s="12" cm="1">
        <f t="array" ref="M489">IF(($R$34+SUMPRODUCT(TRANSPOSE(D489:K489),$R$35:$R$42))&lt;0,"-",$R$34+SUMPRODUCT(TRANSPOSE(D489:K489),$R$35:$R$42))</f>
        <v>10287.725645897073</v>
      </c>
      <c r="N489" s="13" t="str">
        <f t="shared" si="45"/>
        <v>-</v>
      </c>
      <c r="O489" s="13">
        <f t="shared" si="46"/>
        <v>22411.930222932198</v>
      </c>
    </row>
    <row r="490" spans="1:15" x14ac:dyDescent="0.25">
      <c r="A490" s="1" t="s">
        <v>3</v>
      </c>
      <c r="B490" s="1" t="s">
        <v>4</v>
      </c>
      <c r="C490" s="1" t="s">
        <v>2</v>
      </c>
      <c r="D490" s="1">
        <v>19</v>
      </c>
      <c r="E490" s="1">
        <v>28.7</v>
      </c>
      <c r="F490" s="1">
        <v>0</v>
      </c>
      <c r="G490" s="7">
        <f t="shared" si="44"/>
        <v>0</v>
      </c>
      <c r="H490" s="7">
        <f t="shared" si="47"/>
        <v>0</v>
      </c>
      <c r="I490" s="7">
        <f t="shared" si="48"/>
        <v>0</v>
      </c>
      <c r="J490" s="7">
        <f t="shared" si="48"/>
        <v>0</v>
      </c>
      <c r="K490" s="7">
        <f t="shared" si="48"/>
        <v>0</v>
      </c>
      <c r="L490" s="11">
        <v>1253.9359999999999</v>
      </c>
      <c r="M490" s="12" cm="1">
        <f t="array" ref="M490">IF(($R$34+SUMPRODUCT(TRANSPOSE(D490:K490),$R$35:$R$42))&lt;0,"-",$R$34+SUMPRODUCT(TRANSPOSE(D490:K490),$R$35:$R$42))</f>
        <v>1585.2188899775738</v>
      </c>
      <c r="N490" s="13" t="str">
        <f t="shared" si="45"/>
        <v>-</v>
      </c>
      <c r="O490" s="13">
        <f t="shared" si="46"/>
        <v>13709.423467012697</v>
      </c>
    </row>
    <row r="491" spans="1:15" x14ac:dyDescent="0.25">
      <c r="A491" s="1" t="s">
        <v>0</v>
      </c>
      <c r="B491" s="1" t="s">
        <v>1</v>
      </c>
      <c r="C491" s="1" t="s">
        <v>5</v>
      </c>
      <c r="D491" s="1">
        <v>44</v>
      </c>
      <c r="E491" s="1">
        <v>38.06</v>
      </c>
      <c r="F491" s="1">
        <v>0</v>
      </c>
      <c r="G491" s="7">
        <f t="shared" si="44"/>
        <v>1</v>
      </c>
      <c r="H491" s="7">
        <f t="shared" si="47"/>
        <v>1</v>
      </c>
      <c r="I491" s="7">
        <f t="shared" si="48"/>
        <v>1</v>
      </c>
      <c r="J491" s="7">
        <f t="shared" si="48"/>
        <v>0</v>
      </c>
      <c r="K491" s="7">
        <f t="shared" si="48"/>
        <v>0</v>
      </c>
      <c r="L491" s="11">
        <v>48885.135609999998</v>
      </c>
      <c r="M491" s="12" cm="1">
        <f t="array" ref="M491">IF(($R$34+SUMPRODUCT(TRANSPOSE(D491:K491),$R$35:$R$42))&lt;0,"-",$R$34+SUMPRODUCT(TRANSPOSE(D491:K491),$R$35:$R$42))</f>
        <v>35086.35627242965</v>
      </c>
      <c r="N491" s="13">
        <f t="shared" si="45"/>
        <v>22962.151695394525</v>
      </c>
      <c r="O491" s="13">
        <f t="shared" si="46"/>
        <v>47210.560849464775</v>
      </c>
    </row>
    <row r="492" spans="1:15" x14ac:dyDescent="0.25">
      <c r="A492" s="1" t="s">
        <v>3</v>
      </c>
      <c r="B492" s="1" t="s">
        <v>4</v>
      </c>
      <c r="C492" s="1" t="s">
        <v>6</v>
      </c>
      <c r="D492" s="1">
        <v>53</v>
      </c>
      <c r="E492" s="1">
        <v>31.16</v>
      </c>
      <c r="F492" s="1">
        <v>1</v>
      </c>
      <c r="G492" s="7">
        <f t="shared" si="44"/>
        <v>0</v>
      </c>
      <c r="H492" s="7">
        <f t="shared" si="47"/>
        <v>0</v>
      </c>
      <c r="I492" s="7">
        <f t="shared" si="48"/>
        <v>0</v>
      </c>
      <c r="J492" s="7">
        <f t="shared" si="48"/>
        <v>1</v>
      </c>
      <c r="K492" s="7">
        <f t="shared" si="48"/>
        <v>0</v>
      </c>
      <c r="L492" s="11">
        <v>10461.9794</v>
      </c>
      <c r="M492" s="12" cm="1">
        <f t="array" ref="M492">IF(($R$34+SUMPRODUCT(TRANSPOSE(D492:K492),$R$35:$R$42))&lt;0,"-",$R$34+SUMPRODUCT(TRANSPOSE(D492:K492),$R$35:$R$42))</f>
        <v>12235.338409155396</v>
      </c>
      <c r="N492" s="13">
        <f t="shared" si="45"/>
        <v>111.13383212027293</v>
      </c>
      <c r="O492" s="13">
        <f t="shared" si="46"/>
        <v>24359.542986190521</v>
      </c>
    </row>
    <row r="493" spans="1:15" x14ac:dyDescent="0.25">
      <c r="A493" s="1" t="s">
        <v>0</v>
      </c>
      <c r="B493" s="1" t="s">
        <v>4</v>
      </c>
      <c r="C493" s="1" t="s">
        <v>2</v>
      </c>
      <c r="D493" s="1">
        <v>19</v>
      </c>
      <c r="E493" s="1">
        <v>32.9</v>
      </c>
      <c r="F493" s="1">
        <v>0</v>
      </c>
      <c r="G493" s="7">
        <f t="shared" si="44"/>
        <v>1</v>
      </c>
      <c r="H493" s="7">
        <f t="shared" si="47"/>
        <v>0</v>
      </c>
      <c r="I493" s="7">
        <f t="shared" si="48"/>
        <v>0</v>
      </c>
      <c r="J493" s="7">
        <f t="shared" si="48"/>
        <v>0</v>
      </c>
      <c r="K493" s="7">
        <f t="shared" si="48"/>
        <v>0</v>
      </c>
      <c r="L493" s="11">
        <v>1748.7739999999999</v>
      </c>
      <c r="M493" s="12" cm="1">
        <f t="array" ref="M493">IF(($R$34+SUMPRODUCT(TRANSPOSE(D493:K493),$R$35:$R$42))&lt;0,"-",$R$34+SUMPRODUCT(TRANSPOSE(D493:K493),$R$35:$R$42))</f>
        <v>3141.1457545382091</v>
      </c>
      <c r="N493" s="13" t="str">
        <f t="shared" si="45"/>
        <v>-</v>
      </c>
      <c r="O493" s="13">
        <f t="shared" si="46"/>
        <v>15265.350331573332</v>
      </c>
    </row>
    <row r="494" spans="1:15" x14ac:dyDescent="0.25">
      <c r="A494" s="1" t="s">
        <v>0</v>
      </c>
      <c r="B494" s="1" t="s">
        <v>4</v>
      </c>
      <c r="C494" s="1" t="s">
        <v>5</v>
      </c>
      <c r="D494" s="1">
        <v>61</v>
      </c>
      <c r="E494" s="1">
        <v>25.08</v>
      </c>
      <c r="F494" s="1">
        <v>0</v>
      </c>
      <c r="G494" s="7">
        <f t="shared" si="44"/>
        <v>1</v>
      </c>
      <c r="H494" s="7">
        <f t="shared" si="47"/>
        <v>0</v>
      </c>
      <c r="I494" s="7">
        <f t="shared" si="48"/>
        <v>1</v>
      </c>
      <c r="J494" s="7">
        <f t="shared" si="48"/>
        <v>0</v>
      </c>
      <c r="K494" s="7">
        <f t="shared" si="48"/>
        <v>0</v>
      </c>
      <c r="L494" s="11">
        <v>24513.091260000001</v>
      </c>
      <c r="M494" s="12" cm="1">
        <f t="array" ref="M494">IF(($R$34+SUMPRODUCT(TRANSPOSE(D494:K494),$R$35:$R$42))&lt;0,"-",$R$34+SUMPRODUCT(TRANSPOSE(D494:K494),$R$35:$R$42))</f>
        <v>11201.648695783068</v>
      </c>
      <c r="N494" s="13" t="str">
        <f t="shared" si="45"/>
        <v>-</v>
      </c>
      <c r="O494" s="13">
        <f t="shared" si="46"/>
        <v>23325.853272818189</v>
      </c>
    </row>
    <row r="495" spans="1:15" x14ac:dyDescent="0.25">
      <c r="A495" s="1" t="s">
        <v>0</v>
      </c>
      <c r="B495" s="1" t="s">
        <v>4</v>
      </c>
      <c r="C495" s="1" t="s">
        <v>7</v>
      </c>
      <c r="D495" s="1">
        <v>18</v>
      </c>
      <c r="E495" s="1">
        <v>25.08</v>
      </c>
      <c r="F495" s="1">
        <v>0</v>
      </c>
      <c r="G495" s="7">
        <f t="shared" si="44"/>
        <v>1</v>
      </c>
      <c r="H495" s="7">
        <f t="shared" si="47"/>
        <v>0</v>
      </c>
      <c r="I495" s="7">
        <f t="shared" si="48"/>
        <v>0</v>
      </c>
      <c r="J495" s="7">
        <f t="shared" si="48"/>
        <v>0</v>
      </c>
      <c r="K495" s="7">
        <f t="shared" si="48"/>
        <v>1</v>
      </c>
      <c r="L495" s="11">
        <v>2196.4731999999999</v>
      </c>
      <c r="M495" s="12" cm="1">
        <f t="array" ref="M495">IF(($R$34+SUMPRODUCT(TRANSPOSE(D495:K495),$R$35:$R$42))&lt;0,"-",$R$34+SUMPRODUCT(TRANSPOSE(D495:K495),$R$35:$R$42))</f>
        <v>1191.8475860649232</v>
      </c>
      <c r="N495" s="13" t="str">
        <f t="shared" si="45"/>
        <v>-</v>
      </c>
      <c r="O495" s="13">
        <f t="shared" si="46"/>
        <v>13316.052163100047</v>
      </c>
    </row>
    <row r="496" spans="1:15" x14ac:dyDescent="0.25">
      <c r="A496" s="1" t="s">
        <v>3</v>
      </c>
      <c r="B496" s="1" t="s">
        <v>4</v>
      </c>
      <c r="C496" s="1" t="s">
        <v>2</v>
      </c>
      <c r="D496" s="1">
        <v>61</v>
      </c>
      <c r="E496" s="1">
        <v>43.4</v>
      </c>
      <c r="F496" s="1">
        <v>0</v>
      </c>
      <c r="G496" s="7">
        <f t="shared" si="44"/>
        <v>0</v>
      </c>
      <c r="H496" s="7">
        <f t="shared" si="47"/>
        <v>0</v>
      </c>
      <c r="I496" s="7">
        <f t="shared" si="48"/>
        <v>0</v>
      </c>
      <c r="J496" s="7">
        <f t="shared" si="48"/>
        <v>0</v>
      </c>
      <c r="K496" s="7">
        <f t="shared" si="48"/>
        <v>0</v>
      </c>
      <c r="L496" s="11">
        <v>12574.049000000001</v>
      </c>
      <c r="M496" s="12" cm="1">
        <f t="array" ref="M496">IF(($R$34+SUMPRODUCT(TRANSPOSE(D496:K496),$R$35:$R$42))&lt;0,"-",$R$34+SUMPRODUCT(TRANSPOSE(D496:K496),$R$35:$R$42))</f>
        <v>17359.329464625538</v>
      </c>
      <c r="N496" s="13">
        <f t="shared" si="45"/>
        <v>5235.1248875904148</v>
      </c>
      <c r="O496" s="13">
        <f t="shared" si="46"/>
        <v>29483.534041660663</v>
      </c>
    </row>
    <row r="497" spans="1:15" x14ac:dyDescent="0.25">
      <c r="A497" s="1" t="s">
        <v>3</v>
      </c>
      <c r="B497" s="1" t="s">
        <v>1</v>
      </c>
      <c r="C497" s="1" t="s">
        <v>2</v>
      </c>
      <c r="D497" s="1">
        <v>21</v>
      </c>
      <c r="E497" s="1">
        <v>25.7</v>
      </c>
      <c r="F497" s="1">
        <v>4</v>
      </c>
      <c r="G497" s="7">
        <f t="shared" si="44"/>
        <v>0</v>
      </c>
      <c r="H497" s="7">
        <f t="shared" si="47"/>
        <v>1</v>
      </c>
      <c r="I497" s="7">
        <f t="shared" si="48"/>
        <v>0</v>
      </c>
      <c r="J497" s="7">
        <f t="shared" si="48"/>
        <v>0</v>
      </c>
      <c r="K497" s="7">
        <f t="shared" si="48"/>
        <v>0</v>
      </c>
      <c r="L497" s="11">
        <v>17942.106</v>
      </c>
      <c r="M497" s="12" cm="1">
        <f t="array" ref="M497">IF(($R$34+SUMPRODUCT(TRANSPOSE(D497:K497),$R$35:$R$42))&lt;0,"-",$R$34+SUMPRODUCT(TRANSPOSE(D497:K497),$R$35:$R$42))</f>
        <v>26831.887956729079</v>
      </c>
      <c r="N497" s="13">
        <f t="shared" si="45"/>
        <v>14707.683379693955</v>
      </c>
      <c r="O497" s="13">
        <f t="shared" si="46"/>
        <v>38956.092533764204</v>
      </c>
    </row>
    <row r="498" spans="1:15" x14ac:dyDescent="0.25">
      <c r="A498" s="1" t="s">
        <v>3</v>
      </c>
      <c r="B498" s="1" t="s">
        <v>4</v>
      </c>
      <c r="C498" s="1" t="s">
        <v>7</v>
      </c>
      <c r="D498" s="1">
        <v>20</v>
      </c>
      <c r="E498" s="1">
        <v>27.93</v>
      </c>
      <c r="F498" s="1">
        <v>0</v>
      </c>
      <c r="G498" s="7">
        <f t="shared" si="44"/>
        <v>0</v>
      </c>
      <c r="H498" s="7">
        <f t="shared" si="47"/>
        <v>0</v>
      </c>
      <c r="I498" s="7">
        <f t="shared" si="48"/>
        <v>0</v>
      </c>
      <c r="J498" s="7">
        <f t="shared" si="48"/>
        <v>0</v>
      </c>
      <c r="K498" s="7">
        <f t="shared" si="48"/>
        <v>1</v>
      </c>
      <c r="L498" s="11">
        <v>1967.0227</v>
      </c>
      <c r="M498" s="12" cm="1">
        <f t="array" ref="M498">IF(($R$34+SUMPRODUCT(TRANSPOSE(D498:K498),$R$35:$R$42))&lt;0,"-",$R$34+SUMPRODUCT(TRANSPOSE(D498:K498),$R$35:$R$42))</f>
        <v>2540.9472745354069</v>
      </c>
      <c r="N498" s="13" t="str">
        <f t="shared" si="45"/>
        <v>-</v>
      </c>
      <c r="O498" s="13">
        <f t="shared" si="46"/>
        <v>14665.15185157053</v>
      </c>
    </row>
    <row r="499" spans="1:15" x14ac:dyDescent="0.25">
      <c r="A499" s="1" t="s">
        <v>0</v>
      </c>
      <c r="B499" s="1" t="s">
        <v>4</v>
      </c>
      <c r="C499" s="1" t="s">
        <v>2</v>
      </c>
      <c r="D499" s="1">
        <v>31</v>
      </c>
      <c r="E499" s="1">
        <v>23.6</v>
      </c>
      <c r="F499" s="1">
        <v>2</v>
      </c>
      <c r="G499" s="7">
        <f t="shared" si="44"/>
        <v>1</v>
      </c>
      <c r="H499" s="7">
        <f t="shared" si="47"/>
        <v>0</v>
      </c>
      <c r="I499" s="7">
        <f t="shared" si="48"/>
        <v>0</v>
      </c>
      <c r="J499" s="7">
        <f t="shared" si="48"/>
        <v>0</v>
      </c>
      <c r="K499" s="7">
        <f t="shared" si="48"/>
        <v>0</v>
      </c>
      <c r="L499" s="11">
        <v>4931.6469999999999</v>
      </c>
      <c r="M499" s="12" cm="1">
        <f t="array" ref="M499">IF(($R$34+SUMPRODUCT(TRANSPOSE(D499:K499),$R$35:$R$42))&lt;0,"-",$R$34+SUMPRODUCT(TRANSPOSE(D499:K499),$R$35:$R$42))</f>
        <v>4019.9239567038385</v>
      </c>
      <c r="N499" s="13" t="str">
        <f t="shared" si="45"/>
        <v>-</v>
      </c>
      <c r="O499" s="13">
        <f t="shared" si="46"/>
        <v>16144.128533738962</v>
      </c>
    </row>
    <row r="500" spans="1:15" x14ac:dyDescent="0.25">
      <c r="A500" s="1" t="s">
        <v>3</v>
      </c>
      <c r="B500" s="1" t="s">
        <v>4</v>
      </c>
      <c r="C500" s="1" t="s">
        <v>2</v>
      </c>
      <c r="D500" s="1">
        <v>45</v>
      </c>
      <c r="E500" s="1">
        <v>28.7</v>
      </c>
      <c r="F500" s="1">
        <v>2</v>
      </c>
      <c r="G500" s="7">
        <f t="shared" si="44"/>
        <v>0</v>
      </c>
      <c r="H500" s="7">
        <f t="shared" si="47"/>
        <v>0</v>
      </c>
      <c r="I500" s="7">
        <f t="shared" si="48"/>
        <v>0</v>
      </c>
      <c r="J500" s="7">
        <f t="shared" si="48"/>
        <v>0</v>
      </c>
      <c r="K500" s="7">
        <f t="shared" si="48"/>
        <v>0</v>
      </c>
      <c r="L500" s="11">
        <v>8027.9679999999998</v>
      </c>
      <c r="M500" s="12" cm="1">
        <f t="array" ref="M500">IF(($R$34+SUMPRODUCT(TRANSPOSE(D500:K500),$R$35:$R$42))&lt;0,"-",$R$34+SUMPRODUCT(TRANSPOSE(D500:K500),$R$35:$R$42))</f>
        <v>9214.4851462468832</v>
      </c>
      <c r="N500" s="13" t="str">
        <f t="shared" si="45"/>
        <v>-</v>
      </c>
      <c r="O500" s="13">
        <f t="shared" si="46"/>
        <v>21338.689723282005</v>
      </c>
    </row>
    <row r="501" spans="1:15" x14ac:dyDescent="0.25">
      <c r="A501" s="1" t="s">
        <v>0</v>
      </c>
      <c r="B501" s="1" t="s">
        <v>4</v>
      </c>
      <c r="C501" s="1" t="s">
        <v>5</v>
      </c>
      <c r="D501" s="1">
        <v>44</v>
      </c>
      <c r="E501" s="1">
        <v>23.98</v>
      </c>
      <c r="F501" s="1">
        <v>2</v>
      </c>
      <c r="G501" s="7">
        <f t="shared" si="44"/>
        <v>1</v>
      </c>
      <c r="H501" s="7">
        <f t="shared" si="47"/>
        <v>0</v>
      </c>
      <c r="I501" s="7">
        <f t="shared" si="48"/>
        <v>1</v>
      </c>
      <c r="J501" s="7">
        <f t="shared" si="48"/>
        <v>0</v>
      </c>
      <c r="K501" s="7">
        <f t="shared" si="48"/>
        <v>0</v>
      </c>
      <c r="L501" s="11">
        <v>8211.1002000000008</v>
      </c>
      <c r="M501" s="12" cm="1">
        <f t="array" ref="M501">IF(($R$34+SUMPRODUCT(TRANSPOSE(D501:K501),$R$35:$R$42))&lt;0,"-",$R$34+SUMPRODUCT(TRANSPOSE(D501:K501),$R$35:$R$42))</f>
        <v>7412.9789939744915</v>
      </c>
      <c r="N501" s="13" t="str">
        <f t="shared" si="45"/>
        <v>-</v>
      </c>
      <c r="O501" s="13">
        <f t="shared" si="46"/>
        <v>19537.183571009613</v>
      </c>
    </row>
    <row r="502" spans="1:15" x14ac:dyDescent="0.25">
      <c r="A502" s="1" t="s">
        <v>0</v>
      </c>
      <c r="B502" s="1" t="s">
        <v>4</v>
      </c>
      <c r="C502" s="1" t="s">
        <v>2</v>
      </c>
      <c r="D502" s="1">
        <v>62</v>
      </c>
      <c r="E502" s="1">
        <v>39.200000000000003</v>
      </c>
      <c r="F502" s="1">
        <v>0</v>
      </c>
      <c r="G502" s="7">
        <f t="shared" si="44"/>
        <v>1</v>
      </c>
      <c r="H502" s="7">
        <f t="shared" si="47"/>
        <v>0</v>
      </c>
      <c r="I502" s="7">
        <f t="shared" si="48"/>
        <v>0</v>
      </c>
      <c r="J502" s="7">
        <f t="shared" si="48"/>
        <v>0</v>
      </c>
      <c r="K502" s="7">
        <f t="shared" si="48"/>
        <v>0</v>
      </c>
      <c r="L502" s="11">
        <v>13470.86</v>
      </c>
      <c r="M502" s="12" cm="1">
        <f t="array" ref="M502">IF(($R$34+SUMPRODUCT(TRANSPOSE(D502:K502),$R$35:$R$42))&lt;0,"-",$R$34+SUMPRODUCT(TRANSPOSE(D502:K502),$R$35:$R$42))</f>
        <v>16322.887671392466</v>
      </c>
      <c r="N502" s="13">
        <f t="shared" si="45"/>
        <v>4198.6830943573423</v>
      </c>
      <c r="O502" s="13">
        <f t="shared" si="46"/>
        <v>28447.092248427587</v>
      </c>
    </row>
    <row r="503" spans="1:15" x14ac:dyDescent="0.25">
      <c r="A503" s="1" t="s">
        <v>3</v>
      </c>
      <c r="B503" s="1" t="s">
        <v>1</v>
      </c>
      <c r="C503" s="1" t="s">
        <v>2</v>
      </c>
      <c r="D503" s="1">
        <v>29</v>
      </c>
      <c r="E503" s="1">
        <v>34.4</v>
      </c>
      <c r="F503" s="1">
        <v>0</v>
      </c>
      <c r="G503" s="7">
        <f t="shared" si="44"/>
        <v>0</v>
      </c>
      <c r="H503" s="7">
        <f t="shared" si="47"/>
        <v>1</v>
      </c>
      <c r="I503" s="7">
        <f t="shared" si="48"/>
        <v>0</v>
      </c>
      <c r="J503" s="7">
        <f t="shared" si="48"/>
        <v>0</v>
      </c>
      <c r="K503" s="7">
        <f t="shared" si="48"/>
        <v>0</v>
      </c>
      <c r="L503" s="11">
        <v>36197.699000000001</v>
      </c>
      <c r="M503" s="12" cm="1">
        <f t="array" ref="M503">IF(($R$34+SUMPRODUCT(TRANSPOSE(D503:K503),$R$35:$R$42))&lt;0,"-",$R$34+SUMPRODUCT(TRANSPOSE(D503:K503),$R$35:$R$42))</f>
        <v>29935.719642845637</v>
      </c>
      <c r="N503" s="13">
        <f t="shared" si="45"/>
        <v>17811.515065810512</v>
      </c>
      <c r="O503" s="13">
        <f t="shared" si="46"/>
        <v>42059.924219880762</v>
      </c>
    </row>
    <row r="504" spans="1:15" x14ac:dyDescent="0.25">
      <c r="A504" s="1" t="s">
        <v>3</v>
      </c>
      <c r="B504" s="1" t="s">
        <v>4</v>
      </c>
      <c r="C504" s="1" t="s">
        <v>7</v>
      </c>
      <c r="D504" s="1">
        <v>43</v>
      </c>
      <c r="E504" s="1">
        <v>26.03</v>
      </c>
      <c r="F504" s="1">
        <v>0</v>
      </c>
      <c r="G504" s="7">
        <f t="shared" si="44"/>
        <v>0</v>
      </c>
      <c r="H504" s="7">
        <f t="shared" si="47"/>
        <v>0</v>
      </c>
      <c r="I504" s="7">
        <f t="shared" si="48"/>
        <v>0</v>
      </c>
      <c r="J504" s="7">
        <f t="shared" si="48"/>
        <v>0</v>
      </c>
      <c r="K504" s="7">
        <f t="shared" si="48"/>
        <v>1</v>
      </c>
      <c r="L504" s="11">
        <v>6837.3687</v>
      </c>
      <c r="M504" s="12" cm="1">
        <f t="array" ref="M504">IF(($R$34+SUMPRODUCT(TRANSPOSE(D504:K504),$R$35:$R$42))&lt;0,"-",$R$34+SUMPRODUCT(TRANSPOSE(D504:K504),$R$35:$R$42))</f>
        <v>7804.1758210338157</v>
      </c>
      <c r="N504" s="13" t="str">
        <f t="shared" si="45"/>
        <v>-</v>
      </c>
      <c r="O504" s="13">
        <f t="shared" si="46"/>
        <v>19928.380398068941</v>
      </c>
    </row>
    <row r="505" spans="1:15" x14ac:dyDescent="0.25">
      <c r="A505" s="1" t="s">
        <v>3</v>
      </c>
      <c r="B505" s="1" t="s">
        <v>1</v>
      </c>
      <c r="C505" s="1" t="s">
        <v>5</v>
      </c>
      <c r="D505" s="1">
        <v>51</v>
      </c>
      <c r="E505" s="1">
        <v>23.21</v>
      </c>
      <c r="F505" s="1">
        <v>1</v>
      </c>
      <c r="G505" s="7">
        <f t="shared" si="44"/>
        <v>0</v>
      </c>
      <c r="H505" s="7">
        <f t="shared" si="47"/>
        <v>1</v>
      </c>
      <c r="I505" s="7">
        <f t="shared" si="48"/>
        <v>1</v>
      </c>
      <c r="J505" s="7">
        <f t="shared" si="48"/>
        <v>0</v>
      </c>
      <c r="K505" s="7">
        <f t="shared" si="48"/>
        <v>0</v>
      </c>
      <c r="L505" s="11">
        <v>22218.1149</v>
      </c>
      <c r="M505" s="12" cm="1">
        <f t="array" ref="M505">IF(($R$34+SUMPRODUCT(TRANSPOSE(D505:K505),$R$35:$R$42))&lt;0,"-",$R$34+SUMPRODUCT(TRANSPOSE(D505:K505),$R$35:$R$42))</f>
        <v>32191.514139824139</v>
      </c>
      <c r="N505" s="13">
        <f t="shared" si="45"/>
        <v>20067.309562789014</v>
      </c>
      <c r="O505" s="13">
        <f t="shared" si="46"/>
        <v>44315.718716859265</v>
      </c>
    </row>
    <row r="506" spans="1:15" x14ac:dyDescent="0.25">
      <c r="A506" s="1" t="s">
        <v>3</v>
      </c>
      <c r="B506" s="1" t="s">
        <v>1</v>
      </c>
      <c r="C506" s="1" t="s">
        <v>5</v>
      </c>
      <c r="D506" s="1">
        <v>19</v>
      </c>
      <c r="E506" s="1">
        <v>30.25</v>
      </c>
      <c r="F506" s="1">
        <v>0</v>
      </c>
      <c r="G506" s="7">
        <f t="shared" si="44"/>
        <v>0</v>
      </c>
      <c r="H506" s="7">
        <f t="shared" si="47"/>
        <v>1</v>
      </c>
      <c r="I506" s="7">
        <f t="shared" si="48"/>
        <v>1</v>
      </c>
      <c r="J506" s="7">
        <f t="shared" si="48"/>
        <v>0</v>
      </c>
      <c r="K506" s="7">
        <f t="shared" si="48"/>
        <v>0</v>
      </c>
      <c r="L506" s="11">
        <v>32548.340499999998</v>
      </c>
      <c r="M506" s="12" cm="1">
        <f t="array" ref="M506">IF(($R$34+SUMPRODUCT(TRANSPOSE(D506:K506),$R$35:$R$42))&lt;0,"-",$R$34+SUMPRODUCT(TRANSPOSE(D506:K506),$R$35:$R$42))</f>
        <v>25884.532226900184</v>
      </c>
      <c r="N506" s="13">
        <f t="shared" si="45"/>
        <v>13760.327649865061</v>
      </c>
      <c r="O506" s="13">
        <f t="shared" si="46"/>
        <v>38008.73680393531</v>
      </c>
    </row>
    <row r="507" spans="1:15" x14ac:dyDescent="0.25">
      <c r="A507" s="1" t="s">
        <v>0</v>
      </c>
      <c r="B507" s="1" t="s">
        <v>4</v>
      </c>
      <c r="C507" s="1" t="s">
        <v>5</v>
      </c>
      <c r="D507" s="1">
        <v>38</v>
      </c>
      <c r="E507" s="1">
        <v>28.93</v>
      </c>
      <c r="F507" s="1">
        <v>1</v>
      </c>
      <c r="G507" s="7">
        <f t="shared" si="44"/>
        <v>1</v>
      </c>
      <c r="H507" s="7">
        <f t="shared" si="47"/>
        <v>0</v>
      </c>
      <c r="I507" s="7">
        <f t="shared" si="48"/>
        <v>1</v>
      </c>
      <c r="J507" s="7">
        <f t="shared" si="48"/>
        <v>0</v>
      </c>
      <c r="K507" s="7">
        <f t="shared" si="48"/>
        <v>0</v>
      </c>
      <c r="L507" s="11">
        <v>5974.3846999999996</v>
      </c>
      <c r="M507" s="12" cm="1">
        <f t="array" ref="M507">IF(($R$34+SUMPRODUCT(TRANSPOSE(D507:K507),$R$35:$R$42))&lt;0,"-",$R$34+SUMPRODUCT(TRANSPOSE(D507:K507),$R$35:$R$42))</f>
        <v>7075.3479289749339</v>
      </c>
      <c r="N507" s="13" t="str">
        <f t="shared" si="45"/>
        <v>-</v>
      </c>
      <c r="O507" s="13">
        <f t="shared" si="46"/>
        <v>19199.552506010055</v>
      </c>
    </row>
    <row r="508" spans="1:15" x14ac:dyDescent="0.25">
      <c r="A508" s="1" t="s">
        <v>3</v>
      </c>
      <c r="B508" s="1" t="s">
        <v>4</v>
      </c>
      <c r="C508" s="1" t="s">
        <v>6</v>
      </c>
      <c r="D508" s="1">
        <v>37</v>
      </c>
      <c r="E508" s="1">
        <v>30.875</v>
      </c>
      <c r="F508" s="1">
        <v>3</v>
      </c>
      <c r="G508" s="7">
        <f t="shared" si="44"/>
        <v>0</v>
      </c>
      <c r="H508" s="7">
        <f t="shared" si="47"/>
        <v>0</v>
      </c>
      <c r="I508" s="7">
        <f t="shared" si="48"/>
        <v>0</v>
      </c>
      <c r="J508" s="7">
        <f t="shared" si="48"/>
        <v>1</v>
      </c>
      <c r="K508" s="7">
        <f t="shared" si="48"/>
        <v>0</v>
      </c>
      <c r="L508" s="11">
        <v>6796.8632500000003</v>
      </c>
      <c r="M508" s="12" cm="1">
        <f t="array" ref="M508">IF(($R$34+SUMPRODUCT(TRANSPOSE(D508:K508),$R$35:$R$42))&lt;0,"-",$R$34+SUMPRODUCT(TRANSPOSE(D508:K508),$R$35:$R$42))</f>
        <v>8979.9677245770035</v>
      </c>
      <c r="N508" s="13" t="str">
        <f t="shared" si="45"/>
        <v>-</v>
      </c>
      <c r="O508" s="13">
        <f t="shared" si="46"/>
        <v>21104.172301612125</v>
      </c>
    </row>
    <row r="509" spans="1:15" x14ac:dyDescent="0.25">
      <c r="A509" s="1" t="s">
        <v>3</v>
      </c>
      <c r="B509" s="1" t="s">
        <v>4</v>
      </c>
      <c r="C509" s="1" t="s">
        <v>6</v>
      </c>
      <c r="D509" s="1">
        <v>22</v>
      </c>
      <c r="E509" s="1">
        <v>31.35</v>
      </c>
      <c r="F509" s="1">
        <v>1</v>
      </c>
      <c r="G509" s="7">
        <f t="shared" si="44"/>
        <v>0</v>
      </c>
      <c r="H509" s="7">
        <f t="shared" si="47"/>
        <v>0</v>
      </c>
      <c r="I509" s="7">
        <f t="shared" si="48"/>
        <v>0</v>
      </c>
      <c r="J509" s="7">
        <f t="shared" si="48"/>
        <v>1</v>
      </c>
      <c r="K509" s="7">
        <f t="shared" si="48"/>
        <v>0</v>
      </c>
      <c r="L509" s="11">
        <v>2643.2685000000001</v>
      </c>
      <c r="M509" s="12" cm="1">
        <f t="array" ref="M509">IF(($R$34+SUMPRODUCT(TRANSPOSE(D509:K509),$R$35:$R$42))&lt;0,"-",$R$34+SUMPRODUCT(TRANSPOSE(D509:K509),$R$35:$R$42))</f>
        <v>4337.2382366836682</v>
      </c>
      <c r="N509" s="13" t="str">
        <f t="shared" si="45"/>
        <v>-</v>
      </c>
      <c r="O509" s="13">
        <f t="shared" si="46"/>
        <v>16461.442813718793</v>
      </c>
    </row>
    <row r="510" spans="1:15" x14ac:dyDescent="0.25">
      <c r="A510" s="1" t="s">
        <v>3</v>
      </c>
      <c r="B510" s="1" t="s">
        <v>4</v>
      </c>
      <c r="C510" s="1" t="s">
        <v>6</v>
      </c>
      <c r="D510" s="1">
        <v>21</v>
      </c>
      <c r="E510" s="1">
        <v>23.75</v>
      </c>
      <c r="F510" s="1">
        <v>2</v>
      </c>
      <c r="G510" s="7">
        <f t="shared" si="44"/>
        <v>0</v>
      </c>
      <c r="H510" s="7">
        <f t="shared" si="47"/>
        <v>0</v>
      </c>
      <c r="I510" s="7">
        <f t="shared" si="48"/>
        <v>0</v>
      </c>
      <c r="J510" s="7">
        <f t="shared" si="48"/>
        <v>1</v>
      </c>
      <c r="K510" s="7">
        <f t="shared" si="48"/>
        <v>0</v>
      </c>
      <c r="L510" s="11">
        <v>3077.0954999999999</v>
      </c>
      <c r="M510" s="12" cm="1">
        <f t="array" ref="M510">IF(($R$34+SUMPRODUCT(TRANSPOSE(D510:K510),$R$35:$R$42))&lt;0,"-",$R$34+SUMPRODUCT(TRANSPOSE(D510:K510),$R$35:$R$42))</f>
        <v>1978.0121818530679</v>
      </c>
      <c r="N510" s="13" t="str">
        <f t="shared" si="45"/>
        <v>-</v>
      </c>
      <c r="O510" s="13">
        <f t="shared" si="46"/>
        <v>14102.216758888191</v>
      </c>
    </row>
    <row r="511" spans="1:15" x14ac:dyDescent="0.25">
      <c r="A511" s="1" t="s">
        <v>0</v>
      </c>
      <c r="B511" s="1" t="s">
        <v>4</v>
      </c>
      <c r="C511" s="1" t="s">
        <v>7</v>
      </c>
      <c r="D511" s="1">
        <v>24</v>
      </c>
      <c r="E511" s="1">
        <v>25.27</v>
      </c>
      <c r="F511" s="1">
        <v>0</v>
      </c>
      <c r="G511" s="7">
        <f t="shared" si="44"/>
        <v>1</v>
      </c>
      <c r="H511" s="7">
        <f t="shared" si="47"/>
        <v>0</v>
      </c>
      <c r="I511" s="7">
        <f t="shared" si="48"/>
        <v>0</v>
      </c>
      <c r="J511" s="7">
        <f t="shared" si="48"/>
        <v>0</v>
      </c>
      <c r="K511" s="7">
        <f t="shared" si="48"/>
        <v>1</v>
      </c>
      <c r="L511" s="11">
        <v>3044.2132999999999</v>
      </c>
      <c r="M511" s="12" cm="1">
        <f t="array" ref="M511">IF(($R$34+SUMPRODUCT(TRANSPOSE(D511:K511),$R$35:$R$42))&lt;0,"-",$R$34+SUMPRODUCT(TRANSPOSE(D511:K511),$R$35:$R$42))</f>
        <v>2797.4324574750717</v>
      </c>
      <c r="N511" s="13" t="str">
        <f t="shared" si="45"/>
        <v>-</v>
      </c>
      <c r="O511" s="13">
        <f t="shared" si="46"/>
        <v>14921.637034510195</v>
      </c>
    </row>
    <row r="512" spans="1:15" x14ac:dyDescent="0.25">
      <c r="A512" s="1" t="s">
        <v>0</v>
      </c>
      <c r="B512" s="1" t="s">
        <v>4</v>
      </c>
      <c r="C512" s="1" t="s">
        <v>2</v>
      </c>
      <c r="D512" s="1">
        <v>57</v>
      </c>
      <c r="E512" s="1">
        <v>28.7</v>
      </c>
      <c r="F512" s="1">
        <v>0</v>
      </c>
      <c r="G512" s="7">
        <f t="shared" si="44"/>
        <v>1</v>
      </c>
      <c r="H512" s="7">
        <f t="shared" si="47"/>
        <v>0</v>
      </c>
      <c r="I512" s="7">
        <f t="shared" si="48"/>
        <v>0</v>
      </c>
      <c r="J512" s="7">
        <f t="shared" si="48"/>
        <v>0</v>
      </c>
      <c r="K512" s="7">
        <f t="shared" si="48"/>
        <v>0</v>
      </c>
      <c r="L512" s="11">
        <v>11455.28</v>
      </c>
      <c r="M512" s="12" cm="1">
        <f t="array" ref="M512">IF(($R$34+SUMPRODUCT(TRANSPOSE(D512:K512),$R$35:$R$42))&lt;0,"-",$R$34+SUMPRODUCT(TRANSPOSE(D512:K512),$R$35:$R$42))</f>
        <v>11477.074645791905</v>
      </c>
      <c r="N512" s="13" t="str">
        <f t="shared" si="45"/>
        <v>-</v>
      </c>
      <c r="O512" s="13">
        <f t="shared" si="46"/>
        <v>23601.279222827026</v>
      </c>
    </row>
    <row r="513" spans="1:15" x14ac:dyDescent="0.25">
      <c r="A513" s="1" t="s">
        <v>3</v>
      </c>
      <c r="B513" s="1" t="s">
        <v>4</v>
      </c>
      <c r="C513" s="1" t="s">
        <v>7</v>
      </c>
      <c r="D513" s="1">
        <v>56</v>
      </c>
      <c r="E513" s="1">
        <v>32.11</v>
      </c>
      <c r="F513" s="1">
        <v>1</v>
      </c>
      <c r="G513" s="7">
        <f t="shared" si="44"/>
        <v>0</v>
      </c>
      <c r="H513" s="7">
        <f t="shared" si="47"/>
        <v>0</v>
      </c>
      <c r="I513" s="7">
        <f t="shared" si="48"/>
        <v>0</v>
      </c>
      <c r="J513" s="7">
        <f t="shared" si="48"/>
        <v>0</v>
      </c>
      <c r="K513" s="7">
        <f t="shared" si="48"/>
        <v>1</v>
      </c>
      <c r="L513" s="11">
        <v>11763.000899999999</v>
      </c>
      <c r="M513" s="12" cm="1">
        <f t="array" ref="M513">IF(($R$34+SUMPRODUCT(TRANSPOSE(D513:K513),$R$35:$R$42))&lt;0,"-",$R$34+SUMPRODUCT(TRANSPOSE(D513:K513),$R$35:$R$42))</f>
        <v>13681.10514712238</v>
      </c>
      <c r="N513" s="13">
        <f t="shared" si="45"/>
        <v>1556.9005700872567</v>
      </c>
      <c r="O513" s="13">
        <f t="shared" si="46"/>
        <v>25805.309724157501</v>
      </c>
    </row>
    <row r="514" spans="1:15" x14ac:dyDescent="0.25">
      <c r="A514" s="1" t="s">
        <v>3</v>
      </c>
      <c r="B514" s="1" t="s">
        <v>4</v>
      </c>
      <c r="C514" s="1" t="s">
        <v>5</v>
      </c>
      <c r="D514" s="1">
        <v>27</v>
      </c>
      <c r="E514" s="1">
        <v>33.659999999999997</v>
      </c>
      <c r="F514" s="1">
        <v>0</v>
      </c>
      <c r="G514" s="7">
        <f t="shared" si="44"/>
        <v>0</v>
      </c>
      <c r="H514" s="7">
        <f t="shared" si="47"/>
        <v>0</v>
      </c>
      <c r="I514" s="7">
        <f t="shared" si="48"/>
        <v>1</v>
      </c>
      <c r="J514" s="7">
        <f t="shared" si="48"/>
        <v>0</v>
      </c>
      <c r="K514" s="7">
        <f t="shared" si="48"/>
        <v>0</v>
      </c>
      <c r="L514" s="11">
        <v>2498.4144000000001</v>
      </c>
      <c r="M514" s="12" cm="1">
        <f t="array" ref="M514">IF(($R$34+SUMPRODUCT(TRANSPOSE(D514:K514),$R$35:$R$42))&lt;0,"-",$R$34+SUMPRODUCT(TRANSPOSE(D514:K514),$R$35:$R$42))</f>
        <v>5247.4981820991379</v>
      </c>
      <c r="N514" s="13" t="str">
        <f t="shared" si="45"/>
        <v>-</v>
      </c>
      <c r="O514" s="13">
        <f t="shared" si="46"/>
        <v>17371.702759134263</v>
      </c>
    </row>
    <row r="515" spans="1:15" x14ac:dyDescent="0.25">
      <c r="A515" s="1" t="s">
        <v>3</v>
      </c>
      <c r="B515" s="1" t="s">
        <v>4</v>
      </c>
      <c r="C515" s="1" t="s">
        <v>7</v>
      </c>
      <c r="D515" s="1">
        <v>51</v>
      </c>
      <c r="E515" s="1">
        <v>22.42</v>
      </c>
      <c r="F515" s="1">
        <v>0</v>
      </c>
      <c r="G515" s="7">
        <f t="shared" ref="G515:G578" si="49">IF($A515=G$2,1,0)</f>
        <v>0</v>
      </c>
      <c r="H515" s="7">
        <f t="shared" si="47"/>
        <v>0</v>
      </c>
      <c r="I515" s="7">
        <f t="shared" si="48"/>
        <v>0</v>
      </c>
      <c r="J515" s="7">
        <f t="shared" si="48"/>
        <v>0</v>
      </c>
      <c r="K515" s="7">
        <f t="shared" si="48"/>
        <v>1</v>
      </c>
      <c r="L515" s="11">
        <v>9361.3268000000007</v>
      </c>
      <c r="M515" s="12" cm="1">
        <f t="array" ref="M515">IF(($R$34+SUMPRODUCT(TRANSPOSE(D515:K515),$R$35:$R$42))&lt;0,"-",$R$34+SUMPRODUCT(TRANSPOSE(D515:K515),$R$35:$R$42))</f>
        <v>8634.5382737974651</v>
      </c>
      <c r="N515" s="13" t="str">
        <f t="shared" ref="N515:N578" si="50">IFERROR(IF($M515-(2*$R$24)&lt;0,"-",($M515-(2*$R$24))),"-")</f>
        <v>-</v>
      </c>
      <c r="O515" s="13">
        <f t="shared" ref="O515:O578" si="51">IFERROR(IF($L515+(2*$R$24)&lt;0,"-",($M515+(2*$R$24))),"-")</f>
        <v>20758.74285083259</v>
      </c>
    </row>
    <row r="516" spans="1:15" x14ac:dyDescent="0.25">
      <c r="A516" s="1" t="s">
        <v>3</v>
      </c>
      <c r="B516" s="1" t="s">
        <v>4</v>
      </c>
      <c r="C516" s="1" t="s">
        <v>2</v>
      </c>
      <c r="D516" s="1">
        <v>19</v>
      </c>
      <c r="E516" s="1">
        <v>30.4</v>
      </c>
      <c r="F516" s="1">
        <v>0</v>
      </c>
      <c r="G516" s="7">
        <f t="shared" si="49"/>
        <v>0</v>
      </c>
      <c r="H516" s="7">
        <f t="shared" ref="H516:H579" si="52">IF(B516="yes",1,0)</f>
        <v>0</v>
      </c>
      <c r="I516" s="7">
        <f t="shared" ref="I516:K579" si="53">IF($C516=I$2,1,0)</f>
        <v>0</v>
      </c>
      <c r="J516" s="7">
        <f t="shared" si="53"/>
        <v>0</v>
      </c>
      <c r="K516" s="7">
        <f t="shared" si="53"/>
        <v>0</v>
      </c>
      <c r="L516" s="11">
        <v>1256.299</v>
      </c>
      <c r="M516" s="12" cm="1">
        <f t="array" ref="M516">IF(($R$34+SUMPRODUCT(TRANSPOSE(D516:K516),$R$35:$R$42))&lt;0,"-",$R$34+SUMPRODUCT(TRANSPOSE(D516:K516),$R$35:$R$42))</f>
        <v>2161.8477611160015</v>
      </c>
      <c r="N516" s="13" t="str">
        <f t="shared" si="50"/>
        <v>-</v>
      </c>
      <c r="O516" s="13">
        <f t="shared" si="51"/>
        <v>14286.052338151125</v>
      </c>
    </row>
    <row r="517" spans="1:15" x14ac:dyDescent="0.25">
      <c r="A517" s="1" t="s">
        <v>3</v>
      </c>
      <c r="B517" s="1" t="s">
        <v>1</v>
      </c>
      <c r="C517" s="1" t="s">
        <v>2</v>
      </c>
      <c r="D517" s="1">
        <v>39</v>
      </c>
      <c r="E517" s="1">
        <v>28.3</v>
      </c>
      <c r="F517" s="1">
        <v>1</v>
      </c>
      <c r="G517" s="7">
        <f t="shared" si="49"/>
        <v>0</v>
      </c>
      <c r="H517" s="7">
        <f t="shared" si="52"/>
        <v>1</v>
      </c>
      <c r="I517" s="7">
        <f t="shared" si="53"/>
        <v>0</v>
      </c>
      <c r="J517" s="7">
        <f t="shared" si="53"/>
        <v>0</v>
      </c>
      <c r="K517" s="7">
        <f t="shared" si="53"/>
        <v>0</v>
      </c>
      <c r="L517" s="11">
        <v>21082.16</v>
      </c>
      <c r="M517" s="12" cm="1">
        <f t="array" ref="M517">IF(($R$34+SUMPRODUCT(TRANSPOSE(D517:K517),$R$35:$R$42))&lt;0,"-",$R$34+SUMPRODUCT(TRANSPOSE(D517:K517),$R$35:$R$42))</f>
        <v>30910.703646342125</v>
      </c>
      <c r="N517" s="13">
        <f t="shared" si="50"/>
        <v>18786.499069306999</v>
      </c>
      <c r="O517" s="13">
        <f t="shared" si="51"/>
        <v>43034.90822337725</v>
      </c>
    </row>
    <row r="518" spans="1:15" x14ac:dyDescent="0.25">
      <c r="A518" s="1" t="s">
        <v>3</v>
      </c>
      <c r="B518" s="1" t="s">
        <v>4</v>
      </c>
      <c r="C518" s="1" t="s">
        <v>2</v>
      </c>
      <c r="D518" s="1">
        <v>58</v>
      </c>
      <c r="E518" s="1">
        <v>35.700000000000003</v>
      </c>
      <c r="F518" s="1">
        <v>0</v>
      </c>
      <c r="G518" s="7">
        <f t="shared" si="49"/>
        <v>0</v>
      </c>
      <c r="H518" s="7">
        <f t="shared" si="52"/>
        <v>0</v>
      </c>
      <c r="I518" s="7">
        <f t="shared" si="53"/>
        <v>0</v>
      </c>
      <c r="J518" s="7">
        <f t="shared" si="53"/>
        <v>0</v>
      </c>
      <c r="K518" s="7">
        <f t="shared" si="53"/>
        <v>0</v>
      </c>
      <c r="L518" s="11">
        <v>11362.754999999999</v>
      </c>
      <c r="M518" s="12" cm="1">
        <f t="array" ref="M518">IF(($R$34+SUMPRODUCT(TRANSPOSE(D518:K518),$R$35:$R$42))&lt;0,"-",$R$34+SUMPRODUCT(TRANSPOSE(D518:K518),$R$35:$R$42))</f>
        <v>13976.970814210028</v>
      </c>
      <c r="N518" s="13">
        <f t="shared" si="50"/>
        <v>1852.7662371749047</v>
      </c>
      <c r="O518" s="13">
        <f t="shared" si="51"/>
        <v>26101.175391245153</v>
      </c>
    </row>
    <row r="519" spans="1:15" x14ac:dyDescent="0.25">
      <c r="A519" s="1" t="s">
        <v>3</v>
      </c>
      <c r="B519" s="1" t="s">
        <v>4</v>
      </c>
      <c r="C519" s="1" t="s">
        <v>5</v>
      </c>
      <c r="D519" s="1">
        <v>20</v>
      </c>
      <c r="E519" s="1">
        <v>35.31</v>
      </c>
      <c r="F519" s="1">
        <v>1</v>
      </c>
      <c r="G519" s="7">
        <f t="shared" si="49"/>
        <v>0</v>
      </c>
      <c r="H519" s="7">
        <f t="shared" si="52"/>
        <v>0</v>
      </c>
      <c r="I519" s="7">
        <f t="shared" si="53"/>
        <v>1</v>
      </c>
      <c r="J519" s="7">
        <f t="shared" si="53"/>
        <v>0</v>
      </c>
      <c r="K519" s="7">
        <f t="shared" si="53"/>
        <v>0</v>
      </c>
      <c r="L519" s="11">
        <v>27724.28875</v>
      </c>
      <c r="M519" s="12" cm="1">
        <f t="array" ref="M519">IF(($R$34+SUMPRODUCT(TRANSPOSE(D519:K519),$R$35:$R$42))&lt;0,"-",$R$34+SUMPRODUCT(TRANSPOSE(D519:K519),$R$35:$R$42))</f>
        <v>4484.673457944722</v>
      </c>
      <c r="N519" s="13" t="str">
        <f t="shared" si="50"/>
        <v>-</v>
      </c>
      <c r="O519" s="13">
        <f t="shared" si="51"/>
        <v>16608.878034979847</v>
      </c>
    </row>
    <row r="520" spans="1:15" x14ac:dyDescent="0.25">
      <c r="A520" s="1" t="s">
        <v>3</v>
      </c>
      <c r="B520" s="1" t="s">
        <v>4</v>
      </c>
      <c r="C520" s="1" t="s">
        <v>6</v>
      </c>
      <c r="D520" s="1">
        <v>45</v>
      </c>
      <c r="E520" s="1">
        <v>30.495000000000001</v>
      </c>
      <c r="F520" s="1">
        <v>2</v>
      </c>
      <c r="G520" s="7">
        <f t="shared" si="49"/>
        <v>0</v>
      </c>
      <c r="H520" s="7">
        <f t="shared" si="52"/>
        <v>0</v>
      </c>
      <c r="I520" s="7">
        <f t="shared" si="53"/>
        <v>0</v>
      </c>
      <c r="J520" s="7">
        <f t="shared" si="53"/>
        <v>1</v>
      </c>
      <c r="K520" s="7">
        <f t="shared" si="53"/>
        <v>0</v>
      </c>
      <c r="L520" s="11">
        <v>8413.4630500000003</v>
      </c>
      <c r="M520" s="12" cm="1">
        <f t="array" ref="M520">IF(($R$34+SUMPRODUCT(TRANSPOSE(D520:K520),$R$35:$R$42))&lt;0,"-",$R$34+SUMPRODUCT(TRANSPOSE(D520:K520),$R$35:$R$42))</f>
        <v>10430.424487354532</v>
      </c>
      <c r="N520" s="13" t="str">
        <f t="shared" si="50"/>
        <v>-</v>
      </c>
      <c r="O520" s="13">
        <f t="shared" si="51"/>
        <v>22554.629064389657</v>
      </c>
    </row>
    <row r="521" spans="1:15" x14ac:dyDescent="0.25">
      <c r="A521" s="1" t="s">
        <v>0</v>
      </c>
      <c r="B521" s="1" t="s">
        <v>4</v>
      </c>
      <c r="C521" s="1" t="s">
        <v>2</v>
      </c>
      <c r="D521" s="1">
        <v>35</v>
      </c>
      <c r="E521" s="1">
        <v>31</v>
      </c>
      <c r="F521" s="1">
        <v>1</v>
      </c>
      <c r="G521" s="7">
        <f t="shared" si="49"/>
        <v>1</v>
      </c>
      <c r="H521" s="7">
        <f t="shared" si="52"/>
        <v>0</v>
      </c>
      <c r="I521" s="7">
        <f t="shared" si="53"/>
        <v>0</v>
      </c>
      <c r="J521" s="7">
        <f t="shared" si="53"/>
        <v>0</v>
      </c>
      <c r="K521" s="7">
        <f t="shared" si="53"/>
        <v>0</v>
      </c>
      <c r="L521" s="11">
        <v>5240.7650000000003</v>
      </c>
      <c r="M521" s="12" cm="1">
        <f t="array" ref="M521">IF(($R$34+SUMPRODUCT(TRANSPOSE(D521:K521),$R$35:$R$42))&lt;0,"-",$R$34+SUMPRODUCT(TRANSPOSE(D521:K521),$R$35:$R$42))</f>
        <v>7081.8803784243137</v>
      </c>
      <c r="N521" s="13" t="str">
        <f t="shared" si="50"/>
        <v>-</v>
      </c>
      <c r="O521" s="13">
        <f t="shared" si="51"/>
        <v>19206.084955459439</v>
      </c>
    </row>
    <row r="522" spans="1:15" x14ac:dyDescent="0.25">
      <c r="A522" s="1" t="s">
        <v>3</v>
      </c>
      <c r="B522" s="1" t="s">
        <v>4</v>
      </c>
      <c r="C522" s="1" t="s">
        <v>7</v>
      </c>
      <c r="D522" s="1">
        <v>31</v>
      </c>
      <c r="E522" s="1">
        <v>30.875</v>
      </c>
      <c r="F522" s="1">
        <v>0</v>
      </c>
      <c r="G522" s="7">
        <f t="shared" si="49"/>
        <v>0</v>
      </c>
      <c r="H522" s="7">
        <f t="shared" si="52"/>
        <v>0</v>
      </c>
      <c r="I522" s="7">
        <f t="shared" si="53"/>
        <v>0</v>
      </c>
      <c r="J522" s="7">
        <f t="shared" si="53"/>
        <v>0</v>
      </c>
      <c r="K522" s="7">
        <f t="shared" si="53"/>
        <v>1</v>
      </c>
      <c r="L522" s="11">
        <v>3857.7592500000001</v>
      </c>
      <c r="M522" s="12" cm="1">
        <f t="array" ref="M522">IF(($R$34+SUMPRODUCT(TRANSPOSE(D522:K522),$R$35:$R$42))&lt;0,"-",$R$34+SUMPRODUCT(TRANSPOSE(D522:K522),$R$35:$R$42))</f>
        <v>6365.2918733301594</v>
      </c>
      <c r="N522" s="13" t="str">
        <f t="shared" si="50"/>
        <v>-</v>
      </c>
      <c r="O522" s="13">
        <f t="shared" si="51"/>
        <v>18489.496450365281</v>
      </c>
    </row>
    <row r="523" spans="1:15" x14ac:dyDescent="0.25">
      <c r="A523" s="1" t="s">
        <v>0</v>
      </c>
      <c r="B523" s="1" t="s">
        <v>4</v>
      </c>
      <c r="C523" s="1" t="s">
        <v>7</v>
      </c>
      <c r="D523" s="1">
        <v>50</v>
      </c>
      <c r="E523" s="1">
        <v>27.36</v>
      </c>
      <c r="F523" s="1">
        <v>0</v>
      </c>
      <c r="G523" s="7">
        <f t="shared" si="49"/>
        <v>1</v>
      </c>
      <c r="H523" s="7">
        <f t="shared" si="52"/>
        <v>0</v>
      </c>
      <c r="I523" s="7">
        <f t="shared" si="53"/>
        <v>0</v>
      </c>
      <c r="J523" s="7">
        <f t="shared" si="53"/>
        <v>0</v>
      </c>
      <c r="K523" s="7">
        <f t="shared" si="53"/>
        <v>1</v>
      </c>
      <c r="L523" s="11">
        <v>25656.575260000001</v>
      </c>
      <c r="M523" s="12" cm="1">
        <f t="array" ref="M523">IF(($R$34+SUMPRODUCT(TRANSPOSE(D523:K523),$R$35:$R$42))&lt;0,"-",$R$34+SUMPRODUCT(TRANSPOSE(D523:K523),$R$35:$R$42))</f>
        <v>10184.611941492774</v>
      </c>
      <c r="N523" s="13" t="str">
        <f t="shared" si="50"/>
        <v>-</v>
      </c>
      <c r="O523" s="13">
        <f t="shared" si="51"/>
        <v>22308.816518527899</v>
      </c>
    </row>
    <row r="524" spans="1:15" x14ac:dyDescent="0.25">
      <c r="A524" s="1" t="s">
        <v>0</v>
      </c>
      <c r="B524" s="1" t="s">
        <v>4</v>
      </c>
      <c r="C524" s="1" t="s">
        <v>5</v>
      </c>
      <c r="D524" s="1">
        <v>32</v>
      </c>
      <c r="E524" s="1">
        <v>44.22</v>
      </c>
      <c r="F524" s="1">
        <v>0</v>
      </c>
      <c r="G524" s="7">
        <f t="shared" si="49"/>
        <v>1</v>
      </c>
      <c r="H524" s="7">
        <f t="shared" si="52"/>
        <v>0</v>
      </c>
      <c r="I524" s="7">
        <f t="shared" si="53"/>
        <v>1</v>
      </c>
      <c r="J524" s="7">
        <f t="shared" si="53"/>
        <v>0</v>
      </c>
      <c r="K524" s="7">
        <f t="shared" si="53"/>
        <v>0</v>
      </c>
      <c r="L524" s="11">
        <v>3994.1777999999999</v>
      </c>
      <c r="M524" s="12" cm="1">
        <f t="array" ref="M524">IF(($R$34+SUMPRODUCT(TRANSPOSE(D524:K524),$R$35:$R$42))&lt;0,"-",$R$34+SUMPRODUCT(TRANSPOSE(D524:K524),$R$35:$R$42))</f>
        <v>10244.977174311454</v>
      </c>
      <c r="N524" s="13" t="str">
        <f t="shared" si="50"/>
        <v>-</v>
      </c>
      <c r="O524" s="13">
        <f t="shared" si="51"/>
        <v>22369.181751346579</v>
      </c>
    </row>
    <row r="525" spans="1:15" x14ac:dyDescent="0.25">
      <c r="A525" s="1" t="s">
        <v>0</v>
      </c>
      <c r="B525" s="1" t="s">
        <v>4</v>
      </c>
      <c r="C525" s="1" t="s">
        <v>7</v>
      </c>
      <c r="D525" s="1">
        <v>51</v>
      </c>
      <c r="E525" s="1">
        <v>33.914999999999999</v>
      </c>
      <c r="F525" s="1">
        <v>0</v>
      </c>
      <c r="G525" s="7">
        <f t="shared" si="49"/>
        <v>1</v>
      </c>
      <c r="H525" s="7">
        <f t="shared" si="52"/>
        <v>0</v>
      </c>
      <c r="I525" s="7">
        <f t="shared" si="53"/>
        <v>0</v>
      </c>
      <c r="J525" s="7">
        <f t="shared" si="53"/>
        <v>0</v>
      </c>
      <c r="K525" s="7">
        <f t="shared" si="53"/>
        <v>1</v>
      </c>
      <c r="L525" s="11">
        <v>9866.3048500000004</v>
      </c>
      <c r="M525" s="12" cm="1">
        <f t="array" ref="M525">IF(($R$34+SUMPRODUCT(TRANSPOSE(D525:K525),$R$35:$R$42))&lt;0,"-",$R$34+SUMPRODUCT(TRANSPOSE(D525:K525),$R$35:$R$42))</f>
        <v>12664.881382449177</v>
      </c>
      <c r="N525" s="13">
        <f t="shared" si="50"/>
        <v>540.67680541405389</v>
      </c>
      <c r="O525" s="13">
        <f t="shared" si="51"/>
        <v>24789.085959484299</v>
      </c>
    </row>
    <row r="526" spans="1:15" x14ac:dyDescent="0.25">
      <c r="A526" s="1" t="s">
        <v>0</v>
      </c>
      <c r="B526" s="1" t="s">
        <v>4</v>
      </c>
      <c r="C526" s="1" t="s">
        <v>5</v>
      </c>
      <c r="D526" s="1">
        <v>38</v>
      </c>
      <c r="E526" s="1">
        <v>37.729999999999997</v>
      </c>
      <c r="F526" s="1">
        <v>0</v>
      </c>
      <c r="G526" s="7">
        <f t="shared" si="49"/>
        <v>1</v>
      </c>
      <c r="H526" s="7">
        <f t="shared" si="52"/>
        <v>0</v>
      </c>
      <c r="I526" s="7">
        <f t="shared" si="53"/>
        <v>1</v>
      </c>
      <c r="J526" s="7">
        <f t="shared" si="53"/>
        <v>0</v>
      </c>
      <c r="K526" s="7">
        <f t="shared" si="53"/>
        <v>0</v>
      </c>
      <c r="L526" s="11">
        <v>5397.6166999999996</v>
      </c>
      <c r="M526" s="12" cm="1">
        <f t="array" ref="M526">IF(($R$34+SUMPRODUCT(TRANSPOSE(D526:K526),$R$35:$R$42))&lt;0,"-",$R$34+SUMPRODUCT(TRANSPOSE(D526:K526),$R$35:$R$42))</f>
        <v>9584.7497756011908</v>
      </c>
      <c r="N526" s="13" t="str">
        <f t="shared" si="50"/>
        <v>-</v>
      </c>
      <c r="O526" s="13">
        <f t="shared" si="51"/>
        <v>21708.954352636312</v>
      </c>
    </row>
    <row r="527" spans="1:15" x14ac:dyDescent="0.25">
      <c r="A527" s="1" t="s">
        <v>3</v>
      </c>
      <c r="B527" s="1" t="s">
        <v>1</v>
      </c>
      <c r="C527" s="1" t="s">
        <v>5</v>
      </c>
      <c r="D527" s="1">
        <v>42</v>
      </c>
      <c r="E527" s="1">
        <v>26.07</v>
      </c>
      <c r="F527" s="1">
        <v>1</v>
      </c>
      <c r="G527" s="7">
        <f t="shared" si="49"/>
        <v>0</v>
      </c>
      <c r="H527" s="7">
        <f t="shared" si="52"/>
        <v>1</v>
      </c>
      <c r="I527" s="7">
        <f t="shared" si="53"/>
        <v>1</v>
      </c>
      <c r="J527" s="7">
        <f t="shared" si="53"/>
        <v>0</v>
      </c>
      <c r="K527" s="7">
        <f t="shared" si="53"/>
        <v>0</v>
      </c>
      <c r="L527" s="11">
        <v>38245.593269999998</v>
      </c>
      <c r="M527" s="12" cm="1">
        <f t="array" ref="M527">IF(($R$34+SUMPRODUCT(TRANSPOSE(D527:K527),$R$35:$R$42))&lt;0,"-",$R$34+SUMPRODUCT(TRANSPOSE(D527:K527),$R$35:$R$42))</f>
        <v>30849.900244315009</v>
      </c>
      <c r="N527" s="13">
        <f t="shared" si="50"/>
        <v>18725.695667279884</v>
      </c>
      <c r="O527" s="13">
        <f t="shared" si="51"/>
        <v>42974.104821350134</v>
      </c>
    </row>
    <row r="528" spans="1:15" x14ac:dyDescent="0.25">
      <c r="A528" s="1" t="s">
        <v>0</v>
      </c>
      <c r="B528" s="1" t="s">
        <v>4</v>
      </c>
      <c r="C528" s="1" t="s">
        <v>5</v>
      </c>
      <c r="D528" s="1">
        <v>18</v>
      </c>
      <c r="E528" s="1">
        <v>33.880000000000003</v>
      </c>
      <c r="F528" s="1">
        <v>0</v>
      </c>
      <c r="G528" s="7">
        <f t="shared" si="49"/>
        <v>1</v>
      </c>
      <c r="H528" s="7">
        <f t="shared" si="52"/>
        <v>0</v>
      </c>
      <c r="I528" s="7">
        <f t="shared" si="53"/>
        <v>1</v>
      </c>
      <c r="J528" s="7">
        <f t="shared" si="53"/>
        <v>0</v>
      </c>
      <c r="K528" s="7">
        <f t="shared" si="53"/>
        <v>0</v>
      </c>
      <c r="L528" s="11">
        <v>11482.63485</v>
      </c>
      <c r="M528" s="12" cm="1">
        <f t="array" ref="M528">IF(($R$34+SUMPRODUCT(TRANSPOSE(D528:K528),$R$35:$R$42))&lt;0,"-",$R$34+SUMPRODUCT(TRANSPOSE(D528:K528),$R$35:$R$42))</f>
        <v>3141.7279284524975</v>
      </c>
      <c r="N528" s="13" t="str">
        <f t="shared" si="50"/>
        <v>-</v>
      </c>
      <c r="O528" s="13">
        <f t="shared" si="51"/>
        <v>15265.932505487621</v>
      </c>
    </row>
    <row r="529" spans="1:15" x14ac:dyDescent="0.25">
      <c r="A529" s="1" t="s">
        <v>0</v>
      </c>
      <c r="B529" s="1" t="s">
        <v>4</v>
      </c>
      <c r="C529" s="1" t="s">
        <v>6</v>
      </c>
      <c r="D529" s="1">
        <v>19</v>
      </c>
      <c r="E529" s="1">
        <v>30.59</v>
      </c>
      <c r="F529" s="1">
        <v>2</v>
      </c>
      <c r="G529" s="7">
        <f t="shared" si="49"/>
        <v>1</v>
      </c>
      <c r="H529" s="7">
        <f t="shared" si="52"/>
        <v>0</v>
      </c>
      <c r="I529" s="7">
        <f t="shared" si="53"/>
        <v>0</v>
      </c>
      <c r="J529" s="7">
        <f t="shared" si="53"/>
        <v>1</v>
      </c>
      <c r="K529" s="7">
        <f t="shared" si="53"/>
        <v>0</v>
      </c>
      <c r="L529" s="11">
        <v>24059.680189999999</v>
      </c>
      <c r="M529" s="12" cm="1">
        <f t="array" ref="M529">IF(($R$34+SUMPRODUCT(TRANSPOSE(D529:K529),$R$35:$R$42))&lt;0,"-",$R$34+SUMPRODUCT(TRANSPOSE(D529:K529),$R$35:$R$42))</f>
        <v>3915.6970588716213</v>
      </c>
      <c r="N529" s="13" t="str">
        <f t="shared" si="50"/>
        <v>-</v>
      </c>
      <c r="O529" s="13">
        <f t="shared" si="51"/>
        <v>16039.901635906745</v>
      </c>
    </row>
    <row r="530" spans="1:15" x14ac:dyDescent="0.25">
      <c r="A530" s="1" t="s">
        <v>0</v>
      </c>
      <c r="B530" s="1" t="s">
        <v>4</v>
      </c>
      <c r="C530" s="1" t="s">
        <v>2</v>
      </c>
      <c r="D530" s="1">
        <v>51</v>
      </c>
      <c r="E530" s="1">
        <v>25.8</v>
      </c>
      <c r="F530" s="1">
        <v>1</v>
      </c>
      <c r="G530" s="7">
        <f t="shared" si="49"/>
        <v>1</v>
      </c>
      <c r="H530" s="7">
        <f t="shared" si="52"/>
        <v>0</v>
      </c>
      <c r="I530" s="7">
        <f t="shared" si="53"/>
        <v>0</v>
      </c>
      <c r="J530" s="7">
        <f t="shared" si="53"/>
        <v>0</v>
      </c>
      <c r="K530" s="7">
        <f t="shared" si="53"/>
        <v>0</v>
      </c>
      <c r="L530" s="11">
        <v>9861.0249999999996</v>
      </c>
      <c r="M530" s="12" cm="1">
        <f t="array" ref="M530">IF(($R$34+SUMPRODUCT(TRANSPOSE(D530:K530),$R$35:$R$42))&lt;0,"-",$R$34+SUMPRODUCT(TRANSPOSE(D530:K530),$R$35:$R$42))</f>
        <v>9427.7760602455164</v>
      </c>
      <c r="N530" s="13" t="str">
        <f t="shared" si="50"/>
        <v>-</v>
      </c>
      <c r="O530" s="13">
        <f t="shared" si="51"/>
        <v>21551.980637280642</v>
      </c>
    </row>
    <row r="531" spans="1:15" x14ac:dyDescent="0.25">
      <c r="A531" s="1" t="s">
        <v>3</v>
      </c>
      <c r="B531" s="1" t="s">
        <v>4</v>
      </c>
      <c r="C531" s="1" t="s">
        <v>7</v>
      </c>
      <c r="D531" s="1">
        <v>46</v>
      </c>
      <c r="E531" s="1">
        <v>39.424999999999997</v>
      </c>
      <c r="F531" s="1">
        <v>1</v>
      </c>
      <c r="G531" s="7">
        <f t="shared" si="49"/>
        <v>0</v>
      </c>
      <c r="H531" s="7">
        <f t="shared" si="52"/>
        <v>0</v>
      </c>
      <c r="I531" s="7">
        <f t="shared" si="53"/>
        <v>0</v>
      </c>
      <c r="J531" s="7">
        <f t="shared" si="53"/>
        <v>0</v>
      </c>
      <c r="K531" s="7">
        <f t="shared" si="53"/>
        <v>1</v>
      </c>
      <c r="L531" s="11">
        <v>8342.9087500000005</v>
      </c>
      <c r="M531" s="12" cm="1">
        <f t="array" ref="M531">IF(($R$34+SUMPRODUCT(TRANSPOSE(D531:K531),$R$35:$R$42))&lt;0,"-",$R$34+SUMPRODUCT(TRANSPOSE(D531:K531),$R$35:$R$42))</f>
        <v>13593.741734912193</v>
      </c>
      <c r="N531" s="13">
        <f t="shared" si="50"/>
        <v>1469.5371578770701</v>
      </c>
      <c r="O531" s="13">
        <f t="shared" si="51"/>
        <v>25717.946311947315</v>
      </c>
    </row>
    <row r="532" spans="1:15" x14ac:dyDescent="0.25">
      <c r="A532" s="1" t="s">
        <v>3</v>
      </c>
      <c r="B532" s="1" t="s">
        <v>4</v>
      </c>
      <c r="C532" s="1" t="s">
        <v>7</v>
      </c>
      <c r="D532" s="1">
        <v>18</v>
      </c>
      <c r="E532" s="1">
        <v>25.46</v>
      </c>
      <c r="F532" s="1">
        <v>0</v>
      </c>
      <c r="G532" s="7">
        <f t="shared" si="49"/>
        <v>0</v>
      </c>
      <c r="H532" s="7">
        <f t="shared" si="52"/>
        <v>0</v>
      </c>
      <c r="I532" s="7">
        <f t="shared" si="53"/>
        <v>0</v>
      </c>
      <c r="J532" s="7">
        <f t="shared" si="53"/>
        <v>0</v>
      </c>
      <c r="K532" s="7">
        <f t="shared" si="53"/>
        <v>1</v>
      </c>
      <c r="L532" s="11">
        <v>1708.0014000000001</v>
      </c>
      <c r="M532" s="12" cm="1">
        <f t="array" ref="M532">IF(($R$34+SUMPRODUCT(TRANSPOSE(D532:K532),$R$35:$R$42))&lt;0,"-",$R$34+SUMPRODUCT(TRANSPOSE(D532:K532),$R$35:$R$42))</f>
        <v>1189.4267390419373</v>
      </c>
      <c r="N532" s="13" t="str">
        <f t="shared" si="50"/>
        <v>-</v>
      </c>
      <c r="O532" s="13">
        <f t="shared" si="51"/>
        <v>13313.631316077061</v>
      </c>
    </row>
    <row r="533" spans="1:15" x14ac:dyDescent="0.25">
      <c r="A533" s="1" t="s">
        <v>3</v>
      </c>
      <c r="B533" s="1" t="s">
        <v>1</v>
      </c>
      <c r="C533" s="1" t="s">
        <v>5</v>
      </c>
      <c r="D533" s="1">
        <v>57</v>
      </c>
      <c r="E533" s="1">
        <v>42.13</v>
      </c>
      <c r="F533" s="1">
        <v>1</v>
      </c>
      <c r="G533" s="7">
        <f t="shared" si="49"/>
        <v>0</v>
      </c>
      <c r="H533" s="7">
        <f t="shared" si="52"/>
        <v>1</v>
      </c>
      <c r="I533" s="7">
        <f t="shared" si="53"/>
        <v>1</v>
      </c>
      <c r="J533" s="7">
        <f t="shared" si="53"/>
        <v>0</v>
      </c>
      <c r="K533" s="7">
        <f t="shared" si="53"/>
        <v>0</v>
      </c>
      <c r="L533" s="11">
        <v>48675.517699999997</v>
      </c>
      <c r="M533" s="12" cm="1">
        <f t="array" ref="M533">IF(($R$34+SUMPRODUCT(TRANSPOSE(D533:K533),$R$35:$R$42))&lt;0,"-",$R$34+SUMPRODUCT(TRANSPOSE(D533:K533),$R$35:$R$42))</f>
        <v>40150.192397365325</v>
      </c>
      <c r="N533" s="13">
        <f t="shared" si="50"/>
        <v>28025.9878203302</v>
      </c>
      <c r="O533" s="13">
        <f t="shared" si="51"/>
        <v>52274.39697440045</v>
      </c>
    </row>
    <row r="534" spans="1:15" x14ac:dyDescent="0.25">
      <c r="A534" s="1" t="s">
        <v>0</v>
      </c>
      <c r="B534" s="1" t="s">
        <v>4</v>
      </c>
      <c r="C534" s="1" t="s">
        <v>7</v>
      </c>
      <c r="D534" s="1">
        <v>62</v>
      </c>
      <c r="E534" s="1">
        <v>31.73</v>
      </c>
      <c r="F534" s="1">
        <v>0</v>
      </c>
      <c r="G534" s="7">
        <f t="shared" si="49"/>
        <v>1</v>
      </c>
      <c r="H534" s="7">
        <f t="shared" si="52"/>
        <v>0</v>
      </c>
      <c r="I534" s="7">
        <f t="shared" si="53"/>
        <v>0</v>
      </c>
      <c r="J534" s="7">
        <f t="shared" si="53"/>
        <v>0</v>
      </c>
      <c r="K534" s="7">
        <f t="shared" si="53"/>
        <v>1</v>
      </c>
      <c r="L534" s="11">
        <v>14043.476699999999</v>
      </c>
      <c r="M534" s="12" cm="1">
        <f t="array" ref="M534">IF(($R$34+SUMPRODUCT(TRANSPOSE(D534:K534),$R$35:$R$42))&lt;0,"-",$R$34+SUMPRODUCT(TRANSPOSE(D534:K534),$R$35:$R$42))</f>
        <v>14749.163564220318</v>
      </c>
      <c r="N534" s="13">
        <f t="shared" si="50"/>
        <v>2624.9589871851949</v>
      </c>
      <c r="O534" s="13">
        <f t="shared" si="51"/>
        <v>26873.368141255443</v>
      </c>
    </row>
    <row r="535" spans="1:15" x14ac:dyDescent="0.25">
      <c r="A535" s="1" t="s">
        <v>3</v>
      </c>
      <c r="B535" s="1" t="s">
        <v>4</v>
      </c>
      <c r="C535" s="1" t="s">
        <v>5</v>
      </c>
      <c r="D535" s="1">
        <v>59</v>
      </c>
      <c r="E535" s="1">
        <v>29.7</v>
      </c>
      <c r="F535" s="1">
        <v>2</v>
      </c>
      <c r="G535" s="7">
        <f t="shared" si="49"/>
        <v>0</v>
      </c>
      <c r="H535" s="7">
        <f t="shared" si="52"/>
        <v>0</v>
      </c>
      <c r="I535" s="7">
        <f t="shared" si="53"/>
        <v>1</v>
      </c>
      <c r="J535" s="7">
        <f t="shared" si="53"/>
        <v>0</v>
      </c>
      <c r="K535" s="7">
        <f t="shared" si="53"/>
        <v>0</v>
      </c>
      <c r="L535" s="11">
        <v>12925.886</v>
      </c>
      <c r="M535" s="12" cm="1">
        <f t="array" ref="M535">IF(($R$34+SUMPRODUCT(TRANSPOSE(D535:K535),$R$35:$R$42))&lt;0,"-",$R$34+SUMPRODUCT(TRANSPOSE(D535:K535),$R$35:$R$42))</f>
        <v>13074.696477293608</v>
      </c>
      <c r="N535" s="13">
        <f t="shared" si="50"/>
        <v>950.49190025848475</v>
      </c>
      <c r="O535" s="13">
        <f t="shared" si="51"/>
        <v>25198.90105432873</v>
      </c>
    </row>
    <row r="536" spans="1:15" x14ac:dyDescent="0.25">
      <c r="A536" s="1" t="s">
        <v>3</v>
      </c>
      <c r="B536" s="1" t="s">
        <v>4</v>
      </c>
      <c r="C536" s="1" t="s">
        <v>5</v>
      </c>
      <c r="D536" s="1">
        <v>37</v>
      </c>
      <c r="E536" s="1">
        <v>36.19</v>
      </c>
      <c r="F536" s="1">
        <v>0</v>
      </c>
      <c r="G536" s="7">
        <f t="shared" si="49"/>
        <v>0</v>
      </c>
      <c r="H536" s="7">
        <f t="shared" si="52"/>
        <v>0</v>
      </c>
      <c r="I536" s="7">
        <f t="shared" si="53"/>
        <v>1</v>
      </c>
      <c r="J536" s="7">
        <f t="shared" si="53"/>
        <v>0</v>
      </c>
      <c r="K536" s="7">
        <f t="shared" si="53"/>
        <v>0</v>
      </c>
      <c r="L536" s="11">
        <v>19214.705529999999</v>
      </c>
      <c r="M536" s="12" cm="1">
        <f t="array" ref="M536">IF(($R$34+SUMPRODUCT(TRANSPOSE(D536:K536),$R$35:$R$42))&lt;0,"-",$R$34+SUMPRODUCT(TRANSPOSE(D536:K536),$R$35:$R$42))</f>
        <v>8674.2211451080439</v>
      </c>
      <c r="N536" s="13" t="str">
        <f t="shared" si="50"/>
        <v>-</v>
      </c>
      <c r="O536" s="13">
        <f t="shared" si="51"/>
        <v>20798.425722143169</v>
      </c>
    </row>
    <row r="537" spans="1:15" x14ac:dyDescent="0.25">
      <c r="A537" s="1" t="s">
        <v>3</v>
      </c>
      <c r="B537" s="1" t="s">
        <v>4</v>
      </c>
      <c r="C537" s="1" t="s">
        <v>5</v>
      </c>
      <c r="D537" s="1">
        <v>64</v>
      </c>
      <c r="E537" s="1">
        <v>40.479999999999997</v>
      </c>
      <c r="F537" s="1">
        <v>0</v>
      </c>
      <c r="G537" s="7">
        <f t="shared" si="49"/>
        <v>0</v>
      </c>
      <c r="H537" s="7">
        <f t="shared" si="52"/>
        <v>0</v>
      </c>
      <c r="I537" s="7">
        <f t="shared" si="53"/>
        <v>1</v>
      </c>
      <c r="J537" s="7">
        <f t="shared" si="53"/>
        <v>0</v>
      </c>
      <c r="K537" s="7">
        <f t="shared" si="53"/>
        <v>0</v>
      </c>
      <c r="L537" s="11">
        <v>13831.1152</v>
      </c>
      <c r="M537" s="12" cm="1">
        <f t="array" ref="M537">IF(($R$34+SUMPRODUCT(TRANSPOSE(D537:K537),$R$35:$R$42))&lt;0,"-",$R$34+SUMPRODUCT(TRANSPOSE(D537:K537),$R$35:$R$42))</f>
        <v>17064.482579606942</v>
      </c>
      <c r="N537" s="13">
        <f t="shared" si="50"/>
        <v>4940.2780025718184</v>
      </c>
      <c r="O537" s="13">
        <f t="shared" si="51"/>
        <v>29188.687156642067</v>
      </c>
    </row>
    <row r="538" spans="1:15" x14ac:dyDescent="0.25">
      <c r="A538" s="1" t="s">
        <v>3</v>
      </c>
      <c r="B538" s="1" t="s">
        <v>4</v>
      </c>
      <c r="C538" s="1" t="s">
        <v>7</v>
      </c>
      <c r="D538" s="1">
        <v>38</v>
      </c>
      <c r="E538" s="1">
        <v>28.024999999999999</v>
      </c>
      <c r="F538" s="1">
        <v>1</v>
      </c>
      <c r="G538" s="7">
        <f t="shared" si="49"/>
        <v>0</v>
      </c>
      <c r="H538" s="7">
        <f t="shared" si="52"/>
        <v>0</v>
      </c>
      <c r="I538" s="7">
        <f t="shared" si="53"/>
        <v>0</v>
      </c>
      <c r="J538" s="7">
        <f t="shared" si="53"/>
        <v>0</v>
      </c>
      <c r="K538" s="7">
        <f t="shared" si="53"/>
        <v>1</v>
      </c>
      <c r="L538" s="11">
        <v>6067.1267500000004</v>
      </c>
      <c r="M538" s="12" cm="1">
        <f t="array" ref="M538">IF(($R$34+SUMPRODUCT(TRANSPOSE(D538:K538),$R$35:$R$42))&lt;0,"-",$R$34+SUMPRODUCT(TRANSPOSE(D538:K538),$R$35:$R$42))</f>
        <v>7672.0855434498371</v>
      </c>
      <c r="N538" s="13" t="str">
        <f t="shared" si="50"/>
        <v>-</v>
      </c>
      <c r="O538" s="13">
        <f t="shared" si="51"/>
        <v>19796.290120484962</v>
      </c>
    </row>
    <row r="539" spans="1:15" x14ac:dyDescent="0.25">
      <c r="A539" s="1" t="s">
        <v>0</v>
      </c>
      <c r="B539" s="1" t="s">
        <v>4</v>
      </c>
      <c r="C539" s="1" t="s">
        <v>2</v>
      </c>
      <c r="D539" s="1">
        <v>33</v>
      </c>
      <c r="E539" s="1">
        <v>38.9</v>
      </c>
      <c r="F539" s="1">
        <v>3</v>
      </c>
      <c r="G539" s="7">
        <f t="shared" si="49"/>
        <v>1</v>
      </c>
      <c r="H539" s="7">
        <f t="shared" si="52"/>
        <v>0</v>
      </c>
      <c r="I539" s="7">
        <f t="shared" si="53"/>
        <v>0</v>
      </c>
      <c r="J539" s="7">
        <f t="shared" si="53"/>
        <v>0</v>
      </c>
      <c r="K539" s="7">
        <f t="shared" si="53"/>
        <v>0</v>
      </c>
      <c r="L539" s="11">
        <v>5972.3779999999997</v>
      </c>
      <c r="M539" s="12" cm="1">
        <f t="array" ref="M539">IF(($R$34+SUMPRODUCT(TRANSPOSE(D539:K539),$R$35:$R$42))&lt;0,"-",$R$34+SUMPRODUCT(TRANSPOSE(D539:K539),$R$35:$R$42))</f>
        <v>10198.797047173521</v>
      </c>
      <c r="N539" s="13" t="str">
        <f t="shared" si="50"/>
        <v>-</v>
      </c>
      <c r="O539" s="13">
        <f t="shared" si="51"/>
        <v>22323.001624208642</v>
      </c>
    </row>
    <row r="540" spans="1:15" x14ac:dyDescent="0.25">
      <c r="A540" s="1" t="s">
        <v>0</v>
      </c>
      <c r="B540" s="1" t="s">
        <v>4</v>
      </c>
      <c r="C540" s="1" t="s">
        <v>2</v>
      </c>
      <c r="D540" s="1">
        <v>46</v>
      </c>
      <c r="E540" s="1">
        <v>30.2</v>
      </c>
      <c r="F540" s="1">
        <v>2</v>
      </c>
      <c r="G540" s="7">
        <f t="shared" si="49"/>
        <v>1</v>
      </c>
      <c r="H540" s="7">
        <f t="shared" si="52"/>
        <v>0</v>
      </c>
      <c r="I540" s="7">
        <f t="shared" si="53"/>
        <v>0</v>
      </c>
      <c r="J540" s="7">
        <f t="shared" si="53"/>
        <v>0</v>
      </c>
      <c r="K540" s="7">
        <f t="shared" si="53"/>
        <v>0</v>
      </c>
      <c r="L540" s="11">
        <v>8825.0859999999993</v>
      </c>
      <c r="M540" s="12" cm="1">
        <f t="array" ref="M540">IF(($R$34+SUMPRODUCT(TRANSPOSE(D540:K540),$R$35:$R$42))&lt;0,"-",$R$34+SUMPRODUCT(TRANSPOSE(D540:K540),$R$35:$R$42))</f>
        <v>10111.446038595601</v>
      </c>
      <c r="N540" s="13" t="str">
        <f t="shared" si="50"/>
        <v>-</v>
      </c>
      <c r="O540" s="13">
        <f t="shared" si="51"/>
        <v>22235.650615630722</v>
      </c>
    </row>
    <row r="541" spans="1:15" x14ac:dyDescent="0.25">
      <c r="A541" s="1" t="s">
        <v>0</v>
      </c>
      <c r="B541" s="1" t="s">
        <v>4</v>
      </c>
      <c r="C541" s="1" t="s">
        <v>5</v>
      </c>
      <c r="D541" s="1">
        <v>46</v>
      </c>
      <c r="E541" s="1">
        <v>28.05</v>
      </c>
      <c r="F541" s="1">
        <v>1</v>
      </c>
      <c r="G541" s="7">
        <f t="shared" si="49"/>
        <v>1</v>
      </c>
      <c r="H541" s="7">
        <f t="shared" si="52"/>
        <v>0</v>
      </c>
      <c r="I541" s="7">
        <f t="shared" si="53"/>
        <v>1</v>
      </c>
      <c r="J541" s="7">
        <f t="shared" si="53"/>
        <v>0</v>
      </c>
      <c r="K541" s="7">
        <f t="shared" si="53"/>
        <v>0</v>
      </c>
      <c r="L541" s="11">
        <v>8233.0974999999999</v>
      </c>
      <c r="M541" s="12" cm="1">
        <f t="array" ref="M541">IF(($R$34+SUMPRODUCT(TRANSPOSE(D541:K541),$R$35:$R$42))&lt;0,"-",$R$34+SUMPRODUCT(TRANSPOSE(D541:K541),$R$35:$R$42))</f>
        <v>8831.7085100961776</v>
      </c>
      <c r="N541" s="13" t="str">
        <f t="shared" si="50"/>
        <v>-</v>
      </c>
      <c r="O541" s="13">
        <f t="shared" si="51"/>
        <v>20955.913087131303</v>
      </c>
    </row>
    <row r="542" spans="1:15" x14ac:dyDescent="0.25">
      <c r="A542" s="1" t="s">
        <v>3</v>
      </c>
      <c r="B542" s="1" t="s">
        <v>4</v>
      </c>
      <c r="C542" s="1" t="s">
        <v>5</v>
      </c>
      <c r="D542" s="1">
        <v>53</v>
      </c>
      <c r="E542" s="1">
        <v>31.35</v>
      </c>
      <c r="F542" s="1">
        <v>0</v>
      </c>
      <c r="G542" s="7">
        <f t="shared" si="49"/>
        <v>0</v>
      </c>
      <c r="H542" s="7">
        <f t="shared" si="52"/>
        <v>0</v>
      </c>
      <c r="I542" s="7">
        <f t="shared" si="53"/>
        <v>1</v>
      </c>
      <c r="J542" s="7">
        <f t="shared" si="53"/>
        <v>0</v>
      </c>
      <c r="K542" s="7">
        <f t="shared" si="53"/>
        <v>0</v>
      </c>
      <c r="L542" s="11">
        <v>27346.04207</v>
      </c>
      <c r="M542" s="12" cm="1">
        <f t="array" ref="M542">IF(($R$34+SUMPRODUCT(TRANSPOSE(D542:K542),$R$35:$R$42))&lt;0,"-",$R$34+SUMPRODUCT(TRANSPOSE(D542:K542),$R$35:$R$42))</f>
        <v>11142.226470229143</v>
      </c>
      <c r="N542" s="13" t="str">
        <f t="shared" si="50"/>
        <v>-</v>
      </c>
      <c r="O542" s="13">
        <f t="shared" si="51"/>
        <v>23266.431047264268</v>
      </c>
    </row>
    <row r="543" spans="1:15" x14ac:dyDescent="0.25">
      <c r="A543" s="1" t="s">
        <v>0</v>
      </c>
      <c r="B543" s="1" t="s">
        <v>4</v>
      </c>
      <c r="C543" s="1" t="s">
        <v>2</v>
      </c>
      <c r="D543" s="1">
        <v>34</v>
      </c>
      <c r="E543" s="1">
        <v>38</v>
      </c>
      <c r="F543" s="1">
        <v>3</v>
      </c>
      <c r="G543" s="7">
        <f t="shared" si="49"/>
        <v>1</v>
      </c>
      <c r="H543" s="7">
        <f t="shared" si="52"/>
        <v>0</v>
      </c>
      <c r="I543" s="7">
        <f t="shared" si="53"/>
        <v>0</v>
      </c>
      <c r="J543" s="7">
        <f t="shared" si="53"/>
        <v>0</v>
      </c>
      <c r="K543" s="7">
        <f t="shared" si="53"/>
        <v>0</v>
      </c>
      <c r="L543" s="11">
        <v>6196.4480000000003</v>
      </c>
      <c r="M543" s="12" cm="1">
        <f t="array" ref="M543">IF(($R$34+SUMPRODUCT(TRANSPOSE(D543:K543),$R$35:$R$42))&lt;0,"-",$R$34+SUMPRODUCT(TRANSPOSE(D543:K543),$R$35:$R$42))</f>
        <v>10150.379291461115</v>
      </c>
      <c r="N543" s="13" t="str">
        <f t="shared" si="50"/>
        <v>-</v>
      </c>
      <c r="O543" s="13">
        <f t="shared" si="51"/>
        <v>22274.583868496236</v>
      </c>
    </row>
    <row r="544" spans="1:15" x14ac:dyDescent="0.25">
      <c r="A544" s="1" t="s">
        <v>0</v>
      </c>
      <c r="B544" s="1" t="s">
        <v>4</v>
      </c>
      <c r="C544" s="1" t="s">
        <v>5</v>
      </c>
      <c r="D544" s="1">
        <v>20</v>
      </c>
      <c r="E544" s="1">
        <v>31.79</v>
      </c>
      <c r="F544" s="1">
        <v>2</v>
      </c>
      <c r="G544" s="7">
        <f t="shared" si="49"/>
        <v>1</v>
      </c>
      <c r="H544" s="7">
        <f t="shared" si="52"/>
        <v>0</v>
      </c>
      <c r="I544" s="7">
        <f t="shared" si="53"/>
        <v>1</v>
      </c>
      <c r="J544" s="7">
        <f t="shared" si="53"/>
        <v>0</v>
      </c>
      <c r="K544" s="7">
        <f t="shared" si="53"/>
        <v>0</v>
      </c>
      <c r="L544" s="11">
        <v>3056.3881000000001</v>
      </c>
      <c r="M544" s="12" cm="1">
        <f t="array" ref="M544">IF(($R$34+SUMPRODUCT(TRANSPOSE(D544:K544),$R$35:$R$42))&lt;0,"-",$R$34+SUMPRODUCT(TRANSPOSE(D544:K544),$R$35:$R$42))</f>
        <v>3897.527405778801</v>
      </c>
      <c r="N544" s="13" t="str">
        <f t="shared" si="50"/>
        <v>-</v>
      </c>
      <c r="O544" s="13">
        <f t="shared" si="51"/>
        <v>16021.731982813924</v>
      </c>
    </row>
    <row r="545" spans="1:15" x14ac:dyDescent="0.25">
      <c r="A545" s="1" t="s">
        <v>0</v>
      </c>
      <c r="B545" s="1" t="s">
        <v>4</v>
      </c>
      <c r="C545" s="1" t="s">
        <v>5</v>
      </c>
      <c r="D545" s="1">
        <v>63</v>
      </c>
      <c r="E545" s="1">
        <v>36.299999999999997</v>
      </c>
      <c r="F545" s="1">
        <v>0</v>
      </c>
      <c r="G545" s="7">
        <f t="shared" si="49"/>
        <v>1</v>
      </c>
      <c r="H545" s="7">
        <f t="shared" si="52"/>
        <v>0</v>
      </c>
      <c r="I545" s="7">
        <f t="shared" si="53"/>
        <v>1</v>
      </c>
      <c r="J545" s="7">
        <f t="shared" si="53"/>
        <v>0</v>
      </c>
      <c r="K545" s="7">
        <f t="shared" si="53"/>
        <v>0</v>
      </c>
      <c r="L545" s="11">
        <v>13887.204</v>
      </c>
      <c r="M545" s="12" cm="1">
        <f t="array" ref="M545">IF(($R$34+SUMPRODUCT(TRANSPOSE(D545:K545),$R$35:$R$42))&lt;0,"-",$R$34+SUMPRODUCT(TRANSPOSE(D545:K545),$R$35:$R$42))</f>
        <v>15521.111950371389</v>
      </c>
      <c r="N545" s="13">
        <f t="shared" si="50"/>
        <v>3396.9073733362657</v>
      </c>
      <c r="O545" s="13">
        <f t="shared" si="51"/>
        <v>27645.31652740651</v>
      </c>
    </row>
    <row r="546" spans="1:15" x14ac:dyDescent="0.25">
      <c r="A546" s="1" t="s">
        <v>0</v>
      </c>
      <c r="B546" s="1" t="s">
        <v>1</v>
      </c>
      <c r="C546" s="1" t="s">
        <v>5</v>
      </c>
      <c r="D546" s="1">
        <v>54</v>
      </c>
      <c r="E546" s="1">
        <v>47.41</v>
      </c>
      <c r="F546" s="1">
        <v>0</v>
      </c>
      <c r="G546" s="7">
        <f t="shared" si="49"/>
        <v>1</v>
      </c>
      <c r="H546" s="7">
        <f t="shared" si="52"/>
        <v>1</v>
      </c>
      <c r="I546" s="7">
        <f t="shared" si="53"/>
        <v>1</v>
      </c>
      <c r="J546" s="7">
        <f t="shared" si="53"/>
        <v>0</v>
      </c>
      <c r="K546" s="7">
        <f t="shared" si="53"/>
        <v>0</v>
      </c>
      <c r="L546" s="11">
        <v>63770.428010000003</v>
      </c>
      <c r="M546" s="12" cm="1">
        <f t="array" ref="M546">IF(($R$34+SUMPRODUCT(TRANSPOSE(D546:K546),$R$35:$R$42))&lt;0,"-",$R$34+SUMPRODUCT(TRANSPOSE(D546:K546),$R$35:$R$42))</f>
        <v>40826.378589064479</v>
      </c>
      <c r="N546" s="13">
        <f t="shared" si="50"/>
        <v>28702.174012029354</v>
      </c>
      <c r="O546" s="13">
        <f t="shared" si="51"/>
        <v>52950.583166099605</v>
      </c>
    </row>
    <row r="547" spans="1:15" x14ac:dyDescent="0.25">
      <c r="A547" s="1" t="s">
        <v>3</v>
      </c>
      <c r="B547" s="1" t="s">
        <v>4</v>
      </c>
      <c r="C547" s="1" t="s">
        <v>6</v>
      </c>
      <c r="D547" s="1">
        <v>54</v>
      </c>
      <c r="E547" s="1">
        <v>30.21</v>
      </c>
      <c r="F547" s="1">
        <v>0</v>
      </c>
      <c r="G547" s="7">
        <f t="shared" si="49"/>
        <v>0</v>
      </c>
      <c r="H547" s="7">
        <f t="shared" si="52"/>
        <v>0</v>
      </c>
      <c r="I547" s="7">
        <f t="shared" si="53"/>
        <v>0</v>
      </c>
      <c r="J547" s="7">
        <f t="shared" si="53"/>
        <v>1</v>
      </c>
      <c r="K547" s="7">
        <f t="shared" si="53"/>
        <v>0</v>
      </c>
      <c r="L547" s="11">
        <v>10231.499900000001</v>
      </c>
      <c r="M547" s="12" cm="1">
        <f t="array" ref="M547">IF(($R$34+SUMPRODUCT(TRANSPOSE(D547:K547),$R$35:$R$42))&lt;0,"-",$R$34+SUMPRODUCT(TRANSPOSE(D547:K547),$R$35:$R$42))</f>
        <v>11694.46043561331</v>
      </c>
      <c r="N547" s="13" t="str">
        <f t="shared" si="50"/>
        <v>-</v>
      </c>
      <c r="O547" s="13">
        <f t="shared" si="51"/>
        <v>23818.665012648431</v>
      </c>
    </row>
    <row r="548" spans="1:15" x14ac:dyDescent="0.25">
      <c r="A548" s="1" t="s">
        <v>3</v>
      </c>
      <c r="B548" s="1" t="s">
        <v>1</v>
      </c>
      <c r="C548" s="1" t="s">
        <v>6</v>
      </c>
      <c r="D548" s="1">
        <v>49</v>
      </c>
      <c r="E548" s="1">
        <v>25.84</v>
      </c>
      <c r="F548" s="1">
        <v>2</v>
      </c>
      <c r="G548" s="7">
        <f t="shared" si="49"/>
        <v>0</v>
      </c>
      <c r="H548" s="7">
        <f t="shared" si="52"/>
        <v>1</v>
      </c>
      <c r="I548" s="7">
        <f t="shared" si="53"/>
        <v>0</v>
      </c>
      <c r="J548" s="7">
        <f t="shared" si="53"/>
        <v>1</v>
      </c>
      <c r="K548" s="7">
        <f t="shared" si="53"/>
        <v>0</v>
      </c>
      <c r="L548" s="11">
        <v>23807.240600000001</v>
      </c>
      <c r="M548" s="12" cm="1">
        <f t="array" ref="M548">IF(($R$34+SUMPRODUCT(TRANSPOSE(D548:K548),$R$35:$R$42))&lt;0,"-",$R$34+SUMPRODUCT(TRANSPOSE(D548:K548),$R$35:$R$42))</f>
        <v>33727.438912858255</v>
      </c>
      <c r="N548" s="13">
        <f t="shared" si="50"/>
        <v>21603.23433582313</v>
      </c>
      <c r="O548" s="13">
        <f t="shared" si="51"/>
        <v>45851.64348989338</v>
      </c>
    </row>
    <row r="549" spans="1:15" x14ac:dyDescent="0.25">
      <c r="A549" s="1" t="s">
        <v>3</v>
      </c>
      <c r="B549" s="1" t="s">
        <v>4</v>
      </c>
      <c r="C549" s="1" t="s">
        <v>7</v>
      </c>
      <c r="D549" s="1">
        <v>28</v>
      </c>
      <c r="E549" s="1">
        <v>35.435000000000002</v>
      </c>
      <c r="F549" s="1">
        <v>0</v>
      </c>
      <c r="G549" s="7">
        <f t="shared" si="49"/>
        <v>0</v>
      </c>
      <c r="H549" s="7">
        <f t="shared" si="52"/>
        <v>0</v>
      </c>
      <c r="I549" s="7">
        <f t="shared" si="53"/>
        <v>0</v>
      </c>
      <c r="J549" s="7">
        <f t="shared" si="53"/>
        <v>0</v>
      </c>
      <c r="K549" s="7">
        <f t="shared" si="53"/>
        <v>1</v>
      </c>
      <c r="L549" s="11">
        <v>3268.84665</v>
      </c>
      <c r="M549" s="12" cm="1">
        <f t="array" ref="M549">IF(($R$34+SUMPRODUCT(TRANSPOSE(D549:K549),$R$35:$R$42))&lt;0,"-",$R$34+SUMPRODUCT(TRANSPOSE(D549:K549),$R$35:$R$42))</f>
        <v>7141.444964183549</v>
      </c>
      <c r="N549" s="13" t="str">
        <f t="shared" si="50"/>
        <v>-</v>
      </c>
      <c r="O549" s="13">
        <f t="shared" si="51"/>
        <v>19265.64954121867</v>
      </c>
    </row>
    <row r="550" spans="1:15" x14ac:dyDescent="0.25">
      <c r="A550" s="1" t="s">
        <v>0</v>
      </c>
      <c r="B550" s="1" t="s">
        <v>4</v>
      </c>
      <c r="C550" s="1" t="s">
        <v>2</v>
      </c>
      <c r="D550" s="1">
        <v>54</v>
      </c>
      <c r="E550" s="1">
        <v>46.7</v>
      </c>
      <c r="F550" s="1">
        <v>2</v>
      </c>
      <c r="G550" s="7">
        <f t="shared" si="49"/>
        <v>1</v>
      </c>
      <c r="H550" s="7">
        <f t="shared" si="52"/>
        <v>0</v>
      </c>
      <c r="I550" s="7">
        <f t="shared" si="53"/>
        <v>0</v>
      </c>
      <c r="J550" s="7">
        <f t="shared" si="53"/>
        <v>0</v>
      </c>
      <c r="K550" s="7">
        <f t="shared" si="53"/>
        <v>0</v>
      </c>
      <c r="L550" s="11">
        <v>11538.421</v>
      </c>
      <c r="M550" s="12" cm="1">
        <f t="array" ref="M550">IF(($R$34+SUMPRODUCT(TRANSPOSE(D550:K550),$R$35:$R$42))&lt;0,"-",$R$34+SUMPRODUCT(TRANSPOSE(D550:K550),$R$35:$R$42))</f>
        <v>17762.988843473246</v>
      </c>
      <c r="N550" s="13">
        <f t="shared" si="50"/>
        <v>5638.7842664381224</v>
      </c>
      <c r="O550" s="13">
        <f t="shared" si="51"/>
        <v>29887.193420508367</v>
      </c>
    </row>
    <row r="551" spans="1:15" x14ac:dyDescent="0.25">
      <c r="A551" s="1" t="s">
        <v>0</v>
      </c>
      <c r="B551" s="1" t="s">
        <v>4</v>
      </c>
      <c r="C551" s="1" t="s">
        <v>7</v>
      </c>
      <c r="D551" s="1">
        <v>25</v>
      </c>
      <c r="E551" s="1">
        <v>28.594999999999999</v>
      </c>
      <c r="F551" s="1">
        <v>0</v>
      </c>
      <c r="G551" s="7">
        <f t="shared" si="49"/>
        <v>1</v>
      </c>
      <c r="H551" s="7">
        <f t="shared" si="52"/>
        <v>0</v>
      </c>
      <c r="I551" s="7">
        <f t="shared" si="53"/>
        <v>0</v>
      </c>
      <c r="J551" s="7">
        <f t="shared" si="53"/>
        <v>0</v>
      </c>
      <c r="K551" s="7">
        <f t="shared" si="53"/>
        <v>1</v>
      </c>
      <c r="L551" s="11">
        <v>3213.6220499999999</v>
      </c>
      <c r="M551" s="12" cm="1">
        <f t="array" ref="M551">IF(($R$34+SUMPRODUCT(TRANSPOSE(D551:K551),$R$35:$R$42))&lt;0,"-",$R$34+SUMPRODUCT(TRANSPOSE(D551:K551),$R$35:$R$42))</f>
        <v>4182.107043268461</v>
      </c>
      <c r="N551" s="13" t="str">
        <f t="shared" si="50"/>
        <v>-</v>
      </c>
      <c r="O551" s="13">
        <f t="shared" si="51"/>
        <v>16306.311620303584</v>
      </c>
    </row>
    <row r="552" spans="1:15" x14ac:dyDescent="0.25">
      <c r="A552" s="1" t="s">
        <v>0</v>
      </c>
      <c r="B552" s="1" t="s">
        <v>1</v>
      </c>
      <c r="C552" s="1" t="s">
        <v>5</v>
      </c>
      <c r="D552" s="1">
        <v>43</v>
      </c>
      <c r="E552" s="1">
        <v>46.2</v>
      </c>
      <c r="F552" s="1">
        <v>0</v>
      </c>
      <c r="G552" s="7">
        <f t="shared" si="49"/>
        <v>1</v>
      </c>
      <c r="H552" s="7">
        <f t="shared" si="52"/>
        <v>1</v>
      </c>
      <c r="I552" s="7">
        <f t="shared" si="53"/>
        <v>1</v>
      </c>
      <c r="J552" s="7">
        <f t="shared" si="53"/>
        <v>0</v>
      </c>
      <c r="K552" s="7">
        <f t="shared" si="53"/>
        <v>0</v>
      </c>
      <c r="L552" s="11">
        <v>45863.205000000002</v>
      </c>
      <c r="M552" s="12" cm="1">
        <f t="array" ref="M552">IF(($R$34+SUMPRODUCT(TRANSPOSE(D552:K552),$R$35:$R$42))&lt;0,"-",$R$34+SUMPRODUCT(TRANSPOSE(D552:K552),$R$35:$R$42))</f>
        <v>37590.534632284543</v>
      </c>
      <c r="N552" s="13">
        <f t="shared" si="50"/>
        <v>25466.330055249418</v>
      </c>
      <c r="O552" s="13">
        <f t="shared" si="51"/>
        <v>49714.739209319669</v>
      </c>
    </row>
    <row r="553" spans="1:15" x14ac:dyDescent="0.25">
      <c r="A553" s="1" t="s">
        <v>3</v>
      </c>
      <c r="B553" s="1" t="s">
        <v>4</v>
      </c>
      <c r="C553" s="1" t="s">
        <v>2</v>
      </c>
      <c r="D553" s="1">
        <v>63</v>
      </c>
      <c r="E553" s="1">
        <v>30.8</v>
      </c>
      <c r="F553" s="1">
        <v>0</v>
      </c>
      <c r="G553" s="7">
        <f t="shared" si="49"/>
        <v>0</v>
      </c>
      <c r="H553" s="7">
        <f t="shared" si="52"/>
        <v>0</v>
      </c>
      <c r="I553" s="7">
        <f t="shared" si="53"/>
        <v>0</v>
      </c>
      <c r="J553" s="7">
        <f t="shared" si="53"/>
        <v>0</v>
      </c>
      <c r="K553" s="7">
        <f t="shared" si="53"/>
        <v>0</v>
      </c>
      <c r="L553" s="11">
        <v>13390.558999999999</v>
      </c>
      <c r="M553" s="12" cm="1">
        <f t="array" ref="M553">IF(($R$34+SUMPRODUCT(TRANSPOSE(D553:K553),$R$35:$R$42))&lt;0,"-",$R$34+SUMPRODUCT(TRANSPOSE(D553:K553),$R$35:$R$42))</f>
        <v>13599.204654203648</v>
      </c>
      <c r="N553" s="13">
        <f t="shared" si="50"/>
        <v>1475.0000771685245</v>
      </c>
      <c r="O553" s="13">
        <f t="shared" si="51"/>
        <v>25723.409231238773</v>
      </c>
    </row>
    <row r="554" spans="1:15" x14ac:dyDescent="0.25">
      <c r="A554" s="1" t="s">
        <v>0</v>
      </c>
      <c r="B554" s="1" t="s">
        <v>4</v>
      </c>
      <c r="C554" s="1" t="s">
        <v>5</v>
      </c>
      <c r="D554" s="1">
        <v>32</v>
      </c>
      <c r="E554" s="1">
        <v>28.93</v>
      </c>
      <c r="F554" s="1">
        <v>0</v>
      </c>
      <c r="G554" s="7">
        <f t="shared" si="49"/>
        <v>1</v>
      </c>
      <c r="H554" s="7">
        <f t="shared" si="52"/>
        <v>0</v>
      </c>
      <c r="I554" s="7">
        <f t="shared" si="53"/>
        <v>1</v>
      </c>
      <c r="J554" s="7">
        <f t="shared" si="53"/>
        <v>0</v>
      </c>
      <c r="K554" s="7">
        <f t="shared" si="53"/>
        <v>0</v>
      </c>
      <c r="L554" s="11">
        <v>3972.9247</v>
      </c>
      <c r="M554" s="12" cm="1">
        <f t="array" ref="M554">IF(($R$34+SUMPRODUCT(TRANSPOSE(D554:K554),$R$35:$R$42))&lt;0,"-",$R$34+SUMPRODUCT(TRANSPOSE(D554:K554),$R$35:$R$42))</f>
        <v>5058.7092686017095</v>
      </c>
      <c r="N554" s="13" t="str">
        <f t="shared" si="50"/>
        <v>-</v>
      </c>
      <c r="O554" s="13">
        <f t="shared" si="51"/>
        <v>17182.913845636831</v>
      </c>
    </row>
    <row r="555" spans="1:15" x14ac:dyDescent="0.25">
      <c r="A555" s="1" t="s">
        <v>3</v>
      </c>
      <c r="B555" s="1" t="s">
        <v>4</v>
      </c>
      <c r="C555" s="1" t="s">
        <v>2</v>
      </c>
      <c r="D555" s="1">
        <v>62</v>
      </c>
      <c r="E555" s="1">
        <v>21.4</v>
      </c>
      <c r="F555" s="1">
        <v>0</v>
      </c>
      <c r="G555" s="7">
        <f t="shared" si="49"/>
        <v>0</v>
      </c>
      <c r="H555" s="7">
        <f t="shared" si="52"/>
        <v>0</v>
      </c>
      <c r="I555" s="7">
        <f t="shared" si="53"/>
        <v>0</v>
      </c>
      <c r="J555" s="7">
        <f t="shared" si="53"/>
        <v>0</v>
      </c>
      <c r="K555" s="7">
        <f t="shared" si="53"/>
        <v>0</v>
      </c>
      <c r="L555" s="11">
        <v>12957.118</v>
      </c>
      <c r="M555" s="12" cm="1">
        <f t="array" ref="M555">IF(($R$34+SUMPRODUCT(TRANSPOSE(D555:K555),$R$35:$R$42))&lt;0,"-",$R$34+SUMPRODUCT(TRANSPOSE(D555:K555),$R$35:$R$42))</f>
        <v>10153.929837724405</v>
      </c>
      <c r="N555" s="13" t="str">
        <f t="shared" si="50"/>
        <v>-</v>
      </c>
      <c r="O555" s="13">
        <f t="shared" si="51"/>
        <v>22278.13441475953</v>
      </c>
    </row>
    <row r="556" spans="1:15" x14ac:dyDescent="0.25">
      <c r="A556" s="1" t="s">
        <v>0</v>
      </c>
      <c r="B556" s="1" t="s">
        <v>4</v>
      </c>
      <c r="C556" s="1" t="s">
        <v>6</v>
      </c>
      <c r="D556" s="1">
        <v>52</v>
      </c>
      <c r="E556" s="1">
        <v>31.73</v>
      </c>
      <c r="F556" s="1">
        <v>2</v>
      </c>
      <c r="G556" s="7">
        <f t="shared" si="49"/>
        <v>1</v>
      </c>
      <c r="H556" s="7">
        <f t="shared" si="52"/>
        <v>0</v>
      </c>
      <c r="I556" s="7">
        <f t="shared" si="53"/>
        <v>0</v>
      </c>
      <c r="J556" s="7">
        <f t="shared" si="53"/>
        <v>1</v>
      </c>
      <c r="K556" s="7">
        <f t="shared" si="53"/>
        <v>0</v>
      </c>
      <c r="L556" s="11">
        <v>11187.6567</v>
      </c>
      <c r="M556" s="12" cm="1">
        <f t="array" ref="M556">IF(($R$34+SUMPRODUCT(TRANSPOSE(D556:K556),$R$35:$R$42))&lt;0,"-",$R$34+SUMPRODUCT(TRANSPOSE(D556:K556),$R$35:$R$42))</f>
        <v>12778.637229720465</v>
      </c>
      <c r="N556" s="13">
        <f t="shared" si="50"/>
        <v>654.43265268534196</v>
      </c>
      <c r="O556" s="13">
        <f t="shared" si="51"/>
        <v>24902.84180675559</v>
      </c>
    </row>
    <row r="557" spans="1:15" x14ac:dyDescent="0.25">
      <c r="A557" s="1" t="s">
        <v>0</v>
      </c>
      <c r="B557" s="1" t="s">
        <v>4</v>
      </c>
      <c r="C557" s="1" t="s">
        <v>7</v>
      </c>
      <c r="D557" s="1">
        <v>25</v>
      </c>
      <c r="E557" s="1">
        <v>41.325000000000003</v>
      </c>
      <c r="F557" s="1">
        <v>0</v>
      </c>
      <c r="G557" s="7">
        <f t="shared" si="49"/>
        <v>1</v>
      </c>
      <c r="H557" s="7">
        <f t="shared" si="52"/>
        <v>0</v>
      </c>
      <c r="I557" s="7">
        <f t="shared" si="53"/>
        <v>0</v>
      </c>
      <c r="J557" s="7">
        <f t="shared" si="53"/>
        <v>0</v>
      </c>
      <c r="K557" s="7">
        <f t="shared" si="53"/>
        <v>1</v>
      </c>
      <c r="L557" s="11">
        <v>17878.900679999999</v>
      </c>
      <c r="M557" s="12" cm="1">
        <f t="array" ref="M557">IF(($R$34+SUMPRODUCT(TRANSPOSE(D557:K557),$R$35:$R$42))&lt;0,"-",$R$34+SUMPRODUCT(TRANSPOSE(D557:K557),$R$35:$R$42))</f>
        <v>8500.0397077344569</v>
      </c>
      <c r="N557" s="13" t="str">
        <f t="shared" si="50"/>
        <v>-</v>
      </c>
      <c r="O557" s="13">
        <f t="shared" si="51"/>
        <v>20624.244284769578</v>
      </c>
    </row>
    <row r="558" spans="1:15" x14ac:dyDescent="0.25">
      <c r="A558" s="1" t="s">
        <v>3</v>
      </c>
      <c r="B558" s="1" t="s">
        <v>4</v>
      </c>
      <c r="C558" s="1" t="s">
        <v>2</v>
      </c>
      <c r="D558" s="1">
        <v>28</v>
      </c>
      <c r="E558" s="1">
        <v>23.8</v>
      </c>
      <c r="F558" s="1">
        <v>2</v>
      </c>
      <c r="G558" s="7">
        <f t="shared" si="49"/>
        <v>0</v>
      </c>
      <c r="H558" s="7">
        <f t="shared" si="52"/>
        <v>0</v>
      </c>
      <c r="I558" s="7">
        <f t="shared" si="53"/>
        <v>0</v>
      </c>
      <c r="J558" s="7">
        <f t="shared" si="53"/>
        <v>0</v>
      </c>
      <c r="K558" s="7">
        <f t="shared" si="53"/>
        <v>0</v>
      </c>
      <c r="L558" s="11">
        <v>3847.674</v>
      </c>
      <c r="M558" s="12" cm="1">
        <f t="array" ref="M558">IF(($R$34+SUMPRODUCT(TRANSPOSE(D558:K558),$R$35:$R$42))&lt;0,"-",$R$34+SUMPRODUCT(TRANSPOSE(D558:K558),$R$35:$R$42))</f>
        <v>3185.8792304188555</v>
      </c>
      <c r="N558" s="13" t="str">
        <f t="shared" si="50"/>
        <v>-</v>
      </c>
      <c r="O558" s="13">
        <f t="shared" si="51"/>
        <v>15310.083807453979</v>
      </c>
    </row>
    <row r="559" spans="1:15" x14ac:dyDescent="0.25">
      <c r="A559" s="1" t="s">
        <v>3</v>
      </c>
      <c r="B559" s="1" t="s">
        <v>4</v>
      </c>
      <c r="C559" s="1" t="s">
        <v>7</v>
      </c>
      <c r="D559" s="1">
        <v>46</v>
      </c>
      <c r="E559" s="1">
        <v>33.44</v>
      </c>
      <c r="F559" s="1">
        <v>1</v>
      </c>
      <c r="G559" s="7">
        <f t="shared" si="49"/>
        <v>0</v>
      </c>
      <c r="H559" s="7">
        <f t="shared" si="52"/>
        <v>0</v>
      </c>
      <c r="I559" s="7">
        <f t="shared" si="53"/>
        <v>0</v>
      </c>
      <c r="J559" s="7">
        <f t="shared" si="53"/>
        <v>0</v>
      </c>
      <c r="K559" s="7">
        <f t="shared" si="53"/>
        <v>1</v>
      </c>
      <c r="L559" s="11">
        <v>8334.5895999999993</v>
      </c>
      <c r="M559" s="12" cm="1">
        <f t="array" ref="M559">IF(($R$34+SUMPRODUCT(TRANSPOSE(D559:K559),$R$35:$R$42))&lt;0,"-",$R$34+SUMPRODUCT(TRANSPOSE(D559:K559),$R$35:$R$42))</f>
        <v>11563.668915051316</v>
      </c>
      <c r="N559" s="13" t="str">
        <f t="shared" si="50"/>
        <v>-</v>
      </c>
      <c r="O559" s="13">
        <f t="shared" si="51"/>
        <v>23687.873492086437</v>
      </c>
    </row>
    <row r="560" spans="1:15" x14ac:dyDescent="0.25">
      <c r="A560" s="1" t="s">
        <v>3</v>
      </c>
      <c r="B560" s="1" t="s">
        <v>4</v>
      </c>
      <c r="C560" s="1" t="s">
        <v>5</v>
      </c>
      <c r="D560" s="1">
        <v>34</v>
      </c>
      <c r="E560" s="1">
        <v>34.21</v>
      </c>
      <c r="F560" s="1">
        <v>0</v>
      </c>
      <c r="G560" s="7">
        <f t="shared" si="49"/>
        <v>0</v>
      </c>
      <c r="H560" s="7">
        <f t="shared" si="52"/>
        <v>0</v>
      </c>
      <c r="I560" s="7">
        <f t="shared" si="53"/>
        <v>1</v>
      </c>
      <c r="J560" s="7">
        <f t="shared" si="53"/>
        <v>0</v>
      </c>
      <c r="K560" s="7">
        <f t="shared" si="53"/>
        <v>0</v>
      </c>
      <c r="L560" s="11">
        <v>3935.1799000000001</v>
      </c>
      <c r="M560" s="12" cm="1">
        <f t="array" ref="M560">IF(($R$34+SUMPRODUCT(TRANSPOSE(D560:K560),$R$35:$R$42))&lt;0,"-",$R$34+SUMPRODUCT(TRANSPOSE(D560:K560),$R$35:$R$42))</f>
        <v>7232.0490493465368</v>
      </c>
      <c r="N560" s="13" t="str">
        <f t="shared" si="50"/>
        <v>-</v>
      </c>
      <c r="O560" s="13">
        <f t="shared" si="51"/>
        <v>19356.253626381658</v>
      </c>
    </row>
    <row r="561" spans="1:15" x14ac:dyDescent="0.25">
      <c r="A561" s="1" t="s">
        <v>0</v>
      </c>
      <c r="B561" s="1" t="s">
        <v>1</v>
      </c>
      <c r="C561" s="1" t="s">
        <v>6</v>
      </c>
      <c r="D561" s="1">
        <v>35</v>
      </c>
      <c r="E561" s="1">
        <v>34.104999999999997</v>
      </c>
      <c r="F561" s="1">
        <v>3</v>
      </c>
      <c r="G561" s="7">
        <f t="shared" si="49"/>
        <v>1</v>
      </c>
      <c r="H561" s="7">
        <f t="shared" si="52"/>
        <v>1</v>
      </c>
      <c r="I561" s="7">
        <f t="shared" si="53"/>
        <v>0</v>
      </c>
      <c r="J561" s="7">
        <f t="shared" si="53"/>
        <v>1</v>
      </c>
      <c r="K561" s="7">
        <f t="shared" si="53"/>
        <v>0</v>
      </c>
      <c r="L561" s="11">
        <v>39983.425949999997</v>
      </c>
      <c r="M561" s="12" cm="1">
        <f t="array" ref="M561">IF(($R$34+SUMPRODUCT(TRANSPOSE(D561:K561),$R$35:$R$42))&lt;0,"-",$R$34+SUMPRODUCT(TRANSPOSE(D561:K561),$R$35:$R$42))</f>
        <v>33541.698775973222</v>
      </c>
      <c r="N561" s="13">
        <f t="shared" si="50"/>
        <v>21417.494198938097</v>
      </c>
      <c r="O561" s="13">
        <f t="shared" si="51"/>
        <v>45665.903353008347</v>
      </c>
    </row>
    <row r="562" spans="1:15" x14ac:dyDescent="0.25">
      <c r="A562" s="1" t="s">
        <v>3</v>
      </c>
      <c r="B562" s="1" t="s">
        <v>4</v>
      </c>
      <c r="C562" s="1" t="s">
        <v>6</v>
      </c>
      <c r="D562" s="1">
        <v>19</v>
      </c>
      <c r="E562" s="1">
        <v>35.53</v>
      </c>
      <c r="F562" s="1">
        <v>0</v>
      </c>
      <c r="G562" s="7">
        <f t="shared" si="49"/>
        <v>0</v>
      </c>
      <c r="H562" s="7">
        <f t="shared" si="52"/>
        <v>0</v>
      </c>
      <c r="I562" s="7">
        <f t="shared" si="53"/>
        <v>0</v>
      </c>
      <c r="J562" s="7">
        <f t="shared" si="53"/>
        <v>1</v>
      </c>
      <c r="K562" s="7">
        <f t="shared" si="53"/>
        <v>0</v>
      </c>
      <c r="L562" s="11">
        <v>1646.4296999999999</v>
      </c>
      <c r="M562" s="12" cm="1">
        <f t="array" ref="M562">IF(($R$34+SUMPRODUCT(TRANSPOSE(D562:K562),$R$35:$R$42))&lt;0,"-",$R$34+SUMPRODUCT(TRANSPOSE(D562:K562),$R$35:$R$42))</f>
        <v>4508.9972700158032</v>
      </c>
      <c r="N562" s="13" t="str">
        <f t="shared" si="50"/>
        <v>-</v>
      </c>
      <c r="O562" s="13">
        <f t="shared" si="51"/>
        <v>16633.201847050928</v>
      </c>
    </row>
    <row r="563" spans="1:15" x14ac:dyDescent="0.25">
      <c r="A563" s="1" t="s">
        <v>0</v>
      </c>
      <c r="B563" s="1" t="s">
        <v>4</v>
      </c>
      <c r="C563" s="1" t="s">
        <v>6</v>
      </c>
      <c r="D563" s="1">
        <v>46</v>
      </c>
      <c r="E563" s="1">
        <v>19.95</v>
      </c>
      <c r="F563" s="1">
        <v>2</v>
      </c>
      <c r="G563" s="7">
        <f t="shared" si="49"/>
        <v>1</v>
      </c>
      <c r="H563" s="7">
        <f t="shared" si="52"/>
        <v>0</v>
      </c>
      <c r="I563" s="7">
        <f t="shared" si="53"/>
        <v>0</v>
      </c>
      <c r="J563" s="7">
        <f t="shared" si="53"/>
        <v>1</v>
      </c>
      <c r="K563" s="7">
        <f t="shared" si="53"/>
        <v>0</v>
      </c>
      <c r="L563" s="11">
        <v>9193.8384999999998</v>
      </c>
      <c r="M563" s="12" cm="1">
        <f t="array" ref="M563">IF(($R$34+SUMPRODUCT(TRANSPOSE(D563:K563),$R$35:$R$42))&lt;0,"-",$R$34+SUMPRODUCT(TRANSPOSE(D563:K563),$R$35:$R$42))</f>
        <v>7241.8002309606782</v>
      </c>
      <c r="N563" s="13" t="str">
        <f t="shared" si="50"/>
        <v>-</v>
      </c>
      <c r="O563" s="13">
        <f t="shared" si="51"/>
        <v>19366.0048079958</v>
      </c>
    </row>
    <row r="564" spans="1:15" x14ac:dyDescent="0.25">
      <c r="A564" s="1" t="s">
        <v>0</v>
      </c>
      <c r="B564" s="1" t="s">
        <v>4</v>
      </c>
      <c r="C564" s="1" t="s">
        <v>7</v>
      </c>
      <c r="D564" s="1">
        <v>54</v>
      </c>
      <c r="E564" s="1">
        <v>32.68</v>
      </c>
      <c r="F564" s="1">
        <v>0</v>
      </c>
      <c r="G564" s="7">
        <f t="shared" si="49"/>
        <v>1</v>
      </c>
      <c r="H564" s="7">
        <f t="shared" si="52"/>
        <v>0</v>
      </c>
      <c r="I564" s="7">
        <f t="shared" si="53"/>
        <v>0</v>
      </c>
      <c r="J564" s="7">
        <f t="shared" si="53"/>
        <v>0</v>
      </c>
      <c r="K564" s="7">
        <f t="shared" si="53"/>
        <v>1</v>
      </c>
      <c r="L564" s="11">
        <v>10923.933199999999</v>
      </c>
      <c r="M564" s="12" cm="1">
        <f t="array" ref="M564">IF(($R$34+SUMPRODUCT(TRANSPOSE(D564:K564),$R$35:$R$42))&lt;0,"-",$R$34+SUMPRODUCT(TRANSPOSE(D564:K564),$R$35:$R$42))</f>
        <v>13016.546524851834</v>
      </c>
      <c r="N564" s="13">
        <f t="shared" si="50"/>
        <v>892.34194781671067</v>
      </c>
      <c r="O564" s="13">
        <f t="shared" si="51"/>
        <v>25140.751101886955</v>
      </c>
    </row>
    <row r="565" spans="1:15" x14ac:dyDescent="0.25">
      <c r="A565" s="1" t="s">
        <v>3</v>
      </c>
      <c r="B565" s="1" t="s">
        <v>4</v>
      </c>
      <c r="C565" s="1" t="s">
        <v>2</v>
      </c>
      <c r="D565" s="1">
        <v>27</v>
      </c>
      <c r="E565" s="1">
        <v>30.5</v>
      </c>
      <c r="F565" s="1">
        <v>0</v>
      </c>
      <c r="G565" s="7">
        <f t="shared" si="49"/>
        <v>0</v>
      </c>
      <c r="H565" s="7">
        <f t="shared" si="52"/>
        <v>0</v>
      </c>
      <c r="I565" s="7">
        <f t="shared" si="53"/>
        <v>0</v>
      </c>
      <c r="J565" s="7">
        <f t="shared" si="53"/>
        <v>0</v>
      </c>
      <c r="K565" s="7">
        <f t="shared" si="53"/>
        <v>0</v>
      </c>
      <c r="L565" s="11">
        <v>2494.0219999999999</v>
      </c>
      <c r="M565" s="12" cm="1">
        <f t="array" ref="M565">IF(($R$34+SUMPRODUCT(TRANSPOSE(D565:K565),$R$35:$R$42))&lt;0,"-",$R$34+SUMPRODUCT(TRANSPOSE(D565:K565),$R$35:$R$42))</f>
        <v>4250.6179267758707</v>
      </c>
      <c r="N565" s="13" t="str">
        <f t="shared" si="50"/>
        <v>-</v>
      </c>
      <c r="O565" s="13">
        <f t="shared" si="51"/>
        <v>16374.822503810994</v>
      </c>
    </row>
    <row r="566" spans="1:15" x14ac:dyDescent="0.25">
      <c r="A566" s="1" t="s">
        <v>3</v>
      </c>
      <c r="B566" s="1" t="s">
        <v>4</v>
      </c>
      <c r="C566" s="1" t="s">
        <v>5</v>
      </c>
      <c r="D566" s="1">
        <v>50</v>
      </c>
      <c r="E566" s="1">
        <v>44.77</v>
      </c>
      <c r="F566" s="1">
        <v>1</v>
      </c>
      <c r="G566" s="7">
        <f t="shared" si="49"/>
        <v>0</v>
      </c>
      <c r="H566" s="7">
        <f t="shared" si="52"/>
        <v>0</v>
      </c>
      <c r="I566" s="7">
        <f t="shared" si="53"/>
        <v>1</v>
      </c>
      <c r="J566" s="7">
        <f t="shared" si="53"/>
        <v>0</v>
      </c>
      <c r="K566" s="7">
        <f t="shared" si="53"/>
        <v>0</v>
      </c>
      <c r="L566" s="11">
        <v>9058.7302999999993</v>
      </c>
      <c r="M566" s="12" cm="1">
        <f t="array" ref="M566">IF(($R$34+SUMPRODUCT(TRANSPOSE(D566:K566),$R$35:$R$42))&lt;0,"-",$R$34+SUMPRODUCT(TRANSPOSE(D566:K566),$R$35:$R$42))</f>
        <v>15399.134105223708</v>
      </c>
      <c r="N566" s="13">
        <f t="shared" si="50"/>
        <v>3274.9295281885843</v>
      </c>
      <c r="O566" s="13">
        <f t="shared" si="51"/>
        <v>27523.338682258829</v>
      </c>
    </row>
    <row r="567" spans="1:15" x14ac:dyDescent="0.25">
      <c r="A567" s="1" t="s">
        <v>0</v>
      </c>
      <c r="B567" s="1" t="s">
        <v>4</v>
      </c>
      <c r="C567" s="1" t="s">
        <v>5</v>
      </c>
      <c r="D567" s="1">
        <v>18</v>
      </c>
      <c r="E567" s="1">
        <v>32.119999999999997</v>
      </c>
      <c r="F567" s="1">
        <v>2</v>
      </c>
      <c r="G567" s="7">
        <f t="shared" si="49"/>
        <v>1</v>
      </c>
      <c r="H567" s="7">
        <f t="shared" si="52"/>
        <v>0</v>
      </c>
      <c r="I567" s="7">
        <f t="shared" si="53"/>
        <v>1</v>
      </c>
      <c r="J567" s="7">
        <f t="shared" si="53"/>
        <v>0</v>
      </c>
      <c r="K567" s="7">
        <f t="shared" si="53"/>
        <v>0</v>
      </c>
      <c r="L567" s="11">
        <v>2801.2588000000001</v>
      </c>
      <c r="M567" s="12" cm="1">
        <f t="array" ref="M567">IF(($R$34+SUMPRODUCT(TRANSPOSE(D567:K567),$R$35:$R$42))&lt;0,"-",$R$34+SUMPRODUCT(TRANSPOSE(D567:K567),$R$35:$R$42))</f>
        <v>3495.7485403956853</v>
      </c>
      <c r="N567" s="13" t="str">
        <f t="shared" si="50"/>
        <v>-</v>
      </c>
      <c r="O567" s="13">
        <f t="shared" si="51"/>
        <v>15619.953117430809</v>
      </c>
    </row>
    <row r="568" spans="1:15" x14ac:dyDescent="0.25">
      <c r="A568" s="1" t="s">
        <v>0</v>
      </c>
      <c r="B568" s="1" t="s">
        <v>4</v>
      </c>
      <c r="C568" s="1" t="s">
        <v>6</v>
      </c>
      <c r="D568" s="1">
        <v>19</v>
      </c>
      <c r="E568" s="1">
        <v>30.495000000000001</v>
      </c>
      <c r="F568" s="1">
        <v>0</v>
      </c>
      <c r="G568" s="7">
        <f t="shared" si="49"/>
        <v>1</v>
      </c>
      <c r="H568" s="7">
        <f t="shared" si="52"/>
        <v>0</v>
      </c>
      <c r="I568" s="7">
        <f t="shared" si="53"/>
        <v>0</v>
      </c>
      <c r="J568" s="7">
        <f t="shared" si="53"/>
        <v>1</v>
      </c>
      <c r="K568" s="7">
        <f t="shared" si="53"/>
        <v>0</v>
      </c>
      <c r="L568" s="11">
        <v>2128.4310500000001</v>
      </c>
      <c r="M568" s="12" cm="1">
        <f t="array" ref="M568">IF(($R$34+SUMPRODUCT(TRANSPOSE(D568:K568),$R$35:$R$42))&lt;0,"-",$R$34+SUMPRODUCT(TRANSPOSE(D568:K568),$R$35:$R$42))</f>
        <v>2932.472590480329</v>
      </c>
      <c r="N568" s="13" t="str">
        <f t="shared" si="50"/>
        <v>-</v>
      </c>
      <c r="O568" s="13">
        <f t="shared" si="51"/>
        <v>15056.677167515452</v>
      </c>
    </row>
    <row r="569" spans="1:15" x14ac:dyDescent="0.25">
      <c r="A569" s="1" t="s">
        <v>0</v>
      </c>
      <c r="B569" s="1" t="s">
        <v>4</v>
      </c>
      <c r="C569" s="1" t="s">
        <v>6</v>
      </c>
      <c r="D569" s="1">
        <v>38</v>
      </c>
      <c r="E569" s="1">
        <v>40.564999999999998</v>
      </c>
      <c r="F569" s="1">
        <v>1</v>
      </c>
      <c r="G569" s="7">
        <f t="shared" si="49"/>
        <v>1</v>
      </c>
      <c r="H569" s="7">
        <f t="shared" si="52"/>
        <v>0</v>
      </c>
      <c r="I569" s="7">
        <f t="shared" si="53"/>
        <v>0</v>
      </c>
      <c r="J569" s="7">
        <f t="shared" si="53"/>
        <v>1</v>
      </c>
      <c r="K569" s="7">
        <f t="shared" si="53"/>
        <v>0</v>
      </c>
      <c r="L569" s="11">
        <v>6373.55735</v>
      </c>
      <c r="M569" s="12" cm="1">
        <f t="array" ref="M569">IF(($R$34+SUMPRODUCT(TRANSPOSE(D569:K569),$R$35:$R$42))&lt;0,"-",$R$34+SUMPRODUCT(TRANSPOSE(D569:K569),$R$35:$R$42))</f>
        <v>11703.921911700232</v>
      </c>
      <c r="N569" s="13" t="str">
        <f t="shared" si="50"/>
        <v>-</v>
      </c>
      <c r="O569" s="13">
        <f t="shared" si="51"/>
        <v>23828.126488735354</v>
      </c>
    </row>
    <row r="570" spans="1:15" x14ac:dyDescent="0.25">
      <c r="A570" s="1" t="s">
        <v>3</v>
      </c>
      <c r="B570" s="1" t="s">
        <v>4</v>
      </c>
      <c r="C570" s="1" t="s">
        <v>6</v>
      </c>
      <c r="D570" s="1">
        <v>41</v>
      </c>
      <c r="E570" s="1">
        <v>30.59</v>
      </c>
      <c r="F570" s="1">
        <v>2</v>
      </c>
      <c r="G570" s="7">
        <f t="shared" si="49"/>
        <v>0</v>
      </c>
      <c r="H570" s="7">
        <f t="shared" si="52"/>
        <v>0</v>
      </c>
      <c r="I570" s="7">
        <f t="shared" si="53"/>
        <v>0</v>
      </c>
      <c r="J570" s="7">
        <f t="shared" si="53"/>
        <v>1</v>
      </c>
      <c r="K570" s="7">
        <f t="shared" si="53"/>
        <v>0</v>
      </c>
      <c r="L570" s="11">
        <v>7256.7231000000002</v>
      </c>
      <c r="M570" s="12" cm="1">
        <f t="array" ref="M570">IF(($R$34+SUMPRODUCT(TRANSPOSE(D570:K570),$R$35:$R$42))&lt;0,"-",$R$34+SUMPRODUCT(TRANSPOSE(D570:K570),$R$35:$R$42))</f>
        <v>9435.2224552981716</v>
      </c>
      <c r="N570" s="13" t="str">
        <f t="shared" si="50"/>
        <v>-</v>
      </c>
      <c r="O570" s="13">
        <f t="shared" si="51"/>
        <v>21559.427032333297</v>
      </c>
    </row>
    <row r="571" spans="1:15" x14ac:dyDescent="0.25">
      <c r="A571" s="1" t="s">
        <v>0</v>
      </c>
      <c r="B571" s="1" t="s">
        <v>4</v>
      </c>
      <c r="C571" s="1" t="s">
        <v>2</v>
      </c>
      <c r="D571" s="1">
        <v>49</v>
      </c>
      <c r="E571" s="1">
        <v>31.9</v>
      </c>
      <c r="F571" s="1">
        <v>5</v>
      </c>
      <c r="G571" s="7">
        <f t="shared" si="49"/>
        <v>1</v>
      </c>
      <c r="H571" s="7">
        <f t="shared" si="52"/>
        <v>0</v>
      </c>
      <c r="I571" s="7">
        <f t="shared" si="53"/>
        <v>0</v>
      </c>
      <c r="J571" s="7">
        <f t="shared" si="53"/>
        <v>0</v>
      </c>
      <c r="K571" s="7">
        <f t="shared" si="53"/>
        <v>0</v>
      </c>
      <c r="L571" s="11">
        <v>11552.904</v>
      </c>
      <c r="M571" s="12" cm="1">
        <f t="array" ref="M571">IF(($R$34+SUMPRODUCT(TRANSPOSE(D571:K571),$R$35:$R$42))&lt;0,"-",$R$34+SUMPRODUCT(TRANSPOSE(D571:K571),$R$35:$R$42))</f>
        <v>12885.145602793469</v>
      </c>
      <c r="N571" s="13">
        <f t="shared" si="50"/>
        <v>760.94102575834586</v>
      </c>
      <c r="O571" s="13">
        <f t="shared" si="51"/>
        <v>25009.350179828594</v>
      </c>
    </row>
    <row r="572" spans="1:15" x14ac:dyDescent="0.25">
      <c r="A572" s="1" t="s">
        <v>3</v>
      </c>
      <c r="B572" s="1" t="s">
        <v>1</v>
      </c>
      <c r="C572" s="1" t="s">
        <v>6</v>
      </c>
      <c r="D572" s="1">
        <v>48</v>
      </c>
      <c r="E572" s="1">
        <v>40.564999999999998</v>
      </c>
      <c r="F572" s="1">
        <v>2</v>
      </c>
      <c r="G572" s="7">
        <f t="shared" si="49"/>
        <v>0</v>
      </c>
      <c r="H572" s="7">
        <f t="shared" si="52"/>
        <v>1</v>
      </c>
      <c r="I572" s="7">
        <f t="shared" si="53"/>
        <v>0</v>
      </c>
      <c r="J572" s="7">
        <f t="shared" si="53"/>
        <v>1</v>
      </c>
      <c r="K572" s="7">
        <f t="shared" si="53"/>
        <v>0</v>
      </c>
      <c r="L572" s="11">
        <v>45702.022349999999</v>
      </c>
      <c r="M572" s="12" cm="1">
        <f t="array" ref="M572">IF(($R$34+SUMPRODUCT(TRANSPOSE(D572:K572),$R$35:$R$42))&lt;0,"-",$R$34+SUMPRODUCT(TRANSPOSE(D572:K572),$R$35:$R$42))</f>
        <v>38465.206164740528</v>
      </c>
      <c r="N572" s="13">
        <f t="shared" si="50"/>
        <v>26341.001587705403</v>
      </c>
      <c r="O572" s="13">
        <f t="shared" si="51"/>
        <v>50589.410741775653</v>
      </c>
    </row>
    <row r="573" spans="1:15" x14ac:dyDescent="0.25">
      <c r="A573" s="1" t="s">
        <v>0</v>
      </c>
      <c r="B573" s="1" t="s">
        <v>4</v>
      </c>
      <c r="C573" s="1" t="s">
        <v>2</v>
      </c>
      <c r="D573" s="1">
        <v>31</v>
      </c>
      <c r="E573" s="1">
        <v>29.1</v>
      </c>
      <c r="F573" s="1">
        <v>0</v>
      </c>
      <c r="G573" s="7">
        <f t="shared" si="49"/>
        <v>1</v>
      </c>
      <c r="H573" s="7">
        <f t="shared" si="52"/>
        <v>0</v>
      </c>
      <c r="I573" s="7">
        <f t="shared" si="53"/>
        <v>0</v>
      </c>
      <c r="J573" s="7">
        <f t="shared" si="53"/>
        <v>0</v>
      </c>
      <c r="K573" s="7">
        <f t="shared" si="53"/>
        <v>0</v>
      </c>
      <c r="L573" s="11">
        <v>3761.2919999999999</v>
      </c>
      <c r="M573" s="12" cm="1">
        <f t="array" ref="M573">IF(($R$34+SUMPRODUCT(TRANSPOSE(D573:K573),$R$35:$R$42))&lt;0,"-",$R$34+SUMPRODUCT(TRANSPOSE(D573:K573),$R$35:$R$42))</f>
        <v>4934.4868612651917</v>
      </c>
      <c r="N573" s="13" t="str">
        <f t="shared" si="50"/>
        <v>-</v>
      </c>
      <c r="O573" s="13">
        <f t="shared" si="51"/>
        <v>17058.691438300317</v>
      </c>
    </row>
    <row r="574" spans="1:15" x14ac:dyDescent="0.25">
      <c r="A574" s="1" t="s">
        <v>0</v>
      </c>
      <c r="B574" s="1" t="s">
        <v>4</v>
      </c>
      <c r="C574" s="1" t="s">
        <v>5</v>
      </c>
      <c r="D574" s="1">
        <v>18</v>
      </c>
      <c r="E574" s="1">
        <v>37.29</v>
      </c>
      <c r="F574" s="1">
        <v>1</v>
      </c>
      <c r="G574" s="7">
        <f t="shared" si="49"/>
        <v>1</v>
      </c>
      <c r="H574" s="7">
        <f t="shared" si="52"/>
        <v>0</v>
      </c>
      <c r="I574" s="7">
        <f t="shared" si="53"/>
        <v>1</v>
      </c>
      <c r="J574" s="7">
        <f t="shared" si="53"/>
        <v>0</v>
      </c>
      <c r="K574" s="7">
        <f t="shared" si="53"/>
        <v>0</v>
      </c>
      <c r="L574" s="11">
        <v>2219.4450999999999</v>
      </c>
      <c r="M574" s="12" cm="1">
        <f t="array" ref="M574">IF(($R$34+SUMPRODUCT(TRANSPOSE(D574:K574),$R$35:$R$42))&lt;0,"-",$R$34+SUMPRODUCT(TRANSPOSE(D574:K574),$R$35:$R$42))</f>
        <v>4773.8781504145954</v>
      </c>
      <c r="N574" s="13" t="str">
        <f t="shared" si="50"/>
        <v>-</v>
      </c>
      <c r="O574" s="13">
        <f t="shared" si="51"/>
        <v>16898.082727449721</v>
      </c>
    </row>
    <row r="575" spans="1:15" x14ac:dyDescent="0.25">
      <c r="A575" s="1" t="s">
        <v>0</v>
      </c>
      <c r="B575" s="1" t="s">
        <v>4</v>
      </c>
      <c r="C575" s="1" t="s">
        <v>5</v>
      </c>
      <c r="D575" s="1">
        <v>30</v>
      </c>
      <c r="E575" s="1">
        <v>43.12</v>
      </c>
      <c r="F575" s="1">
        <v>2</v>
      </c>
      <c r="G575" s="7">
        <f t="shared" si="49"/>
        <v>1</v>
      </c>
      <c r="H575" s="7">
        <f t="shared" si="52"/>
        <v>0</v>
      </c>
      <c r="I575" s="7">
        <f t="shared" si="53"/>
        <v>1</v>
      </c>
      <c r="J575" s="7">
        <f t="shared" si="53"/>
        <v>0</v>
      </c>
      <c r="K575" s="7">
        <f t="shared" si="53"/>
        <v>0</v>
      </c>
      <c r="L575" s="11">
        <v>4753.6368000000002</v>
      </c>
      <c r="M575" s="12" cm="1">
        <f t="array" ref="M575">IF(($R$34+SUMPRODUCT(TRANSPOSE(D575:K575),$R$35:$R$42))&lt;0,"-",$R$34+SUMPRODUCT(TRANSPOSE(D575:K575),$R$35:$R$42))</f>
        <v>10309.152760563098</v>
      </c>
      <c r="N575" s="13" t="str">
        <f t="shared" si="50"/>
        <v>-</v>
      </c>
      <c r="O575" s="13">
        <f t="shared" si="51"/>
        <v>22433.357337598223</v>
      </c>
    </row>
    <row r="576" spans="1:15" x14ac:dyDescent="0.25">
      <c r="A576" s="1" t="s">
        <v>0</v>
      </c>
      <c r="B576" s="1" t="s">
        <v>4</v>
      </c>
      <c r="C576" s="1" t="s">
        <v>7</v>
      </c>
      <c r="D576" s="1">
        <v>62</v>
      </c>
      <c r="E576" s="1">
        <v>36.86</v>
      </c>
      <c r="F576" s="1">
        <v>1</v>
      </c>
      <c r="G576" s="7">
        <f t="shared" si="49"/>
        <v>1</v>
      </c>
      <c r="H576" s="7">
        <f t="shared" si="52"/>
        <v>0</v>
      </c>
      <c r="I576" s="7">
        <f t="shared" si="53"/>
        <v>0</v>
      </c>
      <c r="J576" s="7">
        <f t="shared" si="53"/>
        <v>0</v>
      </c>
      <c r="K576" s="7">
        <f t="shared" si="53"/>
        <v>1</v>
      </c>
      <c r="L576" s="11">
        <v>31620.001059999999</v>
      </c>
      <c r="M576" s="12" cm="1">
        <f t="array" ref="M576">IF(($R$34+SUMPRODUCT(TRANSPOSE(D576:K576),$R$35:$R$42))&lt;0,"-",$R$34+SUMPRODUCT(TRANSPOSE(D576:K576),$R$35:$R$42))</f>
        <v>16964.726526393064</v>
      </c>
      <c r="N576" s="13">
        <f t="shared" si="50"/>
        <v>4840.5219493579407</v>
      </c>
      <c r="O576" s="13">
        <f t="shared" si="51"/>
        <v>29088.931103428185</v>
      </c>
    </row>
    <row r="577" spans="1:15" x14ac:dyDescent="0.25">
      <c r="A577" s="1" t="s">
        <v>0</v>
      </c>
      <c r="B577" s="1" t="s">
        <v>4</v>
      </c>
      <c r="C577" s="1" t="s">
        <v>7</v>
      </c>
      <c r="D577" s="1">
        <v>57</v>
      </c>
      <c r="E577" s="1">
        <v>34.295000000000002</v>
      </c>
      <c r="F577" s="1">
        <v>2</v>
      </c>
      <c r="G577" s="7">
        <f t="shared" si="49"/>
        <v>1</v>
      </c>
      <c r="H577" s="7">
        <f t="shared" si="52"/>
        <v>0</v>
      </c>
      <c r="I577" s="7">
        <f t="shared" si="53"/>
        <v>0</v>
      </c>
      <c r="J577" s="7">
        <f t="shared" si="53"/>
        <v>0</v>
      </c>
      <c r="K577" s="7">
        <f t="shared" si="53"/>
        <v>1</v>
      </c>
      <c r="L577" s="11">
        <v>13224.057049999999</v>
      </c>
      <c r="M577" s="12" cm="1">
        <f t="array" ref="M577">IF(($R$34+SUMPRODUCT(TRANSPOSE(D577:K577),$R$35:$R$42))&lt;0,"-",$R$34+SUMPRODUCT(TRANSPOSE(D577:K577),$R$35:$R$42))</f>
        <v>15285.914100343649</v>
      </c>
      <c r="N577" s="13">
        <f t="shared" si="50"/>
        <v>3161.7095233085256</v>
      </c>
      <c r="O577" s="13">
        <f t="shared" si="51"/>
        <v>27410.11867737877</v>
      </c>
    </row>
    <row r="578" spans="1:15" x14ac:dyDescent="0.25">
      <c r="A578" s="1" t="s">
        <v>0</v>
      </c>
      <c r="B578" s="1" t="s">
        <v>4</v>
      </c>
      <c r="C578" s="1" t="s">
        <v>6</v>
      </c>
      <c r="D578" s="1">
        <v>58</v>
      </c>
      <c r="E578" s="1">
        <v>27.17</v>
      </c>
      <c r="F578" s="1">
        <v>0</v>
      </c>
      <c r="G578" s="7">
        <f t="shared" si="49"/>
        <v>1</v>
      </c>
      <c r="H578" s="7">
        <f t="shared" si="52"/>
        <v>0</v>
      </c>
      <c r="I578" s="7">
        <f t="shared" si="53"/>
        <v>0</v>
      </c>
      <c r="J578" s="7">
        <f t="shared" si="53"/>
        <v>1</v>
      </c>
      <c r="K578" s="7">
        <f t="shared" si="53"/>
        <v>0</v>
      </c>
      <c r="L578" s="11">
        <v>12222.898300000001</v>
      </c>
      <c r="M578" s="12" cm="1">
        <f t="array" ref="M578">IF(($R$34+SUMPRODUCT(TRANSPOSE(D578:K578),$R$35:$R$42))&lt;0,"-",$R$34+SUMPRODUCT(TRANSPOSE(D578:K578),$R$35:$R$42))</f>
        <v>11822.052106180854</v>
      </c>
      <c r="N578" s="13" t="str">
        <f t="shared" si="50"/>
        <v>-</v>
      </c>
      <c r="O578" s="13">
        <f t="shared" si="51"/>
        <v>23946.256683215979</v>
      </c>
    </row>
    <row r="579" spans="1:15" x14ac:dyDescent="0.25">
      <c r="A579" s="1" t="s">
        <v>3</v>
      </c>
      <c r="B579" s="1" t="s">
        <v>4</v>
      </c>
      <c r="C579" s="1" t="s">
        <v>5</v>
      </c>
      <c r="D579" s="1">
        <v>22</v>
      </c>
      <c r="E579" s="1">
        <v>26.84</v>
      </c>
      <c r="F579" s="1">
        <v>0</v>
      </c>
      <c r="G579" s="7">
        <f t="shared" ref="G579:G642" si="54">IF($A579=G$2,1,0)</f>
        <v>0</v>
      </c>
      <c r="H579" s="7">
        <f t="shared" si="52"/>
        <v>0</v>
      </c>
      <c r="I579" s="7">
        <f t="shared" si="53"/>
        <v>1</v>
      </c>
      <c r="J579" s="7">
        <f t="shared" si="53"/>
        <v>0</v>
      </c>
      <c r="K579" s="7">
        <f t="shared" si="53"/>
        <v>0</v>
      </c>
      <c r="L579" s="11">
        <v>1664.9996000000001</v>
      </c>
      <c r="M579" s="12" cm="1">
        <f t="array" ref="M579">IF(($R$34+SUMPRODUCT(TRANSPOSE(D579:K579),$R$35:$R$42))&lt;0,"-",$R$34+SUMPRODUCT(TRANSPOSE(D579:K579),$R$35:$R$42))</f>
        <v>1649.9170657864688</v>
      </c>
      <c r="N579" s="13" t="str">
        <f t="shared" ref="N579:N642" si="55">IFERROR(IF($M579-(2*$R$24)&lt;0,"-",($M579-(2*$R$24))),"-")</f>
        <v>-</v>
      </c>
      <c r="O579" s="13">
        <f t="shared" ref="O579:O642" si="56">IFERROR(IF($L579+(2*$R$24)&lt;0,"-",($M579+(2*$R$24))),"-")</f>
        <v>13774.121642821592</v>
      </c>
    </row>
    <row r="580" spans="1:15" x14ac:dyDescent="0.25">
      <c r="A580" s="1" t="s">
        <v>0</v>
      </c>
      <c r="B580" s="1" t="s">
        <v>1</v>
      </c>
      <c r="C580" s="1" t="s">
        <v>7</v>
      </c>
      <c r="D580" s="1">
        <v>31</v>
      </c>
      <c r="E580" s="1">
        <v>38.094999999999999</v>
      </c>
      <c r="F580" s="1">
        <v>1</v>
      </c>
      <c r="G580" s="7">
        <f t="shared" si="54"/>
        <v>1</v>
      </c>
      <c r="H580" s="7">
        <f t="shared" ref="H580:H643" si="57">IF(B580="yes",1,0)</f>
        <v>1</v>
      </c>
      <c r="I580" s="7">
        <f t="shared" ref="I580:K643" si="58">IF($C580=I$2,1,0)</f>
        <v>0</v>
      </c>
      <c r="J580" s="7">
        <f t="shared" si="58"/>
        <v>0</v>
      </c>
      <c r="K580" s="7">
        <f t="shared" si="58"/>
        <v>1</v>
      </c>
      <c r="L580" s="11">
        <v>58571.074480000003</v>
      </c>
      <c r="M580" s="12" cm="1">
        <f t="array" ref="M580">IF(($R$34+SUMPRODUCT(TRANSPOSE(D580:K580),$R$35:$R$42))&lt;0,"-",$R$34+SUMPRODUCT(TRANSPOSE(D580:K580),$R$35:$R$42))</f>
        <v>33269.618054857456</v>
      </c>
      <c r="N580" s="13">
        <f t="shared" si="55"/>
        <v>21145.413477822331</v>
      </c>
      <c r="O580" s="13">
        <f t="shared" si="56"/>
        <v>45393.822631892581</v>
      </c>
    </row>
    <row r="581" spans="1:15" x14ac:dyDescent="0.25">
      <c r="A581" s="1" t="s">
        <v>3</v>
      </c>
      <c r="B581" s="1" t="s">
        <v>4</v>
      </c>
      <c r="C581" s="1" t="s">
        <v>2</v>
      </c>
      <c r="D581" s="1">
        <v>52</v>
      </c>
      <c r="E581" s="1">
        <v>30.2</v>
      </c>
      <c r="F581" s="1">
        <v>1</v>
      </c>
      <c r="G581" s="7">
        <f t="shared" si="54"/>
        <v>0</v>
      </c>
      <c r="H581" s="7">
        <f t="shared" si="57"/>
        <v>0</v>
      </c>
      <c r="I581" s="7">
        <f t="shared" si="58"/>
        <v>0</v>
      </c>
      <c r="J581" s="7">
        <f t="shared" si="58"/>
        <v>0</v>
      </c>
      <c r="K581" s="7">
        <f t="shared" si="58"/>
        <v>0</v>
      </c>
      <c r="L581" s="11">
        <v>9724.5300000000007</v>
      </c>
      <c r="M581" s="12" cm="1">
        <f t="array" ref="M581">IF(($R$34+SUMPRODUCT(TRANSPOSE(D581:K581),$R$35:$R$42))&lt;0,"-",$R$34+SUMPRODUCT(TRANSPOSE(D581:K581),$R$35:$R$42))</f>
        <v>11045.769249275454</v>
      </c>
      <c r="N581" s="13" t="str">
        <f t="shared" si="55"/>
        <v>-</v>
      </c>
      <c r="O581" s="13">
        <f t="shared" si="56"/>
        <v>23169.973826310576</v>
      </c>
    </row>
    <row r="582" spans="1:15" x14ac:dyDescent="0.25">
      <c r="A582" s="1" t="s">
        <v>0</v>
      </c>
      <c r="B582" s="1" t="s">
        <v>4</v>
      </c>
      <c r="C582" s="1" t="s">
        <v>7</v>
      </c>
      <c r="D582" s="1">
        <v>25</v>
      </c>
      <c r="E582" s="1">
        <v>23.465</v>
      </c>
      <c r="F582" s="1">
        <v>0</v>
      </c>
      <c r="G582" s="7">
        <f t="shared" si="54"/>
        <v>1</v>
      </c>
      <c r="H582" s="7">
        <f t="shared" si="57"/>
        <v>0</v>
      </c>
      <c r="I582" s="7">
        <f t="shared" si="58"/>
        <v>0</v>
      </c>
      <c r="J582" s="7">
        <f t="shared" si="58"/>
        <v>0</v>
      </c>
      <c r="K582" s="7">
        <f t="shared" si="58"/>
        <v>1</v>
      </c>
      <c r="L582" s="11">
        <v>3206.4913499999998</v>
      </c>
      <c r="M582" s="12" cm="1">
        <f t="array" ref="M582">IF(($R$34+SUMPRODUCT(TRANSPOSE(D582:K582),$R$35:$R$42))&lt;0,"-",$R$34+SUMPRODUCT(TRANSPOSE(D582:K582),$R$35:$R$42))</f>
        <v>2442.0446262448531</v>
      </c>
      <c r="N582" s="13" t="str">
        <f t="shared" si="55"/>
        <v>-</v>
      </c>
      <c r="O582" s="13">
        <f t="shared" si="56"/>
        <v>14566.249203279976</v>
      </c>
    </row>
    <row r="583" spans="1:15" x14ac:dyDescent="0.25">
      <c r="A583" s="1" t="s">
        <v>3</v>
      </c>
      <c r="B583" s="1" t="s">
        <v>4</v>
      </c>
      <c r="C583" s="1" t="s">
        <v>7</v>
      </c>
      <c r="D583" s="1">
        <v>59</v>
      </c>
      <c r="E583" s="1">
        <v>25.46</v>
      </c>
      <c r="F583" s="1">
        <v>1</v>
      </c>
      <c r="G583" s="7">
        <f t="shared" si="54"/>
        <v>0</v>
      </c>
      <c r="H583" s="7">
        <f t="shared" si="57"/>
        <v>0</v>
      </c>
      <c r="I583" s="7">
        <f t="shared" si="58"/>
        <v>0</v>
      </c>
      <c r="J583" s="7">
        <f t="shared" si="58"/>
        <v>0</v>
      </c>
      <c r="K583" s="7">
        <f t="shared" si="58"/>
        <v>1</v>
      </c>
      <c r="L583" s="11">
        <v>12913.992399999999</v>
      </c>
      <c r="M583" s="12" cm="1">
        <f t="array" ref="M583">IF(($R$34+SUMPRODUCT(TRANSPOSE(D583:K583),$R$35:$R$42))&lt;0,"-",$R$34+SUMPRODUCT(TRANSPOSE(D583:K583),$R$35:$R$42))</f>
        <v>12196.037738222338</v>
      </c>
      <c r="N583" s="13">
        <f t="shared" si="55"/>
        <v>71.8331611872145</v>
      </c>
      <c r="O583" s="13">
        <f t="shared" si="56"/>
        <v>24320.242315257463</v>
      </c>
    </row>
    <row r="584" spans="1:15" x14ac:dyDescent="0.25">
      <c r="A584" s="1" t="s">
        <v>3</v>
      </c>
      <c r="B584" s="1" t="s">
        <v>4</v>
      </c>
      <c r="C584" s="1" t="s">
        <v>6</v>
      </c>
      <c r="D584" s="1">
        <v>19</v>
      </c>
      <c r="E584" s="1">
        <v>30.59</v>
      </c>
      <c r="F584" s="1">
        <v>0</v>
      </c>
      <c r="G584" s="7">
        <f t="shared" si="54"/>
        <v>0</v>
      </c>
      <c r="H584" s="7">
        <f t="shared" si="57"/>
        <v>0</v>
      </c>
      <c r="I584" s="7">
        <f t="shared" si="58"/>
        <v>0</v>
      </c>
      <c r="J584" s="7">
        <f t="shared" si="58"/>
        <v>1</v>
      </c>
      <c r="K584" s="7">
        <f t="shared" si="58"/>
        <v>0</v>
      </c>
      <c r="L584" s="11">
        <v>1639.5631000000001</v>
      </c>
      <c r="M584" s="12" cm="1">
        <f t="array" ref="M584">IF(($R$34+SUMPRODUCT(TRANSPOSE(D584:K584),$R$35:$R$42))&lt;0,"-",$R$34+SUMPRODUCT(TRANSPOSE(D584:K584),$R$35:$R$42))</f>
        <v>2833.3816091782519</v>
      </c>
      <c r="N584" s="13" t="str">
        <f t="shared" si="55"/>
        <v>-</v>
      </c>
      <c r="O584" s="13">
        <f t="shared" si="56"/>
        <v>14957.586186213375</v>
      </c>
    </row>
    <row r="585" spans="1:15" x14ac:dyDescent="0.25">
      <c r="A585" s="1" t="s">
        <v>3</v>
      </c>
      <c r="B585" s="1" t="s">
        <v>4</v>
      </c>
      <c r="C585" s="1" t="s">
        <v>5</v>
      </c>
      <c r="D585" s="1">
        <v>39</v>
      </c>
      <c r="E585" s="1">
        <v>45.43</v>
      </c>
      <c r="F585" s="1">
        <v>2</v>
      </c>
      <c r="G585" s="7">
        <f t="shared" si="54"/>
        <v>0</v>
      </c>
      <c r="H585" s="7">
        <f t="shared" si="57"/>
        <v>0</v>
      </c>
      <c r="I585" s="7">
        <f t="shared" si="58"/>
        <v>1</v>
      </c>
      <c r="J585" s="7">
        <f t="shared" si="58"/>
        <v>0</v>
      </c>
      <c r="K585" s="7">
        <f t="shared" si="58"/>
        <v>0</v>
      </c>
      <c r="L585" s="11">
        <v>6356.2707</v>
      </c>
      <c r="M585" s="12" cm="1">
        <f t="array" ref="M585">IF(($R$34+SUMPRODUCT(TRANSPOSE(D585:K585),$R$35:$R$42))&lt;0,"-",$R$34+SUMPRODUCT(TRANSPOSE(D585:K585),$R$35:$R$42))</f>
        <v>13273.082451845166</v>
      </c>
      <c r="N585" s="13">
        <f t="shared" si="55"/>
        <v>1148.8778748100431</v>
      </c>
      <c r="O585" s="13">
        <f t="shared" si="56"/>
        <v>25397.287028880288</v>
      </c>
    </row>
    <row r="586" spans="1:15" x14ac:dyDescent="0.25">
      <c r="A586" s="1" t="s">
        <v>0</v>
      </c>
      <c r="B586" s="1" t="s">
        <v>4</v>
      </c>
      <c r="C586" s="1" t="s">
        <v>5</v>
      </c>
      <c r="D586" s="1">
        <v>32</v>
      </c>
      <c r="E586" s="1">
        <v>23.65</v>
      </c>
      <c r="F586" s="1">
        <v>1</v>
      </c>
      <c r="G586" s="7">
        <f t="shared" si="54"/>
        <v>1</v>
      </c>
      <c r="H586" s="7">
        <f t="shared" si="57"/>
        <v>0</v>
      </c>
      <c r="I586" s="7">
        <f t="shared" si="58"/>
        <v>1</v>
      </c>
      <c r="J586" s="7">
        <f t="shared" si="58"/>
        <v>0</v>
      </c>
      <c r="K586" s="7">
        <f t="shared" si="58"/>
        <v>0</v>
      </c>
      <c r="L586" s="11">
        <v>17626.239509999999</v>
      </c>
      <c r="M586" s="12" cm="1">
        <f t="array" ref="M586">IF(($R$34+SUMPRODUCT(TRANSPOSE(D586:K586),$R$35:$R$42))&lt;0,"-",$R$34+SUMPRODUCT(TRANSPOSE(D586:K586),$R$35:$R$42))</f>
        <v>3743.2683786856069</v>
      </c>
      <c r="N586" s="13" t="str">
        <f t="shared" si="55"/>
        <v>-</v>
      </c>
      <c r="O586" s="13">
        <f t="shared" si="56"/>
        <v>15867.47295572073</v>
      </c>
    </row>
    <row r="587" spans="1:15" x14ac:dyDescent="0.25">
      <c r="A587" s="1" t="s">
        <v>3</v>
      </c>
      <c r="B587" s="1" t="s">
        <v>4</v>
      </c>
      <c r="C587" s="1" t="s">
        <v>2</v>
      </c>
      <c r="D587" s="1">
        <v>19</v>
      </c>
      <c r="E587" s="1">
        <v>20.7</v>
      </c>
      <c r="F587" s="1">
        <v>0</v>
      </c>
      <c r="G587" s="7">
        <f t="shared" si="54"/>
        <v>0</v>
      </c>
      <c r="H587" s="7">
        <f t="shared" si="57"/>
        <v>0</v>
      </c>
      <c r="I587" s="7">
        <f t="shared" si="58"/>
        <v>0</v>
      </c>
      <c r="J587" s="7">
        <f t="shared" si="58"/>
        <v>0</v>
      </c>
      <c r="K587" s="7">
        <f t="shared" si="58"/>
        <v>0</v>
      </c>
      <c r="L587" s="11">
        <v>1242.816</v>
      </c>
      <c r="M587" s="12" t="str" cm="1">
        <f t="array" ref="M587">IF(($R$34+SUMPRODUCT(TRANSPOSE(D587:K587),$R$35:$R$42))&lt;0,"-",$R$34+SUMPRODUCT(TRANSPOSE(D587:K587),$R$35:$R$42))</f>
        <v>-</v>
      </c>
      <c r="N587" s="13" t="str">
        <f t="shared" si="55"/>
        <v>-</v>
      </c>
      <c r="O587" s="13" t="str">
        <f t="shared" si="56"/>
        <v>-</v>
      </c>
    </row>
    <row r="588" spans="1:15" x14ac:dyDescent="0.25">
      <c r="A588" s="1" t="s">
        <v>0</v>
      </c>
      <c r="B588" s="1" t="s">
        <v>4</v>
      </c>
      <c r="C588" s="1" t="s">
        <v>5</v>
      </c>
      <c r="D588" s="1">
        <v>33</v>
      </c>
      <c r="E588" s="1">
        <v>28.27</v>
      </c>
      <c r="F588" s="1">
        <v>1</v>
      </c>
      <c r="G588" s="7">
        <f t="shared" si="54"/>
        <v>1</v>
      </c>
      <c r="H588" s="7">
        <f t="shared" si="57"/>
        <v>0</v>
      </c>
      <c r="I588" s="7">
        <f t="shared" si="58"/>
        <v>1</v>
      </c>
      <c r="J588" s="7">
        <f t="shared" si="58"/>
        <v>0</v>
      </c>
      <c r="K588" s="7">
        <f t="shared" si="58"/>
        <v>0</v>
      </c>
      <c r="L588" s="11">
        <v>4779.6022999999996</v>
      </c>
      <c r="M588" s="12" cm="1">
        <f t="array" ref="M588">IF(($R$34+SUMPRODUCT(TRANSPOSE(D588:K588),$R$35:$R$42))&lt;0,"-",$R$34+SUMPRODUCT(TRANSPOSE(D588:K588),$R$35:$R$42))</f>
        <v>5567.1984869050393</v>
      </c>
      <c r="N588" s="13" t="str">
        <f t="shared" si="55"/>
        <v>-</v>
      </c>
      <c r="O588" s="13">
        <f t="shared" si="56"/>
        <v>17691.403063940161</v>
      </c>
    </row>
    <row r="589" spans="1:15" x14ac:dyDescent="0.25">
      <c r="A589" s="1" t="s">
        <v>3</v>
      </c>
      <c r="B589" s="1" t="s">
        <v>4</v>
      </c>
      <c r="C589" s="1" t="s">
        <v>7</v>
      </c>
      <c r="D589" s="1">
        <v>21</v>
      </c>
      <c r="E589" s="1">
        <v>20.234999999999999</v>
      </c>
      <c r="F589" s="1">
        <v>3</v>
      </c>
      <c r="G589" s="7">
        <f t="shared" si="54"/>
        <v>0</v>
      </c>
      <c r="H589" s="7">
        <f t="shared" si="57"/>
        <v>0</v>
      </c>
      <c r="I589" s="7">
        <f t="shared" si="58"/>
        <v>0</v>
      </c>
      <c r="J589" s="7">
        <f t="shared" si="58"/>
        <v>0</v>
      </c>
      <c r="K589" s="7">
        <f t="shared" si="58"/>
        <v>1</v>
      </c>
      <c r="L589" s="11">
        <v>3861.2096499999998</v>
      </c>
      <c r="M589" s="12" cm="1">
        <f t="array" ref="M589">IF(($R$34+SUMPRODUCT(TRANSPOSE(D589:K589),$R$35:$R$42))&lt;0,"-",$R$34+SUMPRODUCT(TRANSPOSE(D589:K589),$R$35:$R$42))</f>
        <v>1614.211636984739</v>
      </c>
      <c r="N589" s="13" t="str">
        <f t="shared" si="55"/>
        <v>-</v>
      </c>
      <c r="O589" s="13">
        <f t="shared" si="56"/>
        <v>13738.416214019862</v>
      </c>
    </row>
    <row r="590" spans="1:15" x14ac:dyDescent="0.25">
      <c r="A590" s="1" t="s">
        <v>0</v>
      </c>
      <c r="B590" s="1" t="s">
        <v>1</v>
      </c>
      <c r="C590" s="1" t="s">
        <v>6</v>
      </c>
      <c r="D590" s="1">
        <v>34</v>
      </c>
      <c r="E590" s="1">
        <v>30.21</v>
      </c>
      <c r="F590" s="1">
        <v>1</v>
      </c>
      <c r="G590" s="7">
        <f t="shared" si="54"/>
        <v>1</v>
      </c>
      <c r="H590" s="7">
        <f t="shared" si="57"/>
        <v>1</v>
      </c>
      <c r="I590" s="7">
        <f t="shared" si="58"/>
        <v>0</v>
      </c>
      <c r="J590" s="7">
        <f t="shared" si="58"/>
        <v>1</v>
      </c>
      <c r="K590" s="7">
        <f t="shared" si="58"/>
        <v>0</v>
      </c>
      <c r="L590" s="11">
        <v>43943.876100000001</v>
      </c>
      <c r="M590" s="12" cm="1">
        <f t="array" ref="M590">IF(($R$34+SUMPRODUCT(TRANSPOSE(D590:K590),$R$35:$R$42))&lt;0,"-",$R$34+SUMPRODUCT(TRANSPOSE(D590:K590),$R$35:$R$42))</f>
        <v>31012.682831323385</v>
      </c>
      <c r="N590" s="13">
        <f t="shared" si="55"/>
        <v>18888.47825428826</v>
      </c>
      <c r="O590" s="13">
        <f t="shared" si="56"/>
        <v>43136.887408358511</v>
      </c>
    </row>
    <row r="591" spans="1:15" x14ac:dyDescent="0.25">
      <c r="A591" s="1" t="s">
        <v>0</v>
      </c>
      <c r="B591" s="1" t="s">
        <v>4</v>
      </c>
      <c r="C591" s="1" t="s">
        <v>7</v>
      </c>
      <c r="D591" s="1">
        <v>61</v>
      </c>
      <c r="E591" s="1">
        <v>35.909999999999997</v>
      </c>
      <c r="F591" s="1">
        <v>0</v>
      </c>
      <c r="G591" s="7">
        <f t="shared" si="54"/>
        <v>1</v>
      </c>
      <c r="H591" s="7">
        <f t="shared" si="57"/>
        <v>0</v>
      </c>
      <c r="I591" s="7">
        <f t="shared" si="58"/>
        <v>0</v>
      </c>
      <c r="J591" s="7">
        <f t="shared" si="58"/>
        <v>0</v>
      </c>
      <c r="K591" s="7">
        <f t="shared" si="58"/>
        <v>1</v>
      </c>
      <c r="L591" s="11">
        <v>13635.6379</v>
      </c>
      <c r="M591" s="12" cm="1">
        <f t="array" ref="M591">IF(($R$34+SUMPRODUCT(TRANSPOSE(D591:K591),$R$35:$R$42))&lt;0,"-",$R$34+SUMPRODUCT(TRANSPOSE(D591:K591),$R$35:$R$42))</f>
        <v>15910.135847776284</v>
      </c>
      <c r="N591" s="13">
        <f t="shared" si="55"/>
        <v>3785.9312707411609</v>
      </c>
      <c r="O591" s="13">
        <f t="shared" si="56"/>
        <v>28034.340424811409</v>
      </c>
    </row>
    <row r="592" spans="1:15" x14ac:dyDescent="0.25">
      <c r="A592" s="1" t="s">
        <v>0</v>
      </c>
      <c r="B592" s="1" t="s">
        <v>4</v>
      </c>
      <c r="C592" s="1" t="s">
        <v>5</v>
      </c>
      <c r="D592" s="1">
        <v>38</v>
      </c>
      <c r="E592" s="1">
        <v>30.69</v>
      </c>
      <c r="F592" s="1">
        <v>1</v>
      </c>
      <c r="G592" s="7">
        <f t="shared" si="54"/>
        <v>1</v>
      </c>
      <c r="H592" s="7">
        <f t="shared" si="57"/>
        <v>0</v>
      </c>
      <c r="I592" s="7">
        <f t="shared" si="58"/>
        <v>1</v>
      </c>
      <c r="J592" s="7">
        <f t="shared" si="58"/>
        <v>0</v>
      </c>
      <c r="K592" s="7">
        <f t="shared" si="58"/>
        <v>0</v>
      </c>
      <c r="L592" s="11">
        <v>5976.8311000000003</v>
      </c>
      <c r="M592" s="12" cm="1">
        <f t="array" ref="M592">IF(($R$34+SUMPRODUCT(TRANSPOSE(D592:K592),$R$35:$R$42))&lt;0,"-",$R$34+SUMPRODUCT(TRANSPOSE(D592:K592),$R$35:$R$42))</f>
        <v>7672.3284073300129</v>
      </c>
      <c r="N592" s="13" t="str">
        <f t="shared" si="55"/>
        <v>-</v>
      </c>
      <c r="O592" s="13">
        <f t="shared" si="56"/>
        <v>19796.532984365134</v>
      </c>
    </row>
    <row r="593" spans="1:15" x14ac:dyDescent="0.25">
      <c r="A593" s="1" t="s">
        <v>0</v>
      </c>
      <c r="B593" s="1" t="s">
        <v>4</v>
      </c>
      <c r="C593" s="1" t="s">
        <v>2</v>
      </c>
      <c r="D593" s="1">
        <v>58</v>
      </c>
      <c r="E593" s="1">
        <v>29</v>
      </c>
      <c r="F593" s="1">
        <v>0</v>
      </c>
      <c r="G593" s="7">
        <f t="shared" si="54"/>
        <v>1</v>
      </c>
      <c r="H593" s="7">
        <f t="shared" si="57"/>
        <v>0</v>
      </c>
      <c r="I593" s="7">
        <f t="shared" si="58"/>
        <v>0</v>
      </c>
      <c r="J593" s="7">
        <f t="shared" si="58"/>
        <v>0</v>
      </c>
      <c r="K593" s="7">
        <f t="shared" si="58"/>
        <v>0</v>
      </c>
      <c r="L593" s="11">
        <v>11842.441999999999</v>
      </c>
      <c r="M593" s="12" cm="1">
        <f t="array" ref="M593">IF(($R$34+SUMPRODUCT(TRANSPOSE(D593:K593),$R$35:$R$42))&lt;0,"-",$R$34+SUMPRODUCT(TRANSPOSE(D593:K593),$R$35:$R$42))</f>
        <v>11835.689034412502</v>
      </c>
      <c r="N593" s="13" t="str">
        <f t="shared" si="55"/>
        <v>-</v>
      </c>
      <c r="O593" s="13">
        <f t="shared" si="56"/>
        <v>23959.893611447624</v>
      </c>
    </row>
    <row r="594" spans="1:15" x14ac:dyDescent="0.25">
      <c r="A594" s="1" t="s">
        <v>3</v>
      </c>
      <c r="B594" s="1" t="s">
        <v>4</v>
      </c>
      <c r="C594" s="1" t="s">
        <v>6</v>
      </c>
      <c r="D594" s="1">
        <v>47</v>
      </c>
      <c r="E594" s="1">
        <v>19.57</v>
      </c>
      <c r="F594" s="1">
        <v>1</v>
      </c>
      <c r="G594" s="7">
        <f t="shared" si="54"/>
        <v>0</v>
      </c>
      <c r="H594" s="7">
        <f t="shared" si="57"/>
        <v>0</v>
      </c>
      <c r="I594" s="7">
        <f t="shared" si="58"/>
        <v>0</v>
      </c>
      <c r="J594" s="7">
        <f t="shared" si="58"/>
        <v>1</v>
      </c>
      <c r="K594" s="7">
        <f t="shared" si="58"/>
        <v>0</v>
      </c>
      <c r="L594" s="11">
        <v>8428.0692999999992</v>
      </c>
      <c r="M594" s="12" cm="1">
        <f t="array" ref="M594">IF(($R$34+SUMPRODUCT(TRANSPOSE(D594:K594),$R$35:$R$42))&lt;0,"-",$R$34+SUMPRODUCT(TRANSPOSE(D594:K594),$R$35:$R$42))</f>
        <v>6762.9481665816711</v>
      </c>
      <c r="N594" s="13" t="str">
        <f t="shared" si="55"/>
        <v>-</v>
      </c>
      <c r="O594" s="13">
        <f t="shared" si="56"/>
        <v>18887.152743616796</v>
      </c>
    </row>
    <row r="595" spans="1:15" x14ac:dyDescent="0.25">
      <c r="A595" s="1" t="s">
        <v>3</v>
      </c>
      <c r="B595" s="1" t="s">
        <v>4</v>
      </c>
      <c r="C595" s="1" t="s">
        <v>5</v>
      </c>
      <c r="D595" s="1">
        <v>20</v>
      </c>
      <c r="E595" s="1">
        <v>31.13</v>
      </c>
      <c r="F595" s="1">
        <v>2</v>
      </c>
      <c r="G595" s="7">
        <f t="shared" si="54"/>
        <v>0</v>
      </c>
      <c r="H595" s="7">
        <f t="shared" si="57"/>
        <v>0</v>
      </c>
      <c r="I595" s="7">
        <f t="shared" si="58"/>
        <v>1</v>
      </c>
      <c r="J595" s="7">
        <f t="shared" si="58"/>
        <v>0</v>
      </c>
      <c r="K595" s="7">
        <f t="shared" si="58"/>
        <v>0</v>
      </c>
      <c r="L595" s="11">
        <v>2566.4706999999999</v>
      </c>
      <c r="M595" s="12" cm="1">
        <f t="array" ref="M595">IF(($R$34+SUMPRODUCT(TRANSPOSE(D595:K595),$R$35:$R$42))&lt;0,"-",$R$34+SUMPRODUCT(TRANSPOSE(D595:K595),$R$35:$R$42))</f>
        <v>3542.3453670005401</v>
      </c>
      <c r="N595" s="13" t="str">
        <f t="shared" si="55"/>
        <v>-</v>
      </c>
      <c r="O595" s="13">
        <f t="shared" si="56"/>
        <v>15666.549944035663</v>
      </c>
    </row>
    <row r="596" spans="1:15" x14ac:dyDescent="0.25">
      <c r="A596" s="1" t="s">
        <v>0</v>
      </c>
      <c r="B596" s="1" t="s">
        <v>1</v>
      </c>
      <c r="C596" s="1" t="s">
        <v>7</v>
      </c>
      <c r="D596" s="1">
        <v>21</v>
      </c>
      <c r="E596" s="1">
        <v>21.85</v>
      </c>
      <c r="F596" s="1">
        <v>1</v>
      </c>
      <c r="G596" s="7">
        <f t="shared" si="54"/>
        <v>1</v>
      </c>
      <c r="H596" s="7">
        <f t="shared" si="57"/>
        <v>1</v>
      </c>
      <c r="I596" s="7">
        <f t="shared" si="58"/>
        <v>0</v>
      </c>
      <c r="J596" s="7">
        <f t="shared" si="58"/>
        <v>0</v>
      </c>
      <c r="K596" s="7">
        <f t="shared" si="58"/>
        <v>1</v>
      </c>
      <c r="L596" s="11">
        <v>15359.104499999999</v>
      </c>
      <c r="M596" s="12" cm="1">
        <f t="array" ref="M596">IF(($R$34+SUMPRODUCT(TRANSPOSE(D596:K596),$R$35:$R$42))&lt;0,"-",$R$34+SUMPRODUCT(TRANSPOSE(D596:K596),$R$35:$R$42))</f>
        <v>25190.856875575875</v>
      </c>
      <c r="N596" s="13">
        <f t="shared" si="55"/>
        <v>13066.652298540752</v>
      </c>
      <c r="O596" s="13">
        <f t="shared" si="56"/>
        <v>37315.061452611</v>
      </c>
    </row>
    <row r="597" spans="1:15" x14ac:dyDescent="0.25">
      <c r="A597" s="1" t="s">
        <v>3</v>
      </c>
      <c r="B597" s="1" t="s">
        <v>4</v>
      </c>
      <c r="C597" s="1" t="s">
        <v>5</v>
      </c>
      <c r="D597" s="1">
        <v>41</v>
      </c>
      <c r="E597" s="1">
        <v>40.26</v>
      </c>
      <c r="F597" s="1">
        <v>0</v>
      </c>
      <c r="G597" s="7">
        <f t="shared" si="54"/>
        <v>0</v>
      </c>
      <c r="H597" s="7">
        <f t="shared" si="57"/>
        <v>0</v>
      </c>
      <c r="I597" s="7">
        <f t="shared" si="58"/>
        <v>1</v>
      </c>
      <c r="J597" s="7">
        <f t="shared" si="58"/>
        <v>0</v>
      </c>
      <c r="K597" s="7">
        <f t="shared" si="58"/>
        <v>0</v>
      </c>
      <c r="L597" s="11">
        <v>5709.1643999999997</v>
      </c>
      <c r="M597" s="12" cm="1">
        <f t="array" ref="M597">IF(($R$34+SUMPRODUCT(TRANSPOSE(D597:K597),$R$35:$R$42))&lt;0,"-",$R$34+SUMPRODUCT(TRANSPOSE(D597:K597),$R$35:$R$42))</f>
        <v>11082.16391145355</v>
      </c>
      <c r="N597" s="13" t="str">
        <f t="shared" si="55"/>
        <v>-</v>
      </c>
      <c r="O597" s="13">
        <f t="shared" si="56"/>
        <v>23206.368488488675</v>
      </c>
    </row>
    <row r="598" spans="1:15" x14ac:dyDescent="0.25">
      <c r="A598" s="1" t="s">
        <v>0</v>
      </c>
      <c r="B598" s="1" t="s">
        <v>4</v>
      </c>
      <c r="C598" s="1" t="s">
        <v>7</v>
      </c>
      <c r="D598" s="1">
        <v>46</v>
      </c>
      <c r="E598" s="1">
        <v>33.725000000000001</v>
      </c>
      <c r="F598" s="1">
        <v>1</v>
      </c>
      <c r="G598" s="7">
        <f t="shared" si="54"/>
        <v>1</v>
      </c>
      <c r="H598" s="7">
        <f t="shared" si="57"/>
        <v>0</v>
      </c>
      <c r="I598" s="7">
        <f t="shared" si="58"/>
        <v>0</v>
      </c>
      <c r="J598" s="7">
        <f t="shared" si="58"/>
        <v>0</v>
      </c>
      <c r="K598" s="7">
        <f t="shared" si="58"/>
        <v>1</v>
      </c>
      <c r="L598" s="11">
        <v>8823.9857499999998</v>
      </c>
      <c r="M598" s="12" cm="1">
        <f t="array" ref="M598">IF(($R$34+SUMPRODUCT(TRANSPOSE(D598:K598),$R$35:$R$42))&lt;0,"-",$R$34+SUMPRODUCT(TRANSPOSE(D598:K598),$R$35:$R$42))</f>
        <v>11791.653408725513</v>
      </c>
      <c r="N598" s="13" t="str">
        <f t="shared" si="55"/>
        <v>-</v>
      </c>
      <c r="O598" s="13">
        <f t="shared" si="56"/>
        <v>23915.857985760638</v>
      </c>
    </row>
    <row r="599" spans="1:15" x14ac:dyDescent="0.25">
      <c r="A599" s="1" t="s">
        <v>0</v>
      </c>
      <c r="B599" s="1" t="s">
        <v>4</v>
      </c>
      <c r="C599" s="1" t="s">
        <v>5</v>
      </c>
      <c r="D599" s="1">
        <v>42</v>
      </c>
      <c r="E599" s="1">
        <v>29.48</v>
      </c>
      <c r="F599" s="1">
        <v>2</v>
      </c>
      <c r="G599" s="7">
        <f t="shared" si="54"/>
        <v>1</v>
      </c>
      <c r="H599" s="7">
        <f t="shared" si="57"/>
        <v>0</v>
      </c>
      <c r="I599" s="7">
        <f t="shared" si="58"/>
        <v>1</v>
      </c>
      <c r="J599" s="7">
        <f t="shared" si="58"/>
        <v>0</v>
      </c>
      <c r="K599" s="7">
        <f t="shared" si="58"/>
        <v>0</v>
      </c>
      <c r="L599" s="11">
        <v>7640.3091999999997</v>
      </c>
      <c r="M599" s="12" cm="1">
        <f t="array" ref="M599">IF(($R$34+SUMPRODUCT(TRANSPOSE(D599:K599),$R$35:$R$42))&lt;0,"-",$R$34+SUMPRODUCT(TRANSPOSE(D599:K599),$R$35:$R$42))</f>
        <v>8764.8302837594165</v>
      </c>
      <c r="N599" s="13" t="str">
        <f t="shared" si="55"/>
        <v>-</v>
      </c>
      <c r="O599" s="13">
        <f t="shared" si="56"/>
        <v>20889.034860794542</v>
      </c>
    </row>
    <row r="600" spans="1:15" x14ac:dyDescent="0.25">
      <c r="A600" s="1" t="s">
        <v>0</v>
      </c>
      <c r="B600" s="1" t="s">
        <v>4</v>
      </c>
      <c r="C600" s="1" t="s">
        <v>7</v>
      </c>
      <c r="D600" s="1">
        <v>34</v>
      </c>
      <c r="E600" s="1">
        <v>33.25</v>
      </c>
      <c r="F600" s="1">
        <v>1</v>
      </c>
      <c r="G600" s="7">
        <f t="shared" si="54"/>
        <v>1</v>
      </c>
      <c r="H600" s="7">
        <f t="shared" si="57"/>
        <v>0</v>
      </c>
      <c r="I600" s="7">
        <f t="shared" si="58"/>
        <v>0</v>
      </c>
      <c r="J600" s="7">
        <f t="shared" si="58"/>
        <v>0</v>
      </c>
      <c r="K600" s="7">
        <f t="shared" si="58"/>
        <v>1</v>
      </c>
      <c r="L600" s="11">
        <v>5594.8455000000004</v>
      </c>
      <c r="M600" s="12" cm="1">
        <f t="array" ref="M600">IF(($R$34+SUMPRODUCT(TRANSPOSE(D600:K600),$R$35:$R$42))&lt;0,"-",$R$34+SUMPRODUCT(TRANSPOSE(D600:K600),$R$35:$R$42))</f>
        <v>8548.260287812187</v>
      </c>
      <c r="N600" s="13" t="str">
        <f t="shared" si="55"/>
        <v>-</v>
      </c>
      <c r="O600" s="13">
        <f t="shared" si="56"/>
        <v>20672.464864847308</v>
      </c>
    </row>
    <row r="601" spans="1:15" x14ac:dyDescent="0.25">
      <c r="A601" s="1" t="s">
        <v>3</v>
      </c>
      <c r="B601" s="1" t="s">
        <v>4</v>
      </c>
      <c r="C601" s="1" t="s">
        <v>2</v>
      </c>
      <c r="D601" s="1">
        <v>43</v>
      </c>
      <c r="E601" s="1">
        <v>32.6</v>
      </c>
      <c r="F601" s="1">
        <v>2</v>
      </c>
      <c r="G601" s="7">
        <f t="shared" si="54"/>
        <v>0</v>
      </c>
      <c r="H601" s="7">
        <f t="shared" si="57"/>
        <v>0</v>
      </c>
      <c r="I601" s="7">
        <f t="shared" si="58"/>
        <v>0</v>
      </c>
      <c r="J601" s="7">
        <f t="shared" si="58"/>
        <v>0</v>
      </c>
      <c r="K601" s="7">
        <f t="shared" si="58"/>
        <v>0</v>
      </c>
      <c r="L601" s="11">
        <v>7441.5010000000002</v>
      </c>
      <c r="M601" s="12" cm="1">
        <f t="array" ref="M601">IF(($R$34+SUMPRODUCT(TRANSPOSE(D601:K601),$R$35:$R$42))&lt;0,"-",$R$34+SUMPRODUCT(TRANSPOSE(D601:K601),$R$35:$R$42))</f>
        <v>10023.626910254468</v>
      </c>
      <c r="N601" s="13" t="str">
        <f t="shared" si="55"/>
        <v>-</v>
      </c>
      <c r="O601" s="13">
        <f t="shared" si="56"/>
        <v>22147.831487289593</v>
      </c>
    </row>
    <row r="602" spans="1:15" x14ac:dyDescent="0.25">
      <c r="A602" s="1" t="s">
        <v>0</v>
      </c>
      <c r="B602" s="1" t="s">
        <v>4</v>
      </c>
      <c r="C602" s="1" t="s">
        <v>6</v>
      </c>
      <c r="D602" s="1">
        <v>52</v>
      </c>
      <c r="E602" s="1">
        <v>37.524999999999999</v>
      </c>
      <c r="F602" s="1">
        <v>2</v>
      </c>
      <c r="G602" s="7">
        <f t="shared" si="54"/>
        <v>1</v>
      </c>
      <c r="H602" s="7">
        <f t="shared" si="57"/>
        <v>0</v>
      </c>
      <c r="I602" s="7">
        <f t="shared" si="58"/>
        <v>0</v>
      </c>
      <c r="J602" s="7">
        <f t="shared" si="58"/>
        <v>1</v>
      </c>
      <c r="K602" s="7">
        <f t="shared" si="58"/>
        <v>0</v>
      </c>
      <c r="L602" s="11">
        <v>33471.971890000001</v>
      </c>
      <c r="M602" s="12" cm="1">
        <f t="array" ref="M602">IF(($R$34+SUMPRODUCT(TRANSPOSE(D602:K602),$R$35:$R$42))&lt;0,"-",$R$34+SUMPRODUCT(TRANSPOSE(D602:K602),$R$35:$R$42))</f>
        <v>14744.263293395281</v>
      </c>
      <c r="N602" s="13">
        <f t="shared" si="55"/>
        <v>2620.0587163601576</v>
      </c>
      <c r="O602" s="13">
        <f t="shared" si="56"/>
        <v>26868.467870430402</v>
      </c>
    </row>
    <row r="603" spans="1:15" x14ac:dyDescent="0.25">
      <c r="A603" s="1" t="s">
        <v>0</v>
      </c>
      <c r="B603" s="1" t="s">
        <v>4</v>
      </c>
      <c r="C603" s="1" t="s">
        <v>5</v>
      </c>
      <c r="D603" s="1">
        <v>18</v>
      </c>
      <c r="E603" s="1">
        <v>39.159999999999997</v>
      </c>
      <c r="F603" s="1">
        <v>0</v>
      </c>
      <c r="G603" s="7">
        <f t="shared" si="54"/>
        <v>1</v>
      </c>
      <c r="H603" s="7">
        <f t="shared" si="57"/>
        <v>0</v>
      </c>
      <c r="I603" s="7">
        <f t="shared" si="58"/>
        <v>1</v>
      </c>
      <c r="J603" s="7">
        <f t="shared" si="58"/>
        <v>0</v>
      </c>
      <c r="K603" s="7">
        <f t="shared" si="58"/>
        <v>0</v>
      </c>
      <c r="L603" s="11">
        <v>1633.0444</v>
      </c>
      <c r="M603" s="12" cm="1">
        <f t="array" ref="M603">IF(($R$34+SUMPRODUCT(TRANSPOSE(D603:K603),$R$35:$R$42))&lt;0,"-",$R$34+SUMPRODUCT(TRANSPOSE(D603:K603),$R$35:$R$42))</f>
        <v>4932.6693635177326</v>
      </c>
      <c r="N603" s="13" t="str">
        <f t="shared" si="55"/>
        <v>-</v>
      </c>
      <c r="O603" s="13">
        <f t="shared" si="56"/>
        <v>17056.873940552854</v>
      </c>
    </row>
    <row r="604" spans="1:15" x14ac:dyDescent="0.25">
      <c r="A604" s="1" t="s">
        <v>3</v>
      </c>
      <c r="B604" s="1" t="s">
        <v>4</v>
      </c>
      <c r="C604" s="1" t="s">
        <v>6</v>
      </c>
      <c r="D604" s="1">
        <v>51</v>
      </c>
      <c r="E604" s="1">
        <v>31.635000000000002</v>
      </c>
      <c r="F604" s="1">
        <v>0</v>
      </c>
      <c r="G604" s="7">
        <f t="shared" si="54"/>
        <v>0</v>
      </c>
      <c r="H604" s="7">
        <f t="shared" si="57"/>
        <v>0</v>
      </c>
      <c r="I604" s="7">
        <f t="shared" si="58"/>
        <v>0</v>
      </c>
      <c r="J604" s="7">
        <f t="shared" si="58"/>
        <v>1</v>
      </c>
      <c r="K604" s="7">
        <f t="shared" si="58"/>
        <v>0</v>
      </c>
      <c r="L604" s="11">
        <v>9174.1356500000002</v>
      </c>
      <c r="M604" s="12" cm="1">
        <f t="array" ref="M604">IF(($R$34+SUMPRODUCT(TRANSPOSE(D604:K604),$R$35:$R$42))&lt;0,"-",$R$34+SUMPRODUCT(TRANSPOSE(D604:K604),$R$35:$R$42))</f>
        <v>11407.242049396718</v>
      </c>
      <c r="N604" s="13" t="str">
        <f t="shared" si="55"/>
        <v>-</v>
      </c>
      <c r="O604" s="13">
        <f t="shared" si="56"/>
        <v>23531.44662643184</v>
      </c>
    </row>
    <row r="605" spans="1:15" x14ac:dyDescent="0.25">
      <c r="A605" s="1" t="s">
        <v>0</v>
      </c>
      <c r="B605" s="1" t="s">
        <v>4</v>
      </c>
      <c r="C605" s="1" t="s">
        <v>2</v>
      </c>
      <c r="D605" s="1">
        <v>56</v>
      </c>
      <c r="E605" s="1">
        <v>25.3</v>
      </c>
      <c r="F605" s="1">
        <v>0</v>
      </c>
      <c r="G605" s="7">
        <f t="shared" si="54"/>
        <v>1</v>
      </c>
      <c r="H605" s="7">
        <f t="shared" si="57"/>
        <v>0</v>
      </c>
      <c r="I605" s="7">
        <f t="shared" si="58"/>
        <v>0</v>
      </c>
      <c r="J605" s="7">
        <f t="shared" si="58"/>
        <v>0</v>
      </c>
      <c r="K605" s="7">
        <f t="shared" si="58"/>
        <v>0</v>
      </c>
      <c r="L605" s="11">
        <v>11070.535</v>
      </c>
      <c r="M605" s="12" cm="1">
        <f t="array" ref="M605">IF(($R$34+SUMPRODUCT(TRANSPOSE(D605:K605),$R$35:$R$42))&lt;0,"-",$R$34+SUMPRODUCT(TRANSPOSE(D605:K605),$R$35:$R$42))</f>
        <v>10066.960550977699</v>
      </c>
      <c r="N605" s="13" t="str">
        <f t="shared" si="55"/>
        <v>-</v>
      </c>
      <c r="O605" s="13">
        <f t="shared" si="56"/>
        <v>22191.165128012821</v>
      </c>
    </row>
    <row r="606" spans="1:15" x14ac:dyDescent="0.25">
      <c r="A606" s="1" t="s">
        <v>0</v>
      </c>
      <c r="B606" s="1" t="s">
        <v>4</v>
      </c>
      <c r="C606" s="1" t="s">
        <v>5</v>
      </c>
      <c r="D606" s="1">
        <v>64</v>
      </c>
      <c r="E606" s="1">
        <v>39.049999999999997</v>
      </c>
      <c r="F606" s="1">
        <v>3</v>
      </c>
      <c r="G606" s="7">
        <f t="shared" si="54"/>
        <v>1</v>
      </c>
      <c r="H606" s="7">
        <f t="shared" si="57"/>
        <v>0</v>
      </c>
      <c r="I606" s="7">
        <f t="shared" si="58"/>
        <v>1</v>
      </c>
      <c r="J606" s="7">
        <f t="shared" si="58"/>
        <v>0</v>
      </c>
      <c r="K606" s="7">
        <f t="shared" si="58"/>
        <v>0</v>
      </c>
      <c r="L606" s="11">
        <v>16085.127500000001</v>
      </c>
      <c r="M606" s="12" cm="1">
        <f t="array" ref="M606">IF(($R$34+SUMPRODUCT(TRANSPOSE(D606:K606),$R$35:$R$42))&lt;0,"-",$R$34+SUMPRODUCT(TRANSPOSE(D606:K606),$R$35:$R$42))</f>
        <v>18137.251935785946</v>
      </c>
      <c r="N606" s="13">
        <f t="shared" si="55"/>
        <v>6013.0473587508222</v>
      </c>
      <c r="O606" s="13">
        <f t="shared" si="56"/>
        <v>30261.456512821067</v>
      </c>
    </row>
    <row r="607" spans="1:15" x14ac:dyDescent="0.25">
      <c r="A607" s="1" t="s">
        <v>0</v>
      </c>
      <c r="B607" s="1" t="s">
        <v>1</v>
      </c>
      <c r="C607" s="1" t="s">
        <v>6</v>
      </c>
      <c r="D607" s="1">
        <v>19</v>
      </c>
      <c r="E607" s="1">
        <v>28.31</v>
      </c>
      <c r="F607" s="1">
        <v>0</v>
      </c>
      <c r="G607" s="7">
        <f t="shared" si="54"/>
        <v>1</v>
      </c>
      <c r="H607" s="7">
        <f t="shared" si="57"/>
        <v>1</v>
      </c>
      <c r="I607" s="7">
        <f t="shared" si="58"/>
        <v>0</v>
      </c>
      <c r="J607" s="7">
        <f t="shared" si="58"/>
        <v>1</v>
      </c>
      <c r="K607" s="7">
        <f t="shared" si="58"/>
        <v>0</v>
      </c>
      <c r="L607" s="11">
        <v>17468.983899999999</v>
      </c>
      <c r="M607" s="12" cm="1">
        <f t="array" ref="M607">IF(($R$34+SUMPRODUCT(TRANSPOSE(D607:K607),$R$35:$R$42))&lt;0,"-",$R$34+SUMPRODUCT(TRANSPOSE(D607:K607),$R$35:$R$42))</f>
        <v>26039.869436253437</v>
      </c>
      <c r="N607" s="13">
        <f t="shared" si="55"/>
        <v>13915.664859218314</v>
      </c>
      <c r="O607" s="13">
        <f t="shared" si="56"/>
        <v>38164.074013288562</v>
      </c>
    </row>
    <row r="608" spans="1:15" x14ac:dyDescent="0.25">
      <c r="A608" s="1" t="s">
        <v>0</v>
      </c>
      <c r="B608" s="1" t="s">
        <v>4</v>
      </c>
      <c r="C608" s="1" t="s">
        <v>5</v>
      </c>
      <c r="D608" s="1">
        <v>51</v>
      </c>
      <c r="E608" s="1">
        <v>34.1</v>
      </c>
      <c r="F608" s="1">
        <v>0</v>
      </c>
      <c r="G608" s="7">
        <f t="shared" si="54"/>
        <v>1</v>
      </c>
      <c r="H608" s="7">
        <f t="shared" si="57"/>
        <v>0</v>
      </c>
      <c r="I608" s="7">
        <f t="shared" si="58"/>
        <v>1</v>
      </c>
      <c r="J608" s="7">
        <f t="shared" si="58"/>
        <v>0</v>
      </c>
      <c r="K608" s="7">
        <f t="shared" si="58"/>
        <v>0</v>
      </c>
      <c r="L608" s="11">
        <v>9283.5619999999999</v>
      </c>
      <c r="M608" s="12" cm="1">
        <f t="array" ref="M608">IF(($R$34+SUMPRODUCT(TRANSPOSE(D608:K608),$R$35:$R$42))&lt;0,"-",$R$34+SUMPRODUCT(TRANSPOSE(D608:K608),$R$35:$R$42))</f>
        <v>11692.610121979367</v>
      </c>
      <c r="N608" s="13" t="str">
        <f t="shared" si="55"/>
        <v>-</v>
      </c>
      <c r="O608" s="13">
        <f t="shared" si="56"/>
        <v>23816.814699014489</v>
      </c>
    </row>
    <row r="609" spans="1:15" x14ac:dyDescent="0.25">
      <c r="A609" s="1" t="s">
        <v>0</v>
      </c>
      <c r="B609" s="1" t="s">
        <v>4</v>
      </c>
      <c r="C609" s="1" t="s">
        <v>7</v>
      </c>
      <c r="D609" s="1">
        <v>27</v>
      </c>
      <c r="E609" s="1">
        <v>25.175000000000001</v>
      </c>
      <c r="F609" s="1">
        <v>0</v>
      </c>
      <c r="G609" s="7">
        <f t="shared" si="54"/>
        <v>1</v>
      </c>
      <c r="H609" s="7">
        <f t="shared" si="57"/>
        <v>0</v>
      </c>
      <c r="I609" s="7">
        <f t="shared" si="58"/>
        <v>0</v>
      </c>
      <c r="J609" s="7">
        <f t="shared" si="58"/>
        <v>0</v>
      </c>
      <c r="K609" s="7">
        <f t="shared" si="58"/>
        <v>1</v>
      </c>
      <c r="L609" s="11">
        <v>3558.6202499999999</v>
      </c>
      <c r="M609" s="12" cm="1">
        <f t="array" ref="M609">IF(($R$34+SUMPRODUCT(TRANSPOSE(D609:K609),$R$35:$R$42))&lt;0,"-",$R$34+SUMPRODUCT(TRANSPOSE(D609:K609),$R$35:$R$42))</f>
        <v>3535.7781369940858</v>
      </c>
      <c r="N609" s="13" t="str">
        <f t="shared" si="55"/>
        <v>-</v>
      </c>
      <c r="O609" s="13">
        <f t="shared" si="56"/>
        <v>15659.982714029209</v>
      </c>
    </row>
    <row r="610" spans="1:15" x14ac:dyDescent="0.25">
      <c r="A610" s="1" t="s">
        <v>0</v>
      </c>
      <c r="B610" s="1" t="s">
        <v>1</v>
      </c>
      <c r="C610" s="1" t="s">
        <v>6</v>
      </c>
      <c r="D610" s="1">
        <v>59</v>
      </c>
      <c r="E610" s="1">
        <v>23.655000000000001</v>
      </c>
      <c r="F610" s="1">
        <v>0</v>
      </c>
      <c r="G610" s="7">
        <f t="shared" si="54"/>
        <v>1</v>
      </c>
      <c r="H610" s="7">
        <f t="shared" si="57"/>
        <v>1</v>
      </c>
      <c r="I610" s="7">
        <f t="shared" si="58"/>
        <v>0</v>
      </c>
      <c r="J610" s="7">
        <f t="shared" si="58"/>
        <v>1</v>
      </c>
      <c r="K610" s="7">
        <f t="shared" si="58"/>
        <v>0</v>
      </c>
      <c r="L610" s="11">
        <v>25678.778450000002</v>
      </c>
      <c r="M610" s="12" cm="1">
        <f t="array" ref="M610">IF(($R$34+SUMPRODUCT(TRANSPOSE(D610:K610),$R$35:$R$42))&lt;0,"-",$R$34+SUMPRODUCT(TRANSPOSE(D610:K610),$R$35:$R$42))</f>
        <v>34735.178011188895</v>
      </c>
      <c r="N610" s="13">
        <f t="shared" si="55"/>
        <v>22610.97343415377</v>
      </c>
      <c r="O610" s="13">
        <f t="shared" si="56"/>
        <v>46859.38258822402</v>
      </c>
    </row>
    <row r="611" spans="1:15" x14ac:dyDescent="0.25">
      <c r="A611" s="1" t="s">
        <v>3</v>
      </c>
      <c r="B611" s="1" t="s">
        <v>4</v>
      </c>
      <c r="C611" s="1" t="s">
        <v>7</v>
      </c>
      <c r="D611" s="1">
        <v>28</v>
      </c>
      <c r="E611" s="1">
        <v>26.98</v>
      </c>
      <c r="F611" s="1">
        <v>2</v>
      </c>
      <c r="G611" s="7">
        <f t="shared" si="54"/>
        <v>0</v>
      </c>
      <c r="H611" s="7">
        <f t="shared" si="57"/>
        <v>0</v>
      </c>
      <c r="I611" s="7">
        <f t="shared" si="58"/>
        <v>0</v>
      </c>
      <c r="J611" s="7">
        <f t="shared" si="58"/>
        <v>0</v>
      </c>
      <c r="K611" s="7">
        <f t="shared" si="58"/>
        <v>1</v>
      </c>
      <c r="L611" s="11">
        <v>4435.0941999999995</v>
      </c>
      <c r="M611" s="12" cm="1">
        <f t="array" ref="M611">IF(($R$34+SUMPRODUCT(TRANSPOSE(D611:K611),$R$35:$R$42))&lt;0,"-",$R$34+SUMPRODUCT(TRANSPOSE(D611:K611),$R$35:$R$42))</f>
        <v>5224.5654042021597</v>
      </c>
      <c r="N611" s="13" t="str">
        <f t="shared" si="55"/>
        <v>-</v>
      </c>
      <c r="O611" s="13">
        <f t="shared" si="56"/>
        <v>17348.769981237281</v>
      </c>
    </row>
    <row r="612" spans="1:15" x14ac:dyDescent="0.25">
      <c r="A612" s="1" t="s">
        <v>3</v>
      </c>
      <c r="B612" s="1" t="s">
        <v>1</v>
      </c>
      <c r="C612" s="1" t="s">
        <v>2</v>
      </c>
      <c r="D612" s="1">
        <v>30</v>
      </c>
      <c r="E612" s="1">
        <v>37.799999999999997</v>
      </c>
      <c r="F612" s="1">
        <v>2</v>
      </c>
      <c r="G612" s="7">
        <f t="shared" si="54"/>
        <v>0</v>
      </c>
      <c r="H612" s="7">
        <f t="shared" si="57"/>
        <v>1</v>
      </c>
      <c r="I612" s="7">
        <f t="shared" si="58"/>
        <v>0</v>
      </c>
      <c r="J612" s="7">
        <f t="shared" si="58"/>
        <v>0</v>
      </c>
      <c r="K612" s="7">
        <f t="shared" si="58"/>
        <v>0</v>
      </c>
      <c r="L612" s="11">
        <v>39241.442000000003</v>
      </c>
      <c r="M612" s="12" cm="1">
        <f t="array" ref="M612">IF(($R$34+SUMPRODUCT(TRANSPOSE(D612:K612),$R$35:$R$42))&lt;0,"-",$R$34+SUMPRODUCT(TRANSPOSE(D612:K612),$R$35:$R$42))</f>
        <v>32296.834827958104</v>
      </c>
      <c r="N612" s="13">
        <f t="shared" si="55"/>
        <v>20172.630250922979</v>
      </c>
      <c r="O612" s="13">
        <f t="shared" si="56"/>
        <v>44421.039404993229</v>
      </c>
    </row>
    <row r="613" spans="1:15" x14ac:dyDescent="0.25">
      <c r="A613" s="1" t="s">
        <v>0</v>
      </c>
      <c r="B613" s="1" t="s">
        <v>4</v>
      </c>
      <c r="C613" s="1" t="s">
        <v>5</v>
      </c>
      <c r="D613" s="1">
        <v>47</v>
      </c>
      <c r="E613" s="1">
        <v>29.37</v>
      </c>
      <c r="F613" s="1">
        <v>1</v>
      </c>
      <c r="G613" s="7">
        <f t="shared" si="54"/>
        <v>1</v>
      </c>
      <c r="H613" s="7">
        <f t="shared" si="57"/>
        <v>0</v>
      </c>
      <c r="I613" s="7">
        <f t="shared" si="58"/>
        <v>1</v>
      </c>
      <c r="J613" s="7">
        <f t="shared" si="58"/>
        <v>0</v>
      </c>
      <c r="K613" s="7">
        <f t="shared" si="58"/>
        <v>0</v>
      </c>
      <c r="L613" s="11">
        <v>8547.6913000000004</v>
      </c>
      <c r="M613" s="12" cm="1">
        <f t="array" ref="M613">IF(($R$34+SUMPRODUCT(TRANSPOSE(D613:K613),$R$35:$R$42))&lt;0,"-",$R$34+SUMPRODUCT(TRANSPOSE(D613:K613),$R$35:$R$42))</f>
        <v>9536.3002213998334</v>
      </c>
      <c r="N613" s="13" t="str">
        <f t="shared" si="55"/>
        <v>-</v>
      </c>
      <c r="O613" s="13">
        <f t="shared" si="56"/>
        <v>21660.504798434959</v>
      </c>
    </row>
    <row r="614" spans="1:15" x14ac:dyDescent="0.25">
      <c r="A614" s="1" t="s">
        <v>0</v>
      </c>
      <c r="B614" s="1" t="s">
        <v>4</v>
      </c>
      <c r="C614" s="1" t="s">
        <v>2</v>
      </c>
      <c r="D614" s="1">
        <v>38</v>
      </c>
      <c r="E614" s="1">
        <v>34.799999999999997</v>
      </c>
      <c r="F614" s="1">
        <v>2</v>
      </c>
      <c r="G614" s="7">
        <f t="shared" si="54"/>
        <v>1</v>
      </c>
      <c r="H614" s="7">
        <f t="shared" si="57"/>
        <v>0</v>
      </c>
      <c r="I614" s="7">
        <f t="shared" si="58"/>
        <v>0</v>
      </c>
      <c r="J614" s="7">
        <f t="shared" si="58"/>
        <v>0</v>
      </c>
      <c r="K614" s="7">
        <f t="shared" si="58"/>
        <v>0</v>
      </c>
      <c r="L614" s="11">
        <v>6571.5439999999999</v>
      </c>
      <c r="M614" s="12" cm="1">
        <f t="array" ref="M614">IF(($R$34+SUMPRODUCT(TRANSPOSE(D614:K614),$R$35:$R$42))&lt;0,"-",$R$34+SUMPRODUCT(TRANSPOSE(D614:K614),$R$35:$R$42))</f>
        <v>9616.8851049066798</v>
      </c>
      <c r="N614" s="13" t="str">
        <f t="shared" si="55"/>
        <v>-</v>
      </c>
      <c r="O614" s="13">
        <f t="shared" si="56"/>
        <v>21741.089681941805</v>
      </c>
    </row>
    <row r="615" spans="1:15" x14ac:dyDescent="0.25">
      <c r="A615" s="1" t="s">
        <v>0</v>
      </c>
      <c r="B615" s="1" t="s">
        <v>4</v>
      </c>
      <c r="C615" s="1" t="s">
        <v>7</v>
      </c>
      <c r="D615" s="1">
        <v>18</v>
      </c>
      <c r="E615" s="1">
        <v>33.155000000000001</v>
      </c>
      <c r="F615" s="1">
        <v>0</v>
      </c>
      <c r="G615" s="7">
        <f t="shared" si="54"/>
        <v>1</v>
      </c>
      <c r="H615" s="7">
        <f t="shared" si="57"/>
        <v>0</v>
      </c>
      <c r="I615" s="7">
        <f t="shared" si="58"/>
        <v>0</v>
      </c>
      <c r="J615" s="7">
        <f t="shared" si="58"/>
        <v>0</v>
      </c>
      <c r="K615" s="7">
        <f t="shared" si="58"/>
        <v>1</v>
      </c>
      <c r="L615" s="11">
        <v>2207.6974500000001</v>
      </c>
      <c r="M615" s="12" cm="1">
        <f t="array" ref="M615">IF(($R$34+SUMPRODUCT(TRANSPOSE(D615:K615),$R$35:$R$42))&lt;0,"-",$R$34+SUMPRODUCT(TRANSPOSE(D615:K615),$R$35:$R$42))</f>
        <v>3930.8347239724571</v>
      </c>
      <c r="N615" s="13" t="str">
        <f t="shared" si="55"/>
        <v>-</v>
      </c>
      <c r="O615" s="13">
        <f t="shared" si="56"/>
        <v>16055.03930100758</v>
      </c>
    </row>
    <row r="616" spans="1:15" x14ac:dyDescent="0.25">
      <c r="A616" s="1" t="s">
        <v>0</v>
      </c>
      <c r="B616" s="1" t="s">
        <v>4</v>
      </c>
      <c r="C616" s="1" t="s">
        <v>7</v>
      </c>
      <c r="D616" s="1">
        <v>34</v>
      </c>
      <c r="E616" s="1">
        <v>19</v>
      </c>
      <c r="F616" s="1">
        <v>3</v>
      </c>
      <c r="G616" s="7">
        <f t="shared" si="54"/>
        <v>1</v>
      </c>
      <c r="H616" s="7">
        <f t="shared" si="57"/>
        <v>0</v>
      </c>
      <c r="I616" s="7">
        <f t="shared" si="58"/>
        <v>0</v>
      </c>
      <c r="J616" s="7">
        <f t="shared" si="58"/>
        <v>0</v>
      </c>
      <c r="K616" s="7">
        <f t="shared" si="58"/>
        <v>1</v>
      </c>
      <c r="L616" s="11">
        <v>6753.0379999999996</v>
      </c>
      <c r="M616" s="12" cm="1">
        <f t="array" ref="M616">IF(($R$34+SUMPRODUCT(TRANSPOSE(D616:K616),$R$35:$R$42))&lt;0,"-",$R$34+SUMPRODUCT(TRANSPOSE(D616:K616),$R$35:$R$42))</f>
        <v>4665.754664155982</v>
      </c>
      <c r="N616" s="13" t="str">
        <f t="shared" si="55"/>
        <v>-</v>
      </c>
      <c r="O616" s="13">
        <f t="shared" si="56"/>
        <v>16789.959241191107</v>
      </c>
    </row>
    <row r="617" spans="1:15" x14ac:dyDescent="0.25">
      <c r="A617" s="1" t="s">
        <v>0</v>
      </c>
      <c r="B617" s="1" t="s">
        <v>4</v>
      </c>
      <c r="C617" s="1" t="s">
        <v>5</v>
      </c>
      <c r="D617" s="1">
        <v>20</v>
      </c>
      <c r="E617" s="1">
        <v>33</v>
      </c>
      <c r="F617" s="1">
        <v>0</v>
      </c>
      <c r="G617" s="7">
        <f t="shared" si="54"/>
        <v>1</v>
      </c>
      <c r="H617" s="7">
        <f t="shared" si="57"/>
        <v>0</v>
      </c>
      <c r="I617" s="7">
        <f t="shared" si="58"/>
        <v>1</v>
      </c>
      <c r="J617" s="7">
        <f t="shared" si="58"/>
        <v>0</v>
      </c>
      <c r="K617" s="7">
        <f t="shared" si="58"/>
        <v>0</v>
      </c>
      <c r="L617" s="11">
        <v>1880.07</v>
      </c>
      <c r="M617" s="12" cm="1">
        <f t="array" ref="M617">IF(($R$34+SUMPRODUCT(TRANSPOSE(D617:K617),$R$35:$R$42))&lt;0,"-",$R$34+SUMPRODUCT(TRANSPOSE(D617:K617),$R$35:$R$42))</f>
        <v>3356.9503943496529</v>
      </c>
      <c r="N617" s="13" t="str">
        <f t="shared" si="55"/>
        <v>-</v>
      </c>
      <c r="O617" s="13">
        <f t="shared" si="56"/>
        <v>15481.154971384776</v>
      </c>
    </row>
    <row r="618" spans="1:15" x14ac:dyDescent="0.25">
      <c r="A618" s="1" t="s">
        <v>0</v>
      </c>
      <c r="B618" s="1" t="s">
        <v>1</v>
      </c>
      <c r="C618" s="1" t="s">
        <v>5</v>
      </c>
      <c r="D618" s="1">
        <v>47</v>
      </c>
      <c r="E618" s="1">
        <v>36.630000000000003</v>
      </c>
      <c r="F618" s="1">
        <v>1</v>
      </c>
      <c r="G618" s="7">
        <f t="shared" si="54"/>
        <v>1</v>
      </c>
      <c r="H618" s="7">
        <f t="shared" si="57"/>
        <v>1</v>
      </c>
      <c r="I618" s="7">
        <f t="shared" si="58"/>
        <v>1</v>
      </c>
      <c r="J618" s="7">
        <f t="shared" si="58"/>
        <v>0</v>
      </c>
      <c r="K618" s="7">
        <f t="shared" si="58"/>
        <v>0</v>
      </c>
      <c r="L618" s="11">
        <v>42969.852700000003</v>
      </c>
      <c r="M618" s="12" cm="1">
        <f t="array" ref="M618">IF(($R$34+SUMPRODUCT(TRANSPOSE(D618:K618),$R$35:$R$42))&lt;0,"-",$R$34+SUMPRODUCT(TRANSPOSE(D618:K618),$R$35:$R$42))</f>
        <v>35847.379236527326</v>
      </c>
      <c r="N618" s="13">
        <f t="shared" si="55"/>
        <v>23723.174659492201</v>
      </c>
      <c r="O618" s="13">
        <f t="shared" si="56"/>
        <v>47971.583813562451</v>
      </c>
    </row>
    <row r="619" spans="1:15" x14ac:dyDescent="0.25">
      <c r="A619" s="1" t="s">
        <v>0</v>
      </c>
      <c r="B619" s="1" t="s">
        <v>4</v>
      </c>
      <c r="C619" s="1" t="s">
        <v>7</v>
      </c>
      <c r="D619" s="1">
        <v>56</v>
      </c>
      <c r="E619" s="1">
        <v>28.594999999999999</v>
      </c>
      <c r="F619" s="1">
        <v>0</v>
      </c>
      <c r="G619" s="7">
        <f t="shared" si="54"/>
        <v>1</v>
      </c>
      <c r="H619" s="7">
        <f t="shared" si="57"/>
        <v>0</v>
      </c>
      <c r="I619" s="7">
        <f t="shared" si="58"/>
        <v>0</v>
      </c>
      <c r="J619" s="7">
        <f t="shared" si="58"/>
        <v>0</v>
      </c>
      <c r="K619" s="7">
        <f t="shared" si="58"/>
        <v>1</v>
      </c>
      <c r="L619" s="11">
        <v>11658.11505</v>
      </c>
      <c r="M619" s="12" cm="1">
        <f t="array" ref="M619">IF(($R$34+SUMPRODUCT(TRANSPOSE(D619:K619),$R$35:$R$42))&lt;0,"-",$R$34+SUMPRODUCT(TRANSPOSE(D619:K619),$R$35:$R$42))</f>
        <v>12144.653971926251</v>
      </c>
      <c r="N619" s="13">
        <f t="shared" si="55"/>
        <v>20.449394891127668</v>
      </c>
      <c r="O619" s="13">
        <f t="shared" si="56"/>
        <v>24268.858548961376</v>
      </c>
    </row>
    <row r="620" spans="1:15" x14ac:dyDescent="0.25">
      <c r="A620" s="1" t="s">
        <v>3</v>
      </c>
      <c r="B620" s="1" t="s">
        <v>1</v>
      </c>
      <c r="C620" s="1" t="s">
        <v>2</v>
      </c>
      <c r="D620" s="1">
        <v>49</v>
      </c>
      <c r="E620" s="1">
        <v>25.6</v>
      </c>
      <c r="F620" s="1">
        <v>2</v>
      </c>
      <c r="G620" s="7">
        <f t="shared" si="54"/>
        <v>0</v>
      </c>
      <c r="H620" s="7">
        <f t="shared" si="57"/>
        <v>1</v>
      </c>
      <c r="I620" s="7">
        <f t="shared" si="58"/>
        <v>0</v>
      </c>
      <c r="J620" s="7">
        <f t="shared" si="58"/>
        <v>0</v>
      </c>
      <c r="K620" s="7">
        <f t="shared" si="58"/>
        <v>0</v>
      </c>
      <c r="L620" s="11">
        <v>23306.546999999999</v>
      </c>
      <c r="M620" s="12" cm="1">
        <f t="array" ref="M620">IF(($R$34+SUMPRODUCT(TRANSPOSE(D620:K620),$R$35:$R$42))&lt;0,"-",$R$34+SUMPRODUCT(TRANSPOSE(D620:K620),$R$35:$R$42))</f>
        <v>33038.945392115471</v>
      </c>
      <c r="N620" s="13">
        <f t="shared" si="55"/>
        <v>20914.740815080346</v>
      </c>
      <c r="O620" s="13">
        <f t="shared" si="56"/>
        <v>45163.149969150596</v>
      </c>
    </row>
    <row r="621" spans="1:15" x14ac:dyDescent="0.25">
      <c r="A621" s="1" t="s">
        <v>0</v>
      </c>
      <c r="B621" s="1" t="s">
        <v>1</v>
      </c>
      <c r="C621" s="1" t="s">
        <v>5</v>
      </c>
      <c r="D621" s="1">
        <v>19</v>
      </c>
      <c r="E621" s="1">
        <v>33.11</v>
      </c>
      <c r="F621" s="1">
        <v>0</v>
      </c>
      <c r="G621" s="7">
        <f t="shared" si="54"/>
        <v>1</v>
      </c>
      <c r="H621" s="7">
        <f t="shared" si="57"/>
        <v>1</v>
      </c>
      <c r="I621" s="7">
        <f t="shared" si="58"/>
        <v>1</v>
      </c>
      <c r="J621" s="7">
        <f t="shared" si="58"/>
        <v>0</v>
      </c>
      <c r="K621" s="7">
        <f t="shared" si="58"/>
        <v>0</v>
      </c>
      <c r="L621" s="11">
        <v>34439.855900000002</v>
      </c>
      <c r="M621" s="12" cm="1">
        <f t="array" ref="M621">IF(($R$34+SUMPRODUCT(TRANSPOSE(D621:K621),$R$35:$R$42))&lt;0,"-",$R$34+SUMPRODUCT(TRANSPOSE(D621:K621),$R$35:$R$42))</f>
        <v>26985.93986362229</v>
      </c>
      <c r="N621" s="13">
        <f t="shared" si="55"/>
        <v>14861.735286587167</v>
      </c>
      <c r="O621" s="13">
        <f t="shared" si="56"/>
        <v>39110.144440657416</v>
      </c>
    </row>
    <row r="622" spans="1:15" x14ac:dyDescent="0.25">
      <c r="A622" s="1" t="s">
        <v>0</v>
      </c>
      <c r="B622" s="1" t="s">
        <v>4</v>
      </c>
      <c r="C622" s="1" t="s">
        <v>2</v>
      </c>
      <c r="D622" s="1">
        <v>55</v>
      </c>
      <c r="E622" s="1">
        <v>37.1</v>
      </c>
      <c r="F622" s="1">
        <v>0</v>
      </c>
      <c r="G622" s="7">
        <f t="shared" si="54"/>
        <v>1</v>
      </c>
      <c r="H622" s="7">
        <f t="shared" si="57"/>
        <v>0</v>
      </c>
      <c r="I622" s="7">
        <f t="shared" si="58"/>
        <v>0</v>
      </c>
      <c r="J622" s="7">
        <f t="shared" si="58"/>
        <v>0</v>
      </c>
      <c r="K622" s="7">
        <f t="shared" si="58"/>
        <v>0</v>
      </c>
      <c r="L622" s="11">
        <v>10713.644</v>
      </c>
      <c r="M622" s="12" cm="1">
        <f t="array" ref="M622">IF(($R$34+SUMPRODUCT(TRANSPOSE(D622:K622),$R$35:$R$42))&lt;0,"-",$R$34+SUMPRODUCT(TRANSPOSE(D622:K622),$R$35:$R$42))</f>
        <v>13812.586951048263</v>
      </c>
      <c r="N622" s="13">
        <f t="shared" si="55"/>
        <v>1688.3823740131393</v>
      </c>
      <c r="O622" s="13">
        <f t="shared" si="56"/>
        <v>25936.791528083384</v>
      </c>
    </row>
    <row r="623" spans="1:15" x14ac:dyDescent="0.25">
      <c r="A623" s="1" t="s">
        <v>3</v>
      </c>
      <c r="B623" s="1" t="s">
        <v>4</v>
      </c>
      <c r="C623" s="1" t="s">
        <v>2</v>
      </c>
      <c r="D623" s="1">
        <v>30</v>
      </c>
      <c r="E623" s="1">
        <v>31.4</v>
      </c>
      <c r="F623" s="1">
        <v>1</v>
      </c>
      <c r="G623" s="7">
        <f t="shared" si="54"/>
        <v>0</v>
      </c>
      <c r="H623" s="7">
        <f t="shared" si="57"/>
        <v>0</v>
      </c>
      <c r="I623" s="7">
        <f t="shared" si="58"/>
        <v>0</v>
      </c>
      <c r="J623" s="7">
        <f t="shared" si="58"/>
        <v>0</v>
      </c>
      <c r="K623" s="7">
        <f t="shared" si="58"/>
        <v>0</v>
      </c>
      <c r="L623" s="11">
        <v>3659.346</v>
      </c>
      <c r="M623" s="12" cm="1">
        <f t="array" ref="M623">IF(($R$34+SUMPRODUCT(TRANSPOSE(D623:K623),$R$35:$R$42))&lt;0,"-",$R$34+SUMPRODUCT(TRANSPOSE(D623:K623),$R$35:$R$42))</f>
        <v>5801.9616377868042</v>
      </c>
      <c r="N623" s="13" t="str">
        <f t="shared" si="55"/>
        <v>-</v>
      </c>
      <c r="O623" s="13">
        <f t="shared" si="56"/>
        <v>17926.166214821926</v>
      </c>
    </row>
    <row r="624" spans="1:15" x14ac:dyDescent="0.25">
      <c r="A624" s="1" t="s">
        <v>3</v>
      </c>
      <c r="B624" s="1" t="s">
        <v>1</v>
      </c>
      <c r="C624" s="1" t="s">
        <v>2</v>
      </c>
      <c r="D624" s="1">
        <v>37</v>
      </c>
      <c r="E624" s="1">
        <v>34.1</v>
      </c>
      <c r="F624" s="1">
        <v>4</v>
      </c>
      <c r="G624" s="7">
        <f t="shared" si="54"/>
        <v>0</v>
      </c>
      <c r="H624" s="7">
        <f t="shared" si="57"/>
        <v>1</v>
      </c>
      <c r="I624" s="7">
        <f t="shared" si="58"/>
        <v>0</v>
      </c>
      <c r="J624" s="7">
        <f t="shared" si="58"/>
        <v>0</v>
      </c>
      <c r="K624" s="7">
        <f t="shared" si="58"/>
        <v>0</v>
      </c>
      <c r="L624" s="11">
        <v>40182.245999999999</v>
      </c>
      <c r="M624" s="12" cm="1">
        <f t="array" ref="M624">IF(($R$34+SUMPRODUCT(TRANSPOSE(D624:K624),$R$35:$R$42))&lt;0,"-",$R$34+SUMPRODUCT(TRANSPOSE(D624:K624),$R$35:$R$42))</f>
        <v>33790.814607657696</v>
      </c>
      <c r="N624" s="13">
        <f t="shared" si="55"/>
        <v>21666.610030622571</v>
      </c>
      <c r="O624" s="13">
        <f t="shared" si="56"/>
        <v>45915.019184692821</v>
      </c>
    </row>
    <row r="625" spans="1:15" x14ac:dyDescent="0.25">
      <c r="A625" s="1" t="s">
        <v>0</v>
      </c>
      <c r="B625" s="1" t="s">
        <v>4</v>
      </c>
      <c r="C625" s="1" t="s">
        <v>2</v>
      </c>
      <c r="D625" s="1">
        <v>49</v>
      </c>
      <c r="E625" s="1">
        <v>21.3</v>
      </c>
      <c r="F625" s="1">
        <v>1</v>
      </c>
      <c r="G625" s="7">
        <f t="shared" si="54"/>
        <v>1</v>
      </c>
      <c r="H625" s="7">
        <f t="shared" si="57"/>
        <v>0</v>
      </c>
      <c r="I625" s="7">
        <f t="shared" si="58"/>
        <v>0</v>
      </c>
      <c r="J625" s="7">
        <f t="shared" si="58"/>
        <v>0</v>
      </c>
      <c r="K625" s="7">
        <f t="shared" si="58"/>
        <v>0</v>
      </c>
      <c r="L625" s="11">
        <v>9182.17</v>
      </c>
      <c r="M625" s="12" cm="1">
        <f t="array" ref="M625">IF(($R$34+SUMPRODUCT(TRANSPOSE(D625:K625),$R$35:$R$42))&lt;0,"-",$R$34+SUMPRODUCT(TRANSPOSE(D625:K625),$R$35:$R$42))</f>
        <v>7387.6928139220363</v>
      </c>
      <c r="N625" s="13" t="str">
        <f t="shared" si="55"/>
        <v>-</v>
      </c>
      <c r="O625" s="13">
        <f t="shared" si="56"/>
        <v>19511.897390957158</v>
      </c>
    </row>
    <row r="626" spans="1:15" x14ac:dyDescent="0.25">
      <c r="A626" s="1" t="s">
        <v>3</v>
      </c>
      <c r="B626" s="1" t="s">
        <v>1</v>
      </c>
      <c r="C626" s="1" t="s">
        <v>7</v>
      </c>
      <c r="D626" s="1">
        <v>18</v>
      </c>
      <c r="E626" s="1">
        <v>33.534999999999997</v>
      </c>
      <c r="F626" s="1">
        <v>0</v>
      </c>
      <c r="G626" s="7">
        <f t="shared" si="54"/>
        <v>0</v>
      </c>
      <c r="H626" s="7">
        <f t="shared" si="57"/>
        <v>1</v>
      </c>
      <c r="I626" s="7">
        <f t="shared" si="58"/>
        <v>0</v>
      </c>
      <c r="J626" s="7">
        <f t="shared" si="58"/>
        <v>0</v>
      </c>
      <c r="K626" s="7">
        <f t="shared" si="58"/>
        <v>1</v>
      </c>
      <c r="L626" s="11">
        <v>34617.840649999998</v>
      </c>
      <c r="M626" s="12" cm="1">
        <f t="array" ref="M626">IF(($R$34+SUMPRODUCT(TRANSPOSE(D626:K626),$R$35:$R$42))&lt;0,"-",$R$34+SUMPRODUCT(TRANSPOSE(D626:K626),$R$35:$R$42))</f>
        <v>27776.948418862259</v>
      </c>
      <c r="N626" s="13">
        <f t="shared" si="55"/>
        <v>15652.743841827136</v>
      </c>
      <c r="O626" s="13">
        <f t="shared" si="56"/>
        <v>39901.152995897384</v>
      </c>
    </row>
    <row r="627" spans="1:15" x14ac:dyDescent="0.25">
      <c r="A627" s="1" t="s">
        <v>3</v>
      </c>
      <c r="B627" s="1" t="s">
        <v>4</v>
      </c>
      <c r="C627" s="1" t="s">
        <v>6</v>
      </c>
      <c r="D627" s="1">
        <v>59</v>
      </c>
      <c r="E627" s="1">
        <v>28.785</v>
      </c>
      <c r="F627" s="1">
        <v>0</v>
      </c>
      <c r="G627" s="7">
        <f t="shared" si="54"/>
        <v>0</v>
      </c>
      <c r="H627" s="7">
        <f t="shared" si="57"/>
        <v>0</v>
      </c>
      <c r="I627" s="7">
        <f t="shared" si="58"/>
        <v>0</v>
      </c>
      <c r="J627" s="7">
        <f t="shared" si="58"/>
        <v>1</v>
      </c>
      <c r="K627" s="7">
        <f t="shared" si="58"/>
        <v>0</v>
      </c>
      <c r="L627" s="11">
        <v>12129.614149999999</v>
      </c>
      <c r="M627" s="12" cm="1">
        <f t="array" ref="M627">IF(($R$34+SUMPRODUCT(TRANSPOSE(D627:K627),$R$35:$R$42))&lt;0,"-",$R$34+SUMPRODUCT(TRANSPOSE(D627:K627),$R$35:$R$42))</f>
        <v>12495.391526904605</v>
      </c>
      <c r="N627" s="13">
        <f t="shared" si="55"/>
        <v>371.1869498694814</v>
      </c>
      <c r="O627" s="13">
        <f t="shared" si="56"/>
        <v>24619.59610393973</v>
      </c>
    </row>
    <row r="628" spans="1:15" x14ac:dyDescent="0.25">
      <c r="A628" s="1" t="s">
        <v>0</v>
      </c>
      <c r="B628" s="1" t="s">
        <v>4</v>
      </c>
      <c r="C628" s="1" t="s">
        <v>6</v>
      </c>
      <c r="D628" s="1">
        <v>29</v>
      </c>
      <c r="E628" s="1">
        <v>26.03</v>
      </c>
      <c r="F628" s="1">
        <v>0</v>
      </c>
      <c r="G628" s="7">
        <f t="shared" si="54"/>
        <v>1</v>
      </c>
      <c r="H628" s="7">
        <f t="shared" si="57"/>
        <v>0</v>
      </c>
      <c r="I628" s="7">
        <f t="shared" si="58"/>
        <v>0</v>
      </c>
      <c r="J628" s="7">
        <f t="shared" si="58"/>
        <v>1</v>
      </c>
      <c r="K628" s="7">
        <f t="shared" si="58"/>
        <v>0</v>
      </c>
      <c r="L628" s="11">
        <v>3736.4647</v>
      </c>
      <c r="M628" s="12" cm="1">
        <f t="array" ref="M628">IF(($R$34+SUMPRODUCT(TRANSPOSE(D628:K628),$R$35:$R$42))&lt;0,"-",$R$34+SUMPRODUCT(TRANSPOSE(D628:K628),$R$35:$R$42))</f>
        <v>3986.5373454814071</v>
      </c>
      <c r="N628" s="13" t="str">
        <f t="shared" si="55"/>
        <v>-</v>
      </c>
      <c r="O628" s="13">
        <f t="shared" si="56"/>
        <v>16110.74192251653</v>
      </c>
    </row>
    <row r="629" spans="1:15" x14ac:dyDescent="0.25">
      <c r="A629" s="1" t="s">
        <v>3</v>
      </c>
      <c r="B629" s="1" t="s">
        <v>4</v>
      </c>
      <c r="C629" s="1" t="s">
        <v>7</v>
      </c>
      <c r="D629" s="1">
        <v>36</v>
      </c>
      <c r="E629" s="1">
        <v>28.88</v>
      </c>
      <c r="F629" s="1">
        <v>3</v>
      </c>
      <c r="G629" s="7">
        <f t="shared" si="54"/>
        <v>0</v>
      </c>
      <c r="H629" s="7">
        <f t="shared" si="57"/>
        <v>0</v>
      </c>
      <c r="I629" s="7">
        <f t="shared" si="58"/>
        <v>0</v>
      </c>
      <c r="J629" s="7">
        <f t="shared" si="58"/>
        <v>0</v>
      </c>
      <c r="K629" s="7">
        <f t="shared" si="58"/>
        <v>1</v>
      </c>
      <c r="L629" s="11">
        <v>6748.5911999999998</v>
      </c>
      <c r="M629" s="12" cm="1">
        <f t="array" ref="M629">IF(($R$34+SUMPRODUCT(TRANSPOSE(D629:K629),$R$35:$R$42))&lt;0,"-",$R$34+SUMPRODUCT(TRANSPOSE(D629:K629),$R$35:$R$42))</f>
        <v>8399.3843315106715</v>
      </c>
      <c r="N629" s="13" t="str">
        <f t="shared" si="55"/>
        <v>-</v>
      </c>
      <c r="O629" s="13">
        <f t="shared" si="56"/>
        <v>20523.588908545797</v>
      </c>
    </row>
    <row r="630" spans="1:15" x14ac:dyDescent="0.25">
      <c r="A630" s="1" t="s">
        <v>3</v>
      </c>
      <c r="B630" s="1" t="s">
        <v>4</v>
      </c>
      <c r="C630" s="1" t="s">
        <v>5</v>
      </c>
      <c r="D630" s="1">
        <v>33</v>
      </c>
      <c r="E630" s="1">
        <v>42.46</v>
      </c>
      <c r="F630" s="1">
        <v>1</v>
      </c>
      <c r="G630" s="7">
        <f t="shared" si="54"/>
        <v>0</v>
      </c>
      <c r="H630" s="7">
        <f t="shared" si="57"/>
        <v>0</v>
      </c>
      <c r="I630" s="7">
        <f t="shared" si="58"/>
        <v>1</v>
      </c>
      <c r="J630" s="7">
        <f t="shared" si="58"/>
        <v>0</v>
      </c>
      <c r="K630" s="7">
        <f t="shared" si="58"/>
        <v>0</v>
      </c>
      <c r="L630" s="11">
        <v>11326.71487</v>
      </c>
      <c r="M630" s="12" cm="1">
        <f t="array" ref="M630">IF(($R$34+SUMPRODUCT(TRANSPOSE(D630:K630),$R$35:$R$42))&lt;0,"-",$R$34+SUMPRODUCT(TRANSPOSE(D630:K630),$R$35:$R$42))</f>
        <v>10249.039234247753</v>
      </c>
      <c r="N630" s="13" t="str">
        <f t="shared" si="55"/>
        <v>-</v>
      </c>
      <c r="O630" s="13">
        <f t="shared" si="56"/>
        <v>22373.243811282875</v>
      </c>
    </row>
    <row r="631" spans="1:15" x14ac:dyDescent="0.25">
      <c r="A631" s="1" t="s">
        <v>3</v>
      </c>
      <c r="B631" s="1" t="s">
        <v>4</v>
      </c>
      <c r="C631" s="1" t="s">
        <v>2</v>
      </c>
      <c r="D631" s="1">
        <v>58</v>
      </c>
      <c r="E631" s="1">
        <v>38</v>
      </c>
      <c r="F631" s="1">
        <v>0</v>
      </c>
      <c r="G631" s="7">
        <f t="shared" si="54"/>
        <v>0</v>
      </c>
      <c r="H631" s="7">
        <f t="shared" si="57"/>
        <v>0</v>
      </c>
      <c r="I631" s="7">
        <f t="shared" si="58"/>
        <v>0</v>
      </c>
      <c r="J631" s="7">
        <f t="shared" si="58"/>
        <v>0</v>
      </c>
      <c r="K631" s="7">
        <f t="shared" si="58"/>
        <v>0</v>
      </c>
      <c r="L631" s="11">
        <v>11365.951999999999</v>
      </c>
      <c r="M631" s="12" cm="1">
        <f t="array" ref="M631">IF(($R$34+SUMPRODUCT(TRANSPOSE(D631:K631),$R$35:$R$42))&lt;0,"-",$R$34+SUMPRODUCT(TRANSPOSE(D631:K631),$R$35:$R$42))</f>
        <v>14757.115757514955</v>
      </c>
      <c r="N631" s="13">
        <f t="shared" si="55"/>
        <v>2632.9111804798322</v>
      </c>
      <c r="O631" s="13">
        <f t="shared" si="56"/>
        <v>26881.320334550081</v>
      </c>
    </row>
    <row r="632" spans="1:15" x14ac:dyDescent="0.25">
      <c r="A632" s="1" t="s">
        <v>0</v>
      </c>
      <c r="B632" s="1" t="s">
        <v>1</v>
      </c>
      <c r="C632" s="1" t="s">
        <v>6</v>
      </c>
      <c r="D632" s="1">
        <v>44</v>
      </c>
      <c r="E632" s="1">
        <v>38.950000000000003</v>
      </c>
      <c r="F632" s="1">
        <v>0</v>
      </c>
      <c r="G632" s="7">
        <f t="shared" si="54"/>
        <v>1</v>
      </c>
      <c r="H632" s="7">
        <f t="shared" si="57"/>
        <v>1</v>
      </c>
      <c r="I632" s="7">
        <f t="shared" si="58"/>
        <v>0</v>
      </c>
      <c r="J632" s="7">
        <f t="shared" si="58"/>
        <v>1</v>
      </c>
      <c r="K632" s="7">
        <f t="shared" si="58"/>
        <v>0</v>
      </c>
      <c r="L632" s="11">
        <v>42983.458500000001</v>
      </c>
      <c r="M632" s="12" cm="1">
        <f t="array" ref="M632">IF(($R$34+SUMPRODUCT(TRANSPOSE(D632:K632),$R$35:$R$42))&lt;0,"-",$R$34+SUMPRODUCT(TRANSPOSE(D632:K632),$R$35:$R$42))</f>
        <v>36070.296596106469</v>
      </c>
      <c r="N632" s="13">
        <f t="shared" si="55"/>
        <v>23946.092019071344</v>
      </c>
      <c r="O632" s="13">
        <f t="shared" si="56"/>
        <v>48194.501173141594</v>
      </c>
    </row>
    <row r="633" spans="1:15" x14ac:dyDescent="0.25">
      <c r="A633" s="1" t="s">
        <v>3</v>
      </c>
      <c r="B633" s="1" t="s">
        <v>4</v>
      </c>
      <c r="C633" s="1" t="s">
        <v>2</v>
      </c>
      <c r="D633" s="1">
        <v>53</v>
      </c>
      <c r="E633" s="1">
        <v>36.1</v>
      </c>
      <c r="F633" s="1">
        <v>1</v>
      </c>
      <c r="G633" s="7">
        <f t="shared" si="54"/>
        <v>0</v>
      </c>
      <c r="H633" s="7">
        <f t="shared" si="57"/>
        <v>0</v>
      </c>
      <c r="I633" s="7">
        <f t="shared" si="58"/>
        <v>0</v>
      </c>
      <c r="J633" s="7">
        <f t="shared" si="58"/>
        <v>0</v>
      </c>
      <c r="K633" s="7">
        <f t="shared" si="58"/>
        <v>0</v>
      </c>
      <c r="L633" s="11">
        <v>10085.846</v>
      </c>
      <c r="M633" s="12" cm="1">
        <f t="array" ref="M633">IF(($R$34+SUMPRODUCT(TRANSPOSE(D633:K633),$R$35:$R$42))&lt;0,"-",$R$34+SUMPRODUCT(TRANSPOSE(D633:K633),$R$35:$R$42))</f>
        <v>13303.866978116755</v>
      </c>
      <c r="N633" s="13">
        <f t="shared" si="55"/>
        <v>1179.6624010816322</v>
      </c>
      <c r="O633" s="13">
        <f t="shared" si="56"/>
        <v>25428.071555151881</v>
      </c>
    </row>
    <row r="634" spans="1:15" x14ac:dyDescent="0.25">
      <c r="A634" s="1" t="s">
        <v>3</v>
      </c>
      <c r="B634" s="1" t="s">
        <v>4</v>
      </c>
      <c r="C634" s="1" t="s">
        <v>2</v>
      </c>
      <c r="D634" s="1">
        <v>24</v>
      </c>
      <c r="E634" s="1">
        <v>29.3</v>
      </c>
      <c r="F634" s="1">
        <v>0</v>
      </c>
      <c r="G634" s="7">
        <f t="shared" si="54"/>
        <v>0</v>
      </c>
      <c r="H634" s="7">
        <f t="shared" si="57"/>
        <v>0</v>
      </c>
      <c r="I634" s="7">
        <f t="shared" si="58"/>
        <v>0</v>
      </c>
      <c r="J634" s="7">
        <f t="shared" si="58"/>
        <v>0</v>
      </c>
      <c r="K634" s="7">
        <f t="shared" si="58"/>
        <v>0</v>
      </c>
      <c r="L634" s="11">
        <v>1977.8150000000001</v>
      </c>
      <c r="M634" s="12" cm="1">
        <f t="array" ref="M634">IF(($R$34+SUMPRODUCT(TRANSPOSE(D634:K634),$R$35:$R$42))&lt;0,"-",$R$34+SUMPRODUCT(TRANSPOSE(D634:K634),$R$35:$R$42))</f>
        <v>3073.0167248308189</v>
      </c>
      <c r="N634" s="13" t="str">
        <f t="shared" si="55"/>
        <v>-</v>
      </c>
      <c r="O634" s="13">
        <f t="shared" si="56"/>
        <v>15197.221301865942</v>
      </c>
    </row>
    <row r="635" spans="1:15" x14ac:dyDescent="0.25">
      <c r="A635" s="1" t="s">
        <v>0</v>
      </c>
      <c r="B635" s="1" t="s">
        <v>4</v>
      </c>
      <c r="C635" s="1" t="s">
        <v>5</v>
      </c>
      <c r="D635" s="1">
        <v>29</v>
      </c>
      <c r="E635" s="1">
        <v>35.53</v>
      </c>
      <c r="F635" s="1">
        <v>0</v>
      </c>
      <c r="G635" s="7">
        <f t="shared" si="54"/>
        <v>1</v>
      </c>
      <c r="H635" s="7">
        <f t="shared" si="57"/>
        <v>0</v>
      </c>
      <c r="I635" s="7">
        <f t="shared" si="58"/>
        <v>1</v>
      </c>
      <c r="J635" s="7">
        <f t="shared" si="58"/>
        <v>0</v>
      </c>
      <c r="K635" s="7">
        <f t="shared" si="58"/>
        <v>0</v>
      </c>
      <c r="L635" s="11">
        <v>3366.6696999999999</v>
      </c>
      <c r="M635" s="12" cm="1">
        <f t="array" ref="M635">IF(($R$34+SUMPRODUCT(TRANSPOSE(D635:K635),$R$35:$R$42))&lt;0,"-",$R$34+SUMPRODUCT(TRANSPOSE(D635:K635),$R$35:$R$42))</f>
        <v>6526.8170048212123</v>
      </c>
      <c r="N635" s="13" t="str">
        <f t="shared" si="55"/>
        <v>-</v>
      </c>
      <c r="O635" s="13">
        <f t="shared" si="56"/>
        <v>18651.021581856337</v>
      </c>
    </row>
    <row r="636" spans="1:15" x14ac:dyDescent="0.25">
      <c r="A636" s="1" t="s">
        <v>3</v>
      </c>
      <c r="B636" s="1" t="s">
        <v>4</v>
      </c>
      <c r="C636" s="1" t="s">
        <v>7</v>
      </c>
      <c r="D636" s="1">
        <v>40</v>
      </c>
      <c r="E636" s="1">
        <v>22.704999999999998</v>
      </c>
      <c r="F636" s="1">
        <v>2</v>
      </c>
      <c r="G636" s="7">
        <f t="shared" si="54"/>
        <v>0</v>
      </c>
      <c r="H636" s="7">
        <f t="shared" si="57"/>
        <v>0</v>
      </c>
      <c r="I636" s="7">
        <f t="shared" si="58"/>
        <v>0</v>
      </c>
      <c r="J636" s="7">
        <f t="shared" si="58"/>
        <v>0</v>
      </c>
      <c r="K636" s="7">
        <f t="shared" si="58"/>
        <v>1</v>
      </c>
      <c r="L636" s="11">
        <v>7173.35995</v>
      </c>
      <c r="M636" s="12" cm="1">
        <f t="array" ref="M636">IF(($R$34+SUMPRODUCT(TRANSPOSE(D636:K636),$R$35:$R$42))&lt;0,"-",$R$34+SUMPRODUCT(TRANSPOSE(D636:K636),$R$35:$R$42))</f>
        <v>6856.789620463991</v>
      </c>
      <c r="N636" s="13" t="str">
        <f t="shared" si="55"/>
        <v>-</v>
      </c>
      <c r="O636" s="13">
        <f t="shared" si="56"/>
        <v>18980.994197499116</v>
      </c>
    </row>
    <row r="637" spans="1:15" x14ac:dyDescent="0.25">
      <c r="A637" s="1" t="s">
        <v>3</v>
      </c>
      <c r="B637" s="1" t="s">
        <v>4</v>
      </c>
      <c r="C637" s="1" t="s">
        <v>2</v>
      </c>
      <c r="D637" s="1">
        <v>51</v>
      </c>
      <c r="E637" s="1">
        <v>39.700000000000003</v>
      </c>
      <c r="F637" s="1">
        <v>1</v>
      </c>
      <c r="G637" s="7">
        <f t="shared" si="54"/>
        <v>0</v>
      </c>
      <c r="H637" s="7">
        <f t="shared" si="57"/>
        <v>0</v>
      </c>
      <c r="I637" s="7">
        <f t="shared" si="58"/>
        <v>0</v>
      </c>
      <c r="J637" s="7">
        <f t="shared" si="58"/>
        <v>0</v>
      </c>
      <c r="K637" s="7">
        <f t="shared" si="58"/>
        <v>0</v>
      </c>
      <c r="L637" s="11">
        <v>9391.3459999999995</v>
      </c>
      <c r="M637" s="12" cm="1">
        <f t="array" ref="M637">IF(($R$34+SUMPRODUCT(TRANSPOSE(D637:K637),$R$35:$R$42))&lt;0,"-",$R$34+SUMPRODUCT(TRANSPOSE(D637:K637),$R$35:$R$42))</f>
        <v>14011.250706041083</v>
      </c>
      <c r="N637" s="13">
        <f t="shared" si="55"/>
        <v>1887.0461290059593</v>
      </c>
      <c r="O637" s="13">
        <f t="shared" si="56"/>
        <v>26135.455283076204</v>
      </c>
    </row>
    <row r="638" spans="1:15" x14ac:dyDescent="0.25">
      <c r="A638" s="1" t="s">
        <v>3</v>
      </c>
      <c r="B638" s="1" t="s">
        <v>4</v>
      </c>
      <c r="C638" s="1" t="s">
        <v>7</v>
      </c>
      <c r="D638" s="1">
        <v>64</v>
      </c>
      <c r="E638" s="1">
        <v>38.19</v>
      </c>
      <c r="F638" s="1">
        <v>0</v>
      </c>
      <c r="G638" s="7">
        <f t="shared" si="54"/>
        <v>0</v>
      </c>
      <c r="H638" s="7">
        <f t="shared" si="57"/>
        <v>0</v>
      </c>
      <c r="I638" s="7">
        <f t="shared" si="58"/>
        <v>0</v>
      </c>
      <c r="J638" s="7">
        <f t="shared" si="58"/>
        <v>0</v>
      </c>
      <c r="K638" s="7">
        <f t="shared" si="58"/>
        <v>1</v>
      </c>
      <c r="L638" s="11">
        <v>14410.9321</v>
      </c>
      <c r="M638" s="12" cm="1">
        <f t="array" ref="M638">IF(($R$34+SUMPRODUCT(TRANSPOSE(D638:K638),$R$35:$R$42))&lt;0,"-",$R$34+SUMPRODUCT(TRANSPOSE(D638:K638),$R$35:$R$42))</f>
        <v>17322.751620225936</v>
      </c>
      <c r="N638" s="13">
        <f t="shared" si="55"/>
        <v>5198.5470431908125</v>
      </c>
      <c r="O638" s="13">
        <f t="shared" si="56"/>
        <v>29446.956197261061</v>
      </c>
    </row>
    <row r="639" spans="1:15" x14ac:dyDescent="0.25">
      <c r="A639" s="1" t="s">
        <v>0</v>
      </c>
      <c r="B639" s="1" t="s">
        <v>4</v>
      </c>
      <c r="C639" s="1" t="s">
        <v>6</v>
      </c>
      <c r="D639" s="1">
        <v>19</v>
      </c>
      <c r="E639" s="1">
        <v>24.51</v>
      </c>
      <c r="F639" s="1">
        <v>1</v>
      </c>
      <c r="G639" s="7">
        <f t="shared" si="54"/>
        <v>1</v>
      </c>
      <c r="H639" s="7">
        <f t="shared" si="57"/>
        <v>0</v>
      </c>
      <c r="I639" s="7">
        <f t="shared" si="58"/>
        <v>0</v>
      </c>
      <c r="J639" s="7">
        <f t="shared" si="58"/>
        <v>1</v>
      </c>
      <c r="K639" s="7">
        <f t="shared" si="58"/>
        <v>0</v>
      </c>
      <c r="L639" s="11">
        <v>2709.1118999999999</v>
      </c>
      <c r="M639" s="12" cm="1">
        <f t="array" ref="M639">IF(($R$34+SUMPRODUCT(TRANSPOSE(D639:K639),$R$35:$R$42))&lt;0,"-",$R$34+SUMPRODUCT(TRANSPOSE(D639:K639),$R$35:$R$42))</f>
        <v>1377.9003157685838</v>
      </c>
      <c r="N639" s="13" t="str">
        <f t="shared" si="55"/>
        <v>-</v>
      </c>
      <c r="O639" s="13">
        <f t="shared" si="56"/>
        <v>13502.104892803707</v>
      </c>
    </row>
    <row r="640" spans="1:15" x14ac:dyDescent="0.25">
      <c r="A640" s="1" t="s">
        <v>0</v>
      </c>
      <c r="B640" s="1" t="s">
        <v>4</v>
      </c>
      <c r="C640" s="1" t="s">
        <v>7</v>
      </c>
      <c r="D640" s="1">
        <v>35</v>
      </c>
      <c r="E640" s="1">
        <v>38.094999999999999</v>
      </c>
      <c r="F640" s="1">
        <v>2</v>
      </c>
      <c r="G640" s="7">
        <f t="shared" si="54"/>
        <v>1</v>
      </c>
      <c r="H640" s="7">
        <f t="shared" si="57"/>
        <v>0</v>
      </c>
      <c r="I640" s="7">
        <f t="shared" si="58"/>
        <v>0</v>
      </c>
      <c r="J640" s="7">
        <f t="shared" si="58"/>
        <v>0</v>
      </c>
      <c r="K640" s="7">
        <f t="shared" si="58"/>
        <v>1</v>
      </c>
      <c r="L640" s="11">
        <v>24915.046259999999</v>
      </c>
      <c r="M640" s="12" cm="1">
        <f t="array" ref="M640">IF(($R$34+SUMPRODUCT(TRANSPOSE(D640:K640),$R$35:$R$42))&lt;0,"-",$R$34+SUMPRODUCT(TRANSPOSE(D640:K640),$R$35:$R$42))</f>
        <v>10924.009468243185</v>
      </c>
      <c r="N640" s="13" t="str">
        <f t="shared" si="55"/>
        <v>-</v>
      </c>
      <c r="O640" s="13">
        <f t="shared" si="56"/>
        <v>23048.214045278306</v>
      </c>
    </row>
    <row r="641" spans="1:15" x14ac:dyDescent="0.25">
      <c r="A641" s="1" t="s">
        <v>3</v>
      </c>
      <c r="B641" s="1" t="s">
        <v>1</v>
      </c>
      <c r="C641" s="1" t="s">
        <v>7</v>
      </c>
      <c r="D641" s="1">
        <v>39</v>
      </c>
      <c r="E641" s="1">
        <v>26.41</v>
      </c>
      <c r="F641" s="1">
        <v>0</v>
      </c>
      <c r="G641" s="7">
        <f t="shared" si="54"/>
        <v>0</v>
      </c>
      <c r="H641" s="7">
        <f t="shared" si="57"/>
        <v>1</v>
      </c>
      <c r="I641" s="7">
        <f t="shared" si="58"/>
        <v>0</v>
      </c>
      <c r="J641" s="7">
        <f t="shared" si="58"/>
        <v>0</v>
      </c>
      <c r="K641" s="7">
        <f t="shared" si="58"/>
        <v>1</v>
      </c>
      <c r="L641" s="11">
        <v>20149.322899999999</v>
      </c>
      <c r="M641" s="12" cm="1">
        <f t="array" ref="M641">IF(($R$34+SUMPRODUCT(TRANSPOSE(D641:K641),$R$35:$R$42))&lt;0,"-",$R$34+SUMPRODUCT(TRANSPOSE(D641:K641),$R$35:$R$42))</f>
        <v>30754.178465169331</v>
      </c>
      <c r="N641" s="13">
        <f t="shared" si="55"/>
        <v>18629.973888134205</v>
      </c>
      <c r="O641" s="13">
        <f t="shared" si="56"/>
        <v>42878.383042204456</v>
      </c>
    </row>
    <row r="642" spans="1:15" x14ac:dyDescent="0.25">
      <c r="A642" s="1" t="s">
        <v>3</v>
      </c>
      <c r="B642" s="1" t="s">
        <v>4</v>
      </c>
      <c r="C642" s="1" t="s">
        <v>5</v>
      </c>
      <c r="D642" s="1">
        <v>56</v>
      </c>
      <c r="E642" s="1">
        <v>33.659999999999997</v>
      </c>
      <c r="F642" s="1">
        <v>4</v>
      </c>
      <c r="G642" s="7">
        <f t="shared" si="54"/>
        <v>0</v>
      </c>
      <c r="H642" s="7">
        <f t="shared" si="57"/>
        <v>0</v>
      </c>
      <c r="I642" s="7">
        <f t="shared" si="58"/>
        <v>1</v>
      </c>
      <c r="J642" s="7">
        <f t="shared" si="58"/>
        <v>0</v>
      </c>
      <c r="K642" s="7">
        <f t="shared" si="58"/>
        <v>0</v>
      </c>
      <c r="L642" s="11">
        <v>12949.1554</v>
      </c>
      <c r="M642" s="12" cm="1">
        <f t="array" ref="M642">IF(($R$34+SUMPRODUCT(TRANSPOSE(D642:K642),$R$35:$R$42))&lt;0,"-",$R$34+SUMPRODUCT(TRANSPOSE(D642:K642),$R$35:$R$42))</f>
        <v>14598.334586278757</v>
      </c>
      <c r="N642" s="13">
        <f t="shared" si="55"/>
        <v>2474.130009243634</v>
      </c>
      <c r="O642" s="13">
        <f t="shared" si="56"/>
        <v>26722.539163313879</v>
      </c>
    </row>
    <row r="643" spans="1:15" x14ac:dyDescent="0.25">
      <c r="A643" s="1" t="s">
        <v>3</v>
      </c>
      <c r="B643" s="1" t="s">
        <v>4</v>
      </c>
      <c r="C643" s="1" t="s">
        <v>2</v>
      </c>
      <c r="D643" s="1">
        <v>33</v>
      </c>
      <c r="E643" s="1">
        <v>42.4</v>
      </c>
      <c r="F643" s="1">
        <v>5</v>
      </c>
      <c r="G643" s="7">
        <f t="shared" ref="G643:G706" si="59">IF($A643=G$2,1,0)</f>
        <v>0</v>
      </c>
      <c r="H643" s="7">
        <f t="shared" si="57"/>
        <v>0</v>
      </c>
      <c r="I643" s="7">
        <f t="shared" si="58"/>
        <v>0</v>
      </c>
      <c r="J643" s="7">
        <f t="shared" si="58"/>
        <v>0</v>
      </c>
      <c r="K643" s="7">
        <f t="shared" si="58"/>
        <v>0</v>
      </c>
      <c r="L643" s="11">
        <v>6666.2430000000004</v>
      </c>
      <c r="M643" s="12" cm="1">
        <f t="array" ref="M643">IF(($R$34+SUMPRODUCT(TRANSPOSE(D643:K643),$R$35:$R$42))&lt;0,"-",$R$34+SUMPRODUCT(TRANSPOSE(D643:K643),$R$35:$R$42))</f>
        <v>12205.660865714617</v>
      </c>
      <c r="N643" s="13">
        <f t="shared" ref="N643:N706" si="60">IFERROR(IF($M643-(2*$R$24)&lt;0,"-",($M643-(2*$R$24))),"-")</f>
        <v>81.456288679493809</v>
      </c>
      <c r="O643" s="13">
        <f t="shared" ref="O643:O706" si="61">IFERROR(IF($L643+(2*$R$24)&lt;0,"-",($M643+(2*$R$24))),"-")</f>
        <v>24329.865442749739</v>
      </c>
    </row>
    <row r="644" spans="1:15" x14ac:dyDescent="0.25">
      <c r="A644" s="1" t="s">
        <v>3</v>
      </c>
      <c r="B644" s="1" t="s">
        <v>1</v>
      </c>
      <c r="C644" s="1" t="s">
        <v>6</v>
      </c>
      <c r="D644" s="1">
        <v>42</v>
      </c>
      <c r="E644" s="1">
        <v>28.31</v>
      </c>
      <c r="F644" s="1">
        <v>3</v>
      </c>
      <c r="G644" s="7">
        <f t="shared" si="59"/>
        <v>0</v>
      </c>
      <c r="H644" s="7">
        <f t="shared" ref="H644:H707" si="62">IF(B644="yes",1,0)</f>
        <v>1</v>
      </c>
      <c r="I644" s="7">
        <f t="shared" ref="I644:K707" si="63">IF($C644=I$2,1,0)</f>
        <v>0</v>
      </c>
      <c r="J644" s="7">
        <f t="shared" si="63"/>
        <v>1</v>
      </c>
      <c r="K644" s="7">
        <f t="shared" si="63"/>
        <v>0</v>
      </c>
      <c r="L644" s="11">
        <v>32787.458590000002</v>
      </c>
      <c r="M644" s="12" cm="1">
        <f t="array" ref="M644">IF(($R$34+SUMPRODUCT(TRANSPOSE(D644:K644),$R$35:$R$42))&lt;0,"-",$R$34+SUMPRODUCT(TRANSPOSE(D644:K644),$R$35:$R$42))</f>
        <v>33242.752820664733</v>
      </c>
      <c r="N644" s="13">
        <f t="shared" si="60"/>
        <v>21118.548243629608</v>
      </c>
      <c r="O644" s="13">
        <f t="shared" si="61"/>
        <v>45366.957397699858</v>
      </c>
    </row>
    <row r="645" spans="1:15" x14ac:dyDescent="0.25">
      <c r="A645" s="1" t="s">
        <v>3</v>
      </c>
      <c r="B645" s="1" t="s">
        <v>4</v>
      </c>
      <c r="C645" s="1" t="s">
        <v>7</v>
      </c>
      <c r="D645" s="1">
        <v>61</v>
      </c>
      <c r="E645" s="1">
        <v>33.914999999999999</v>
      </c>
      <c r="F645" s="1">
        <v>0</v>
      </c>
      <c r="G645" s="7">
        <f t="shared" si="59"/>
        <v>0</v>
      </c>
      <c r="H645" s="7">
        <f t="shared" si="62"/>
        <v>0</v>
      </c>
      <c r="I645" s="7">
        <f t="shared" si="63"/>
        <v>0</v>
      </c>
      <c r="J645" s="7">
        <f t="shared" si="63"/>
        <v>0</v>
      </c>
      <c r="K645" s="7">
        <f t="shared" si="63"/>
        <v>1</v>
      </c>
      <c r="L645" s="11">
        <v>13143.86485</v>
      </c>
      <c r="M645" s="12" cm="1">
        <f t="array" ref="M645">IF(($R$34+SUMPRODUCT(TRANSPOSE(D645:K645),$R$35:$R$42))&lt;0,"-",$R$34+SUMPRODUCT(TRANSPOSE(D645:K645),$R$35:$R$42))</f>
        <v>15102.130548427551</v>
      </c>
      <c r="N645" s="13">
        <f t="shared" si="60"/>
        <v>2977.9259713924275</v>
      </c>
      <c r="O645" s="13">
        <f t="shared" si="61"/>
        <v>27226.335125462676</v>
      </c>
    </row>
    <row r="646" spans="1:15" x14ac:dyDescent="0.25">
      <c r="A646" s="1" t="s">
        <v>0</v>
      </c>
      <c r="B646" s="1" t="s">
        <v>4</v>
      </c>
      <c r="C646" s="1" t="s">
        <v>6</v>
      </c>
      <c r="D646" s="1">
        <v>23</v>
      </c>
      <c r="E646" s="1">
        <v>34.96</v>
      </c>
      <c r="F646" s="1">
        <v>3</v>
      </c>
      <c r="G646" s="7">
        <f t="shared" si="59"/>
        <v>1</v>
      </c>
      <c r="H646" s="7">
        <f t="shared" si="62"/>
        <v>0</v>
      </c>
      <c r="I646" s="7">
        <f t="shared" si="63"/>
        <v>0</v>
      </c>
      <c r="J646" s="7">
        <f t="shared" si="63"/>
        <v>1</v>
      </c>
      <c r="K646" s="7">
        <f t="shared" si="63"/>
        <v>0</v>
      </c>
      <c r="L646" s="11">
        <v>4466.6214</v>
      </c>
      <c r="M646" s="12" cm="1">
        <f t="array" ref="M646">IF(($R$34+SUMPRODUCT(TRANSPOSE(D646:K646),$R$35:$R$42))&lt;0,"-",$R$34+SUMPRODUCT(TRANSPOSE(D646:K646),$R$35:$R$42))</f>
        <v>6900.8984064495235</v>
      </c>
      <c r="N646" s="13" t="str">
        <f t="shared" si="60"/>
        <v>-</v>
      </c>
      <c r="O646" s="13">
        <f t="shared" si="61"/>
        <v>19025.102983484649</v>
      </c>
    </row>
    <row r="647" spans="1:15" x14ac:dyDescent="0.25">
      <c r="A647" s="1" t="s">
        <v>3</v>
      </c>
      <c r="B647" s="1" t="s">
        <v>4</v>
      </c>
      <c r="C647" s="1" t="s">
        <v>5</v>
      </c>
      <c r="D647" s="1">
        <v>43</v>
      </c>
      <c r="E647" s="1">
        <v>35.31</v>
      </c>
      <c r="F647" s="1">
        <v>2</v>
      </c>
      <c r="G647" s="7">
        <f t="shared" si="59"/>
        <v>0</v>
      </c>
      <c r="H647" s="7">
        <f t="shared" si="62"/>
        <v>0</v>
      </c>
      <c r="I647" s="7">
        <f t="shared" si="63"/>
        <v>1</v>
      </c>
      <c r="J647" s="7">
        <f t="shared" si="63"/>
        <v>0</v>
      </c>
      <c r="K647" s="7">
        <f t="shared" si="63"/>
        <v>0</v>
      </c>
      <c r="L647" s="11">
        <v>18806.145469999999</v>
      </c>
      <c r="M647" s="12" cm="1">
        <f t="array" ref="M647">IF(($R$34+SUMPRODUCT(TRANSPOSE(D647:K647),$R$35:$R$42))&lt;0,"-",$R$34+SUMPRODUCT(TRANSPOSE(D647:K647),$R$35:$R$42))</f>
        <v>10867.870111452856</v>
      </c>
      <c r="N647" s="13" t="str">
        <f t="shared" si="60"/>
        <v>-</v>
      </c>
      <c r="O647" s="13">
        <f t="shared" si="61"/>
        <v>22992.074688487977</v>
      </c>
    </row>
    <row r="648" spans="1:15" x14ac:dyDescent="0.25">
      <c r="A648" s="1" t="s">
        <v>3</v>
      </c>
      <c r="B648" s="1" t="s">
        <v>4</v>
      </c>
      <c r="C648" s="1" t="s">
        <v>7</v>
      </c>
      <c r="D648" s="1">
        <v>48</v>
      </c>
      <c r="E648" s="1">
        <v>30.78</v>
      </c>
      <c r="F648" s="1">
        <v>3</v>
      </c>
      <c r="G648" s="7">
        <f t="shared" si="59"/>
        <v>0</v>
      </c>
      <c r="H648" s="7">
        <f t="shared" si="62"/>
        <v>0</v>
      </c>
      <c r="I648" s="7">
        <f t="shared" si="63"/>
        <v>0</v>
      </c>
      <c r="J648" s="7">
        <f t="shared" si="63"/>
        <v>0</v>
      </c>
      <c r="K648" s="7">
        <f t="shared" si="63"/>
        <v>1</v>
      </c>
      <c r="L648" s="11">
        <v>10141.136200000001</v>
      </c>
      <c r="M648" s="12" cm="1">
        <f t="array" ref="M648">IF(($R$34+SUMPRODUCT(TRANSPOSE(D648:K648),$R$35:$R$42))&lt;0,"-",$R$34+SUMPRODUCT(TRANSPOSE(D648:K648),$R$35:$R$42))</f>
        <v>12126.128123819446</v>
      </c>
      <c r="N648" s="13">
        <f t="shared" si="60"/>
        <v>1.9235467843227525</v>
      </c>
      <c r="O648" s="13">
        <f t="shared" si="61"/>
        <v>24250.332700854568</v>
      </c>
    </row>
    <row r="649" spans="1:15" x14ac:dyDescent="0.25">
      <c r="A649" s="1" t="s">
        <v>3</v>
      </c>
      <c r="B649" s="1" t="s">
        <v>4</v>
      </c>
      <c r="C649" s="1" t="s">
        <v>6</v>
      </c>
      <c r="D649" s="1">
        <v>39</v>
      </c>
      <c r="E649" s="1">
        <v>26.22</v>
      </c>
      <c r="F649" s="1">
        <v>1</v>
      </c>
      <c r="G649" s="7">
        <f t="shared" si="59"/>
        <v>0</v>
      </c>
      <c r="H649" s="7">
        <f t="shared" si="62"/>
        <v>0</v>
      </c>
      <c r="I649" s="7">
        <f t="shared" si="63"/>
        <v>0</v>
      </c>
      <c r="J649" s="7">
        <f t="shared" si="63"/>
        <v>1</v>
      </c>
      <c r="K649" s="7">
        <f t="shared" si="63"/>
        <v>0</v>
      </c>
      <c r="L649" s="11">
        <v>6123.5688</v>
      </c>
      <c r="M649" s="12" cm="1">
        <f t="array" ref="M649">IF(($R$34+SUMPRODUCT(TRANSPOSE(D649:K649),$R$35:$R$42))&lt;0,"-",$R$34+SUMPRODUCT(TRANSPOSE(D649:K649),$R$35:$R$42))</f>
        <v>6963.7338127949733</v>
      </c>
      <c r="N649" s="13" t="str">
        <f t="shared" si="60"/>
        <v>-</v>
      </c>
      <c r="O649" s="13">
        <f t="shared" si="61"/>
        <v>19087.938389830095</v>
      </c>
    </row>
    <row r="650" spans="1:15" x14ac:dyDescent="0.25">
      <c r="A650" s="1" t="s">
        <v>0</v>
      </c>
      <c r="B650" s="1" t="s">
        <v>4</v>
      </c>
      <c r="C650" s="1" t="s">
        <v>7</v>
      </c>
      <c r="D650" s="1">
        <v>40</v>
      </c>
      <c r="E650" s="1">
        <v>23.37</v>
      </c>
      <c r="F650" s="1">
        <v>3</v>
      </c>
      <c r="G650" s="7">
        <f t="shared" si="59"/>
        <v>1</v>
      </c>
      <c r="H650" s="7">
        <f t="shared" si="62"/>
        <v>0</v>
      </c>
      <c r="I650" s="7">
        <f t="shared" si="63"/>
        <v>0</v>
      </c>
      <c r="J650" s="7">
        <f t="shared" si="63"/>
        <v>0</v>
      </c>
      <c r="K650" s="7">
        <f t="shared" si="63"/>
        <v>1</v>
      </c>
      <c r="L650" s="11">
        <v>8252.2842999999993</v>
      </c>
      <c r="M650" s="12" cm="1">
        <f t="array" ref="M650">IF(($R$34+SUMPRODUCT(TRANSPOSE(D650:K650),$R$35:$R$42))&lt;0,"-",$R$34+SUMPRODUCT(TRANSPOSE(D650:K650),$R$35:$R$42))</f>
        <v>7689.1681716594394</v>
      </c>
      <c r="N650" s="13" t="str">
        <f t="shared" si="60"/>
        <v>-</v>
      </c>
      <c r="O650" s="13">
        <f t="shared" si="61"/>
        <v>19813.372748694565</v>
      </c>
    </row>
    <row r="651" spans="1:15" x14ac:dyDescent="0.25">
      <c r="A651" s="1" t="s">
        <v>3</v>
      </c>
      <c r="B651" s="1" t="s">
        <v>4</v>
      </c>
      <c r="C651" s="1" t="s">
        <v>7</v>
      </c>
      <c r="D651" s="1">
        <v>18</v>
      </c>
      <c r="E651" s="1">
        <v>28.5</v>
      </c>
      <c r="F651" s="1">
        <v>0</v>
      </c>
      <c r="G651" s="7">
        <f t="shared" si="59"/>
        <v>0</v>
      </c>
      <c r="H651" s="7">
        <f t="shared" si="62"/>
        <v>0</v>
      </c>
      <c r="I651" s="7">
        <f t="shared" si="63"/>
        <v>0</v>
      </c>
      <c r="J651" s="7">
        <f t="shared" si="63"/>
        <v>0</v>
      </c>
      <c r="K651" s="7">
        <f t="shared" si="63"/>
        <v>1</v>
      </c>
      <c r="L651" s="11">
        <v>1712.2270000000001</v>
      </c>
      <c r="M651" s="12" cm="1">
        <f t="array" ref="M651">IF(($R$34+SUMPRODUCT(TRANSPOSE(D651:K651),$R$35:$R$42))&lt;0,"-",$R$34+SUMPRODUCT(TRANSPOSE(D651:K651),$R$35:$R$42))</f>
        <v>2220.5748380188907</v>
      </c>
      <c r="N651" s="13" t="str">
        <f t="shared" si="60"/>
        <v>-</v>
      </c>
      <c r="O651" s="13">
        <f t="shared" si="61"/>
        <v>14344.779415054014</v>
      </c>
    </row>
    <row r="652" spans="1:15" x14ac:dyDescent="0.25">
      <c r="A652" s="1" t="s">
        <v>0</v>
      </c>
      <c r="B652" s="1" t="s">
        <v>4</v>
      </c>
      <c r="C652" s="1" t="s">
        <v>7</v>
      </c>
      <c r="D652" s="1">
        <v>58</v>
      </c>
      <c r="E652" s="1">
        <v>32.965000000000003</v>
      </c>
      <c r="F652" s="1">
        <v>0</v>
      </c>
      <c r="G652" s="7">
        <f t="shared" si="59"/>
        <v>1</v>
      </c>
      <c r="H652" s="7">
        <f t="shared" si="62"/>
        <v>0</v>
      </c>
      <c r="I652" s="7">
        <f t="shared" si="63"/>
        <v>0</v>
      </c>
      <c r="J652" s="7">
        <f t="shared" si="63"/>
        <v>0</v>
      </c>
      <c r="K652" s="7">
        <f t="shared" si="63"/>
        <v>1</v>
      </c>
      <c r="L652" s="11">
        <v>12430.95335</v>
      </c>
      <c r="M652" s="12" cm="1">
        <f t="array" ref="M652">IF(($R$34+SUMPRODUCT(TRANSPOSE(D652:K652),$R$35:$R$42))&lt;0,"-",$R$34+SUMPRODUCT(TRANSPOSE(D652:K652),$R$35:$R$42))</f>
        <v>14140.642069280315</v>
      </c>
      <c r="N652" s="13">
        <f t="shared" si="60"/>
        <v>2016.4374922451916</v>
      </c>
      <c r="O652" s="13">
        <f t="shared" si="61"/>
        <v>26264.84664631544</v>
      </c>
    </row>
    <row r="653" spans="1:15" x14ac:dyDescent="0.25">
      <c r="A653" s="1" t="s">
        <v>0</v>
      </c>
      <c r="B653" s="1" t="s">
        <v>4</v>
      </c>
      <c r="C653" s="1" t="s">
        <v>5</v>
      </c>
      <c r="D653" s="1">
        <v>49</v>
      </c>
      <c r="E653" s="1">
        <v>42.68</v>
      </c>
      <c r="F653" s="1">
        <v>2</v>
      </c>
      <c r="G653" s="7">
        <f t="shared" si="59"/>
        <v>1</v>
      </c>
      <c r="H653" s="7">
        <f t="shared" si="62"/>
        <v>0</v>
      </c>
      <c r="I653" s="7">
        <f t="shared" si="63"/>
        <v>1</v>
      </c>
      <c r="J653" s="7">
        <f t="shared" si="63"/>
        <v>0</v>
      </c>
      <c r="K653" s="7">
        <f t="shared" si="63"/>
        <v>0</v>
      </c>
      <c r="L653" s="11">
        <v>9800.8881999999994</v>
      </c>
      <c r="M653" s="12" cm="1">
        <f t="array" ref="M653">IF(($R$34+SUMPRODUCT(TRANSPOSE(D653:K653),$R$35:$R$42))&lt;0,"-",$R$34+SUMPRODUCT(TRANSPOSE(D653:K653),$R$35:$R$42))</f>
        <v>15040.178339183942</v>
      </c>
      <c r="N653" s="13">
        <f t="shared" si="60"/>
        <v>2915.9737621488184</v>
      </c>
      <c r="O653" s="13">
        <f t="shared" si="61"/>
        <v>27164.382916219067</v>
      </c>
    </row>
    <row r="654" spans="1:15" x14ac:dyDescent="0.25">
      <c r="A654" s="1" t="s">
        <v>0</v>
      </c>
      <c r="B654" s="1" t="s">
        <v>4</v>
      </c>
      <c r="C654" s="1" t="s">
        <v>5</v>
      </c>
      <c r="D654" s="1">
        <v>53</v>
      </c>
      <c r="E654" s="1">
        <v>39.6</v>
      </c>
      <c r="F654" s="1">
        <v>1</v>
      </c>
      <c r="G654" s="7">
        <f t="shared" si="59"/>
        <v>1</v>
      </c>
      <c r="H654" s="7">
        <f t="shared" si="62"/>
        <v>0</v>
      </c>
      <c r="I654" s="7">
        <f t="shared" si="63"/>
        <v>1</v>
      </c>
      <c r="J654" s="7">
        <f t="shared" si="63"/>
        <v>0</v>
      </c>
      <c r="K654" s="7">
        <f t="shared" si="63"/>
        <v>0</v>
      </c>
      <c r="L654" s="11">
        <v>10579.710999999999</v>
      </c>
      <c r="M654" s="12" cm="1">
        <f t="array" ref="M654">IF(($R$34+SUMPRODUCT(TRANSPOSE(D654:K654),$R$35:$R$42))&lt;0,"-",$R$34+SUMPRODUCT(TRANSPOSE(D654:K654),$R$35:$R$42))</f>
        <v>14547.387367062816</v>
      </c>
      <c r="N654" s="13">
        <f t="shared" si="60"/>
        <v>2423.182790027693</v>
      </c>
      <c r="O654" s="13">
        <f t="shared" si="61"/>
        <v>26671.591944097941</v>
      </c>
    </row>
    <row r="655" spans="1:15" x14ac:dyDescent="0.25">
      <c r="A655" s="1" t="s">
        <v>0</v>
      </c>
      <c r="B655" s="1" t="s">
        <v>4</v>
      </c>
      <c r="C655" s="1" t="s">
        <v>5</v>
      </c>
      <c r="D655" s="1">
        <v>48</v>
      </c>
      <c r="E655" s="1">
        <v>31.13</v>
      </c>
      <c r="F655" s="1">
        <v>0</v>
      </c>
      <c r="G655" s="7">
        <f t="shared" si="59"/>
        <v>1</v>
      </c>
      <c r="H655" s="7">
        <f t="shared" si="62"/>
        <v>0</v>
      </c>
      <c r="I655" s="7">
        <f t="shared" si="63"/>
        <v>1</v>
      </c>
      <c r="J655" s="7">
        <f t="shared" si="63"/>
        <v>0</v>
      </c>
      <c r="K655" s="7">
        <f t="shared" si="63"/>
        <v>0</v>
      </c>
      <c r="L655" s="11">
        <v>8280.6226999999999</v>
      </c>
      <c r="M655" s="12" cm="1">
        <f t="array" ref="M655">IF(($R$34+SUMPRODUCT(TRANSPOSE(D655:K655),$R$35:$R$42))&lt;0,"-",$R$34+SUMPRODUCT(TRANSPOSE(D655:K655),$R$35:$R$42))</f>
        <v>9914.6365071431246</v>
      </c>
      <c r="N655" s="13" t="str">
        <f t="shared" si="60"/>
        <v>-</v>
      </c>
      <c r="O655" s="13">
        <f t="shared" si="61"/>
        <v>22038.841084178246</v>
      </c>
    </row>
    <row r="656" spans="1:15" x14ac:dyDescent="0.25">
      <c r="A656" s="1" t="s">
        <v>0</v>
      </c>
      <c r="B656" s="1" t="s">
        <v>4</v>
      </c>
      <c r="C656" s="1" t="s">
        <v>5</v>
      </c>
      <c r="D656" s="1">
        <v>45</v>
      </c>
      <c r="E656" s="1">
        <v>36.299999999999997</v>
      </c>
      <c r="F656" s="1">
        <v>2</v>
      </c>
      <c r="G656" s="7">
        <f t="shared" si="59"/>
        <v>1</v>
      </c>
      <c r="H656" s="7">
        <f t="shared" si="62"/>
        <v>0</v>
      </c>
      <c r="I656" s="7">
        <f t="shared" si="63"/>
        <v>1</v>
      </c>
      <c r="J656" s="7">
        <f t="shared" si="63"/>
        <v>0</v>
      </c>
      <c r="K656" s="7">
        <f t="shared" si="63"/>
        <v>0</v>
      </c>
      <c r="L656" s="11">
        <v>8527.5319999999992</v>
      </c>
      <c r="M656" s="12" cm="1">
        <f t="array" ref="M656">IF(($R$34+SUMPRODUCT(TRANSPOSE(D656:K656),$R$35:$R$42))&lt;0,"-",$R$34+SUMPRODUCT(TRANSPOSE(D656:K656),$R$35:$R$42))</f>
        <v>11848.698694997387</v>
      </c>
      <c r="N656" s="13" t="str">
        <f t="shared" si="60"/>
        <v>-</v>
      </c>
      <c r="O656" s="13">
        <f t="shared" si="61"/>
        <v>23972.903272032512</v>
      </c>
    </row>
    <row r="657" spans="1:15" x14ac:dyDescent="0.25">
      <c r="A657" s="1" t="s">
        <v>0</v>
      </c>
      <c r="B657" s="1" t="s">
        <v>4</v>
      </c>
      <c r="C657" s="1" t="s">
        <v>5</v>
      </c>
      <c r="D657" s="1">
        <v>59</v>
      </c>
      <c r="E657" s="1">
        <v>35.200000000000003</v>
      </c>
      <c r="F657" s="1">
        <v>0</v>
      </c>
      <c r="G657" s="7">
        <f t="shared" si="59"/>
        <v>1</v>
      </c>
      <c r="H657" s="7">
        <f t="shared" si="62"/>
        <v>0</v>
      </c>
      <c r="I657" s="7">
        <f t="shared" si="63"/>
        <v>1</v>
      </c>
      <c r="J657" s="7">
        <f t="shared" si="63"/>
        <v>0</v>
      </c>
      <c r="K657" s="7">
        <f t="shared" si="63"/>
        <v>0</v>
      </c>
      <c r="L657" s="11">
        <v>12244.531000000001</v>
      </c>
      <c r="M657" s="12" cm="1">
        <f t="array" ref="M657">IF(($R$34+SUMPRODUCT(TRANSPOSE(D657:K657),$R$35:$R$42))&lt;0,"-",$R$34+SUMPRODUCT(TRANSPOSE(D657:K657),$R$35:$R$42))</f>
        <v>14120.573741250071</v>
      </c>
      <c r="N657" s="13">
        <f t="shared" si="60"/>
        <v>1996.3691642149479</v>
      </c>
      <c r="O657" s="13">
        <f t="shared" si="61"/>
        <v>26244.778318285193</v>
      </c>
    </row>
    <row r="658" spans="1:15" x14ac:dyDescent="0.25">
      <c r="A658" s="1" t="s">
        <v>0</v>
      </c>
      <c r="B658" s="1" t="s">
        <v>1</v>
      </c>
      <c r="C658" s="1" t="s">
        <v>5</v>
      </c>
      <c r="D658" s="1">
        <v>52</v>
      </c>
      <c r="E658" s="1">
        <v>25.3</v>
      </c>
      <c r="F658" s="1">
        <v>2</v>
      </c>
      <c r="G658" s="7">
        <f t="shared" si="59"/>
        <v>1</v>
      </c>
      <c r="H658" s="7">
        <f t="shared" si="62"/>
        <v>1</v>
      </c>
      <c r="I658" s="7">
        <f t="shared" si="63"/>
        <v>1</v>
      </c>
      <c r="J658" s="7">
        <f t="shared" si="63"/>
        <v>0</v>
      </c>
      <c r="K658" s="7">
        <f t="shared" si="63"/>
        <v>0</v>
      </c>
      <c r="L658" s="11">
        <v>24667.419000000002</v>
      </c>
      <c r="M658" s="12" cm="1">
        <f t="array" ref="M658">IF(($R$34+SUMPRODUCT(TRANSPOSE(D658:K658),$R$35:$R$42))&lt;0,"-",$R$34+SUMPRODUCT(TRANSPOSE(D658:K658),$R$35:$R$42))</f>
        <v>33764.099714952376</v>
      </c>
      <c r="N658" s="13">
        <f t="shared" si="60"/>
        <v>21639.89513791725</v>
      </c>
      <c r="O658" s="13">
        <f t="shared" si="61"/>
        <v>45888.304291987501</v>
      </c>
    </row>
    <row r="659" spans="1:15" x14ac:dyDescent="0.25">
      <c r="A659" s="1" t="s">
        <v>0</v>
      </c>
      <c r="B659" s="1" t="s">
        <v>4</v>
      </c>
      <c r="C659" s="1" t="s">
        <v>2</v>
      </c>
      <c r="D659" s="1">
        <v>26</v>
      </c>
      <c r="E659" s="1">
        <v>42.4</v>
      </c>
      <c r="F659" s="1">
        <v>1</v>
      </c>
      <c r="G659" s="7">
        <f t="shared" si="59"/>
        <v>1</v>
      </c>
      <c r="H659" s="7">
        <f t="shared" si="62"/>
        <v>0</v>
      </c>
      <c r="I659" s="7">
        <f t="shared" si="63"/>
        <v>0</v>
      </c>
      <c r="J659" s="7">
        <f t="shared" si="63"/>
        <v>0</v>
      </c>
      <c r="K659" s="7">
        <f t="shared" si="63"/>
        <v>0</v>
      </c>
      <c r="L659" s="11">
        <v>3410.3240000000001</v>
      </c>
      <c r="M659" s="12" cm="1">
        <f t="array" ref="M659">IF(($R$34+SUMPRODUCT(TRANSPOSE(D659:K659),$R$35:$R$42))&lt;0,"-",$R$34+SUMPRODUCT(TRANSPOSE(D659:K659),$R$35:$R$42))</f>
        <v>8636.9785767517606</v>
      </c>
      <c r="N659" s="13" t="str">
        <f t="shared" si="60"/>
        <v>-</v>
      </c>
      <c r="O659" s="13">
        <f t="shared" si="61"/>
        <v>20761.183153786886</v>
      </c>
    </row>
    <row r="660" spans="1:15" x14ac:dyDescent="0.25">
      <c r="A660" s="1" t="s">
        <v>3</v>
      </c>
      <c r="B660" s="1" t="s">
        <v>4</v>
      </c>
      <c r="C660" s="1" t="s">
        <v>6</v>
      </c>
      <c r="D660" s="1">
        <v>27</v>
      </c>
      <c r="E660" s="1">
        <v>33.155000000000001</v>
      </c>
      <c r="F660" s="1">
        <v>2</v>
      </c>
      <c r="G660" s="7">
        <f t="shared" si="59"/>
        <v>0</v>
      </c>
      <c r="H660" s="7">
        <f t="shared" si="62"/>
        <v>0</v>
      </c>
      <c r="I660" s="7">
        <f t="shared" si="63"/>
        <v>0</v>
      </c>
      <c r="J660" s="7">
        <f t="shared" si="63"/>
        <v>1</v>
      </c>
      <c r="K660" s="7">
        <f t="shared" si="63"/>
        <v>0</v>
      </c>
      <c r="L660" s="11">
        <v>4058.71245</v>
      </c>
      <c r="M660" s="12" cm="1">
        <f t="array" ref="M660">IF(($R$34+SUMPRODUCT(TRANSPOSE(D660:K660),$R$35:$R$42))&lt;0,"-",$R$34+SUMPRODUCT(TRANSPOSE(D660:K660),$R$35:$R$42))</f>
        <v>6709.2647282871039</v>
      </c>
      <c r="N660" s="13" t="str">
        <f t="shared" si="60"/>
        <v>-</v>
      </c>
      <c r="O660" s="13">
        <f t="shared" si="61"/>
        <v>18833.469305322229</v>
      </c>
    </row>
    <row r="661" spans="1:15" x14ac:dyDescent="0.25">
      <c r="A661" s="1" t="s">
        <v>0</v>
      </c>
      <c r="B661" s="1" t="s">
        <v>4</v>
      </c>
      <c r="C661" s="1" t="s">
        <v>7</v>
      </c>
      <c r="D661" s="1">
        <v>48</v>
      </c>
      <c r="E661" s="1">
        <v>35.909999999999997</v>
      </c>
      <c r="F661" s="1">
        <v>1</v>
      </c>
      <c r="G661" s="7">
        <f t="shared" si="59"/>
        <v>1</v>
      </c>
      <c r="H661" s="7">
        <f t="shared" si="62"/>
        <v>0</v>
      </c>
      <c r="I661" s="7">
        <f t="shared" si="63"/>
        <v>0</v>
      </c>
      <c r="J661" s="7">
        <f t="shared" si="63"/>
        <v>0</v>
      </c>
      <c r="K661" s="7">
        <f t="shared" si="63"/>
        <v>1</v>
      </c>
      <c r="L661" s="11">
        <v>26392.260289999998</v>
      </c>
      <c r="M661" s="12" cm="1">
        <f t="array" ref="M661">IF(($R$34+SUMPRODUCT(TRANSPOSE(D661:K661),$R$35:$R$42))&lt;0,"-",$R$34+SUMPRODUCT(TRANSPOSE(D661:K661),$R$35:$R$42))</f>
        <v>13046.503809939892</v>
      </c>
      <c r="N661" s="13">
        <f t="shared" si="60"/>
        <v>922.29923290476836</v>
      </c>
      <c r="O661" s="13">
        <f t="shared" si="61"/>
        <v>25170.708386975013</v>
      </c>
    </row>
    <row r="662" spans="1:15" x14ac:dyDescent="0.25">
      <c r="A662" s="1" t="s">
        <v>0</v>
      </c>
      <c r="B662" s="1" t="s">
        <v>4</v>
      </c>
      <c r="C662" s="1" t="s">
        <v>7</v>
      </c>
      <c r="D662" s="1">
        <v>57</v>
      </c>
      <c r="E662" s="1">
        <v>28.785</v>
      </c>
      <c r="F662" s="1">
        <v>4</v>
      </c>
      <c r="G662" s="7">
        <f t="shared" si="59"/>
        <v>1</v>
      </c>
      <c r="H662" s="7">
        <f t="shared" si="62"/>
        <v>0</v>
      </c>
      <c r="I662" s="7">
        <f t="shared" si="63"/>
        <v>0</v>
      </c>
      <c r="J662" s="7">
        <f t="shared" si="63"/>
        <v>0</v>
      </c>
      <c r="K662" s="7">
        <f t="shared" si="63"/>
        <v>1</v>
      </c>
      <c r="L662" s="11">
        <v>14394.398150000001</v>
      </c>
      <c r="M662" s="12" cm="1">
        <f t="array" ref="M662">IF(($R$34+SUMPRODUCT(TRANSPOSE(D662:K662),$R$35:$R$42))&lt;0,"-",$R$34+SUMPRODUCT(TRANSPOSE(D662:K662),$R$35:$R$42))</f>
        <v>14367.959261246186</v>
      </c>
      <c r="N662" s="13">
        <f t="shared" si="60"/>
        <v>2243.7546842110623</v>
      </c>
      <c r="O662" s="13">
        <f t="shared" si="61"/>
        <v>26492.163838281311</v>
      </c>
    </row>
    <row r="663" spans="1:15" x14ac:dyDescent="0.25">
      <c r="A663" s="1" t="s">
        <v>3</v>
      </c>
      <c r="B663" s="1" t="s">
        <v>4</v>
      </c>
      <c r="C663" s="1" t="s">
        <v>5</v>
      </c>
      <c r="D663" s="1">
        <v>37</v>
      </c>
      <c r="E663" s="1">
        <v>46.53</v>
      </c>
      <c r="F663" s="1">
        <v>3</v>
      </c>
      <c r="G663" s="7">
        <f t="shared" si="59"/>
        <v>0</v>
      </c>
      <c r="H663" s="7">
        <f t="shared" si="62"/>
        <v>0</v>
      </c>
      <c r="I663" s="7">
        <f t="shared" si="63"/>
        <v>1</v>
      </c>
      <c r="J663" s="7">
        <f t="shared" si="63"/>
        <v>0</v>
      </c>
      <c r="K663" s="7">
        <f t="shared" si="63"/>
        <v>0</v>
      </c>
      <c r="L663" s="11">
        <v>6435.6237000000001</v>
      </c>
      <c r="M663" s="12" cm="1">
        <f t="array" ref="M663">IF(($R$34+SUMPRODUCT(TRANSPOSE(D663:K663),$R$35:$R$42))&lt;0,"-",$R$34+SUMPRODUCT(TRANSPOSE(D663:K663),$R$35:$R$42))</f>
        <v>13607.983090891528</v>
      </c>
      <c r="N663" s="13">
        <f t="shared" si="60"/>
        <v>1483.778513856405</v>
      </c>
      <c r="O663" s="13">
        <f t="shared" si="61"/>
        <v>25732.18766792665</v>
      </c>
    </row>
    <row r="664" spans="1:15" x14ac:dyDescent="0.25">
      <c r="A664" s="1" t="s">
        <v>0</v>
      </c>
      <c r="B664" s="1" t="s">
        <v>4</v>
      </c>
      <c r="C664" s="1" t="s">
        <v>5</v>
      </c>
      <c r="D664" s="1">
        <v>57</v>
      </c>
      <c r="E664" s="1">
        <v>23.98</v>
      </c>
      <c r="F664" s="1">
        <v>1</v>
      </c>
      <c r="G664" s="7">
        <f t="shared" si="59"/>
        <v>1</v>
      </c>
      <c r="H664" s="7">
        <f t="shared" si="62"/>
        <v>0</v>
      </c>
      <c r="I664" s="7">
        <f t="shared" si="63"/>
        <v>1</v>
      </c>
      <c r="J664" s="7">
        <f t="shared" si="63"/>
        <v>0</v>
      </c>
      <c r="K664" s="7">
        <f t="shared" si="63"/>
        <v>0</v>
      </c>
      <c r="L664" s="11">
        <v>22192.437109999999</v>
      </c>
      <c r="M664" s="12" cm="1">
        <f t="array" ref="M664">IF(($R$34+SUMPRODUCT(TRANSPOSE(D664:K664),$R$35:$R$42))&lt;0,"-",$R$34+SUMPRODUCT(TRANSPOSE(D664:K664),$R$35:$R$42))</f>
        <v>10276.611031810888</v>
      </c>
      <c r="N664" s="13" t="str">
        <f t="shared" si="60"/>
        <v>-</v>
      </c>
      <c r="O664" s="13">
        <f t="shared" si="61"/>
        <v>22400.815608846009</v>
      </c>
    </row>
    <row r="665" spans="1:15" x14ac:dyDescent="0.25">
      <c r="A665" s="1" t="s">
        <v>0</v>
      </c>
      <c r="B665" s="1" t="s">
        <v>4</v>
      </c>
      <c r="C665" s="1" t="s">
        <v>7</v>
      </c>
      <c r="D665" s="1">
        <v>32</v>
      </c>
      <c r="E665" s="1">
        <v>31.54</v>
      </c>
      <c r="F665" s="1">
        <v>1</v>
      </c>
      <c r="G665" s="7">
        <f t="shared" si="59"/>
        <v>1</v>
      </c>
      <c r="H665" s="7">
        <f t="shared" si="62"/>
        <v>0</v>
      </c>
      <c r="I665" s="7">
        <f t="shared" si="63"/>
        <v>0</v>
      </c>
      <c r="J665" s="7">
        <f t="shared" si="63"/>
        <v>0</v>
      </c>
      <c r="K665" s="7">
        <f t="shared" si="63"/>
        <v>1</v>
      </c>
      <c r="L665" s="11">
        <v>5148.5526</v>
      </c>
      <c r="M665" s="12" cm="1">
        <f t="array" ref="M665">IF(($R$34+SUMPRODUCT(TRANSPOSE(D665:K665),$R$35:$R$42))&lt;0,"-",$R$34+SUMPRODUCT(TRANSPOSE(D665:K665),$R$35:$R$42))</f>
        <v>7454.5267770629544</v>
      </c>
      <c r="N665" s="13" t="str">
        <f t="shared" si="60"/>
        <v>-</v>
      </c>
      <c r="O665" s="13">
        <f t="shared" si="61"/>
        <v>19578.731354098076</v>
      </c>
    </row>
    <row r="666" spans="1:15" x14ac:dyDescent="0.25">
      <c r="A666" s="1" t="s">
        <v>3</v>
      </c>
      <c r="B666" s="1" t="s">
        <v>4</v>
      </c>
      <c r="C666" s="1" t="s">
        <v>5</v>
      </c>
      <c r="D666" s="1">
        <v>18</v>
      </c>
      <c r="E666" s="1">
        <v>33.659999999999997</v>
      </c>
      <c r="F666" s="1">
        <v>0</v>
      </c>
      <c r="G666" s="7">
        <f t="shared" si="59"/>
        <v>0</v>
      </c>
      <c r="H666" s="7">
        <f t="shared" si="62"/>
        <v>0</v>
      </c>
      <c r="I666" s="7">
        <f t="shared" si="63"/>
        <v>1</v>
      </c>
      <c r="J666" s="7">
        <f t="shared" si="63"/>
        <v>0</v>
      </c>
      <c r="K666" s="7">
        <f t="shared" si="63"/>
        <v>0</v>
      </c>
      <c r="L666" s="11">
        <v>1136.3994</v>
      </c>
      <c r="M666" s="12" cm="1">
        <f t="array" ref="M666">IF(($R$34+SUMPRODUCT(TRANSPOSE(D666:K666),$R$35:$R$42))&lt;0,"-",$R$34+SUMPRODUCT(TRANSPOSE(D666:K666),$R$35:$R$42))</f>
        <v>2935.7910092630045</v>
      </c>
      <c r="N666" s="13" t="str">
        <f t="shared" si="60"/>
        <v>-</v>
      </c>
      <c r="O666" s="13">
        <f t="shared" si="61"/>
        <v>15059.995586298128</v>
      </c>
    </row>
    <row r="667" spans="1:15" x14ac:dyDescent="0.25">
      <c r="A667" s="1" t="s">
        <v>0</v>
      </c>
      <c r="B667" s="1" t="s">
        <v>1</v>
      </c>
      <c r="C667" s="1" t="s">
        <v>5</v>
      </c>
      <c r="D667" s="1">
        <v>64</v>
      </c>
      <c r="E667" s="1">
        <v>22.99</v>
      </c>
      <c r="F667" s="1">
        <v>0</v>
      </c>
      <c r="G667" s="7">
        <f t="shared" si="59"/>
        <v>1</v>
      </c>
      <c r="H667" s="7">
        <f t="shared" si="62"/>
        <v>1</v>
      </c>
      <c r="I667" s="7">
        <f t="shared" si="63"/>
        <v>1</v>
      </c>
      <c r="J667" s="7">
        <f t="shared" si="63"/>
        <v>0</v>
      </c>
      <c r="K667" s="7">
        <f t="shared" si="63"/>
        <v>0</v>
      </c>
      <c r="L667" s="11">
        <v>27037.914100000002</v>
      </c>
      <c r="M667" s="12" cm="1">
        <f t="array" ref="M667">IF(($R$34+SUMPRODUCT(TRANSPOSE(D667:K667),$R$35:$R$42))&lt;0,"-",$R$34+SUMPRODUCT(TRANSPOSE(D667:K667),$R$35:$R$42))</f>
        <v>35111.837977261253</v>
      </c>
      <c r="N667" s="13">
        <f t="shared" si="60"/>
        <v>22987.633400226128</v>
      </c>
      <c r="O667" s="13">
        <f t="shared" si="61"/>
        <v>47236.042554296379</v>
      </c>
    </row>
    <row r="668" spans="1:15" x14ac:dyDescent="0.25">
      <c r="A668" s="1" t="s">
        <v>3</v>
      </c>
      <c r="B668" s="1" t="s">
        <v>1</v>
      </c>
      <c r="C668" s="1" t="s">
        <v>5</v>
      </c>
      <c r="D668" s="1">
        <v>43</v>
      </c>
      <c r="E668" s="1">
        <v>38.06</v>
      </c>
      <c r="F668" s="1">
        <v>2</v>
      </c>
      <c r="G668" s="7">
        <f t="shared" si="59"/>
        <v>0</v>
      </c>
      <c r="H668" s="7">
        <f t="shared" si="62"/>
        <v>1</v>
      </c>
      <c r="I668" s="7">
        <f t="shared" si="63"/>
        <v>1</v>
      </c>
      <c r="J668" s="7">
        <f t="shared" si="63"/>
        <v>0</v>
      </c>
      <c r="K668" s="7">
        <f t="shared" si="63"/>
        <v>0</v>
      </c>
      <c r="L668" s="11">
        <v>42560.430399999997</v>
      </c>
      <c r="M668" s="12" cm="1">
        <f t="array" ref="M668">IF(($R$34+SUMPRODUCT(TRANSPOSE(D668:K668),$R$35:$R$42))&lt;0,"-",$R$34+SUMPRODUCT(TRANSPOSE(D668:K668),$R$35:$R$42))</f>
        <v>35649.186650795462</v>
      </c>
      <c r="N668" s="13">
        <f t="shared" si="60"/>
        <v>23524.982073760337</v>
      </c>
      <c r="O668" s="13">
        <f t="shared" si="61"/>
        <v>47773.391227830587</v>
      </c>
    </row>
    <row r="669" spans="1:15" x14ac:dyDescent="0.25">
      <c r="A669" s="1" t="s">
        <v>3</v>
      </c>
      <c r="B669" s="1" t="s">
        <v>4</v>
      </c>
      <c r="C669" s="1" t="s">
        <v>2</v>
      </c>
      <c r="D669" s="1">
        <v>49</v>
      </c>
      <c r="E669" s="1">
        <v>28.7</v>
      </c>
      <c r="F669" s="1">
        <v>1</v>
      </c>
      <c r="G669" s="7">
        <f t="shared" si="59"/>
        <v>0</v>
      </c>
      <c r="H669" s="7">
        <f t="shared" si="62"/>
        <v>0</v>
      </c>
      <c r="I669" s="7">
        <f t="shared" si="63"/>
        <v>0</v>
      </c>
      <c r="J669" s="7">
        <f t="shared" si="63"/>
        <v>0</v>
      </c>
      <c r="K669" s="7">
        <f t="shared" si="63"/>
        <v>0</v>
      </c>
      <c r="L669" s="11">
        <v>8703.4560000000001</v>
      </c>
      <c r="M669" s="12" cm="1">
        <f t="array" ref="M669">IF(($R$34+SUMPRODUCT(TRANSPOSE(D669:K669),$R$35:$R$42))&lt;0,"-",$R$34+SUMPRODUCT(TRANSPOSE(D669:K669),$R$35:$R$42))</f>
        <v>9766.410011247146</v>
      </c>
      <c r="N669" s="13" t="str">
        <f t="shared" si="60"/>
        <v>-</v>
      </c>
      <c r="O669" s="13">
        <f t="shared" si="61"/>
        <v>21890.614588282268</v>
      </c>
    </row>
    <row r="670" spans="1:15" x14ac:dyDescent="0.25">
      <c r="A670" s="1" t="s">
        <v>0</v>
      </c>
      <c r="B670" s="1" t="s">
        <v>1</v>
      </c>
      <c r="C670" s="1" t="s">
        <v>6</v>
      </c>
      <c r="D670" s="1">
        <v>40</v>
      </c>
      <c r="E670" s="1">
        <v>32.774999999999999</v>
      </c>
      <c r="F670" s="1">
        <v>2</v>
      </c>
      <c r="G670" s="7">
        <f t="shared" si="59"/>
        <v>1</v>
      </c>
      <c r="H670" s="7">
        <f t="shared" si="62"/>
        <v>1</v>
      </c>
      <c r="I670" s="7">
        <f t="shared" si="63"/>
        <v>0</v>
      </c>
      <c r="J670" s="7">
        <f t="shared" si="63"/>
        <v>1</v>
      </c>
      <c r="K670" s="7">
        <f t="shared" si="63"/>
        <v>0</v>
      </c>
      <c r="L670" s="11">
        <v>40003.332249999999</v>
      </c>
      <c r="M670" s="12" cm="1">
        <f t="array" ref="M670">IF(($R$34+SUMPRODUCT(TRANSPOSE(D670:K670),$R$35:$R$42))&lt;0,"-",$R$34+SUMPRODUCT(TRANSPOSE(D670:K670),$R$35:$R$42))</f>
        <v>33899.352700208408</v>
      </c>
      <c r="N670" s="13">
        <f t="shared" si="60"/>
        <v>21775.148123173283</v>
      </c>
      <c r="O670" s="13">
        <f t="shared" si="61"/>
        <v>46023.557277243533</v>
      </c>
    </row>
    <row r="671" spans="1:15" x14ac:dyDescent="0.25">
      <c r="A671" s="1" t="s">
        <v>3</v>
      </c>
      <c r="B671" s="1" t="s">
        <v>1</v>
      </c>
      <c r="C671" s="1" t="s">
        <v>7</v>
      </c>
      <c r="D671" s="1">
        <v>62</v>
      </c>
      <c r="E671" s="1">
        <v>32.015000000000001</v>
      </c>
      <c r="F671" s="1">
        <v>0</v>
      </c>
      <c r="G671" s="7">
        <f t="shared" si="59"/>
        <v>0</v>
      </c>
      <c r="H671" s="7">
        <f t="shared" si="62"/>
        <v>1</v>
      </c>
      <c r="I671" s="7">
        <f t="shared" si="63"/>
        <v>0</v>
      </c>
      <c r="J671" s="7">
        <f t="shared" si="63"/>
        <v>0</v>
      </c>
      <c r="K671" s="7">
        <f t="shared" si="63"/>
        <v>1</v>
      </c>
      <c r="L671" s="11">
        <v>45710.207849999999</v>
      </c>
      <c r="M671" s="12" cm="1">
        <f t="array" ref="M671">IF(($R$34+SUMPRODUCT(TRANSPOSE(D671:K671),$R$35:$R$42))&lt;0,"-",$R$34+SUMPRODUCT(TRANSPOSE(D671:K671),$R$35:$R$42))</f>
        <v>38563.053881017098</v>
      </c>
      <c r="N671" s="13">
        <f t="shared" si="60"/>
        <v>26438.849303981973</v>
      </c>
      <c r="O671" s="13">
        <f t="shared" si="61"/>
        <v>50687.258458052223</v>
      </c>
    </row>
    <row r="672" spans="1:15" x14ac:dyDescent="0.25">
      <c r="A672" s="1" t="s">
        <v>0</v>
      </c>
      <c r="B672" s="1" t="s">
        <v>4</v>
      </c>
      <c r="C672" s="1" t="s">
        <v>5</v>
      </c>
      <c r="D672" s="1">
        <v>40</v>
      </c>
      <c r="E672" s="1">
        <v>29.81</v>
      </c>
      <c r="F672" s="1">
        <v>1</v>
      </c>
      <c r="G672" s="7">
        <f t="shared" si="59"/>
        <v>1</v>
      </c>
      <c r="H672" s="7">
        <f t="shared" si="62"/>
        <v>0</v>
      </c>
      <c r="I672" s="7">
        <f t="shared" si="63"/>
        <v>1</v>
      </c>
      <c r="J672" s="7">
        <f t="shared" si="63"/>
        <v>0</v>
      </c>
      <c r="K672" s="7">
        <f t="shared" si="63"/>
        <v>0</v>
      </c>
      <c r="L672" s="11">
        <v>6500.2358999999997</v>
      </c>
      <c r="M672" s="12" cm="1">
        <f t="array" ref="M672">IF(($R$34+SUMPRODUCT(TRANSPOSE(D672:K672),$R$35:$R$42))&lt;0,"-",$R$34+SUMPRODUCT(TRANSPOSE(D672:K672),$R$35:$R$42))</f>
        <v>7887.5508732271664</v>
      </c>
      <c r="N672" s="13" t="str">
        <f t="shared" si="60"/>
        <v>-</v>
      </c>
      <c r="O672" s="13">
        <f t="shared" si="61"/>
        <v>20011.755450262288</v>
      </c>
    </row>
    <row r="673" spans="1:15" x14ac:dyDescent="0.25">
      <c r="A673" s="1" t="s">
        <v>3</v>
      </c>
      <c r="B673" s="1" t="s">
        <v>4</v>
      </c>
      <c r="C673" s="1" t="s">
        <v>5</v>
      </c>
      <c r="D673" s="1">
        <v>30</v>
      </c>
      <c r="E673" s="1">
        <v>31.57</v>
      </c>
      <c r="F673" s="1">
        <v>3</v>
      </c>
      <c r="G673" s="7">
        <f t="shared" si="59"/>
        <v>0</v>
      </c>
      <c r="H673" s="7">
        <f t="shared" si="62"/>
        <v>0</v>
      </c>
      <c r="I673" s="7">
        <f t="shared" si="63"/>
        <v>1</v>
      </c>
      <c r="J673" s="7">
        <f t="shared" si="63"/>
        <v>0</v>
      </c>
      <c r="K673" s="7">
        <f t="shared" si="63"/>
        <v>0</v>
      </c>
      <c r="L673" s="11">
        <v>4837.5823</v>
      </c>
      <c r="M673" s="12" cm="1">
        <f t="array" ref="M673">IF(($R$34+SUMPRODUCT(TRANSPOSE(D673:K673),$R$35:$R$42))&lt;0,"-",$R$34+SUMPRODUCT(TRANSPOSE(D673:K673),$R$35:$R$42))</f>
        <v>6735.6545571119241</v>
      </c>
      <c r="N673" s="13" t="str">
        <f t="shared" si="60"/>
        <v>-</v>
      </c>
      <c r="O673" s="13">
        <f t="shared" si="61"/>
        <v>18859.859134147046</v>
      </c>
    </row>
    <row r="674" spans="1:15" x14ac:dyDescent="0.25">
      <c r="A674" s="1" t="s">
        <v>0</v>
      </c>
      <c r="B674" s="1" t="s">
        <v>4</v>
      </c>
      <c r="C674" s="1" t="s">
        <v>7</v>
      </c>
      <c r="D674" s="1">
        <v>29</v>
      </c>
      <c r="E674" s="1">
        <v>31.16</v>
      </c>
      <c r="F674" s="1">
        <v>0</v>
      </c>
      <c r="G674" s="7">
        <f t="shared" si="59"/>
        <v>1</v>
      </c>
      <c r="H674" s="7">
        <f t="shared" si="62"/>
        <v>0</v>
      </c>
      <c r="I674" s="7">
        <f t="shared" si="63"/>
        <v>0</v>
      </c>
      <c r="J674" s="7">
        <f t="shared" si="63"/>
        <v>0</v>
      </c>
      <c r="K674" s="7">
        <f t="shared" si="63"/>
        <v>1</v>
      </c>
      <c r="L674" s="11">
        <v>3943.5954000000002</v>
      </c>
      <c r="M674" s="12" cm="1">
        <f t="array" ref="M674">IF(($R$34+SUMPRODUCT(TRANSPOSE(D674:K674),$R$35:$R$42))&lt;0,"-",$R$34+SUMPRODUCT(TRANSPOSE(D674:K674),$R$35:$R$42))</f>
        <v>6079.5636619296602</v>
      </c>
      <c r="N674" s="13" t="str">
        <f t="shared" si="60"/>
        <v>-</v>
      </c>
      <c r="O674" s="13">
        <f t="shared" si="61"/>
        <v>18203.768238964782</v>
      </c>
    </row>
    <row r="675" spans="1:15" x14ac:dyDescent="0.25">
      <c r="A675" s="1" t="s">
        <v>3</v>
      </c>
      <c r="B675" s="1" t="s">
        <v>4</v>
      </c>
      <c r="C675" s="1" t="s">
        <v>5</v>
      </c>
      <c r="D675" s="1">
        <v>36</v>
      </c>
      <c r="E675" s="1">
        <v>29.7</v>
      </c>
      <c r="F675" s="1">
        <v>0</v>
      </c>
      <c r="G675" s="7">
        <f t="shared" si="59"/>
        <v>0</v>
      </c>
      <c r="H675" s="7">
        <f t="shared" si="62"/>
        <v>0</v>
      </c>
      <c r="I675" s="7">
        <f t="shared" si="63"/>
        <v>1</v>
      </c>
      <c r="J675" s="7">
        <f t="shared" si="63"/>
        <v>0</v>
      </c>
      <c r="K675" s="7">
        <f t="shared" si="63"/>
        <v>0</v>
      </c>
      <c r="L675" s="11">
        <v>4399.7309999999998</v>
      </c>
      <c r="M675" s="12" cm="1">
        <f t="array" ref="M675">IF(($R$34+SUMPRODUCT(TRANSPOSE(D675:K675),$R$35:$R$42))&lt;0,"-",$R$34+SUMPRODUCT(TRANSPOSE(D675:K675),$R$35:$R$42))</f>
        <v>6215.9992786363437</v>
      </c>
      <c r="N675" s="13" t="str">
        <f t="shared" si="60"/>
        <v>-</v>
      </c>
      <c r="O675" s="13">
        <f t="shared" si="61"/>
        <v>18340.203855671469</v>
      </c>
    </row>
    <row r="676" spans="1:15" x14ac:dyDescent="0.25">
      <c r="A676" s="1" t="s">
        <v>0</v>
      </c>
      <c r="B676" s="1" t="s">
        <v>4</v>
      </c>
      <c r="C676" s="1" t="s">
        <v>5</v>
      </c>
      <c r="D676" s="1">
        <v>41</v>
      </c>
      <c r="E676" s="1">
        <v>31.02</v>
      </c>
      <c r="F676" s="1">
        <v>0</v>
      </c>
      <c r="G676" s="7">
        <f t="shared" si="59"/>
        <v>1</v>
      </c>
      <c r="H676" s="7">
        <f t="shared" si="62"/>
        <v>0</v>
      </c>
      <c r="I676" s="7">
        <f t="shared" si="63"/>
        <v>1</v>
      </c>
      <c r="J676" s="7">
        <f t="shared" si="63"/>
        <v>0</v>
      </c>
      <c r="K676" s="7">
        <f t="shared" si="63"/>
        <v>0</v>
      </c>
      <c r="L676" s="11">
        <v>6185.3208000000004</v>
      </c>
      <c r="M676" s="12" cm="1">
        <f t="array" ref="M676">IF(($R$34+SUMPRODUCT(TRANSPOSE(D676:K676),$R$35:$R$42))&lt;0,"-",$R$34+SUMPRODUCT(TRANSPOSE(D676:K676),$R$35:$R$42))</f>
        <v>8079.3307594844991</v>
      </c>
      <c r="N676" s="13" t="str">
        <f t="shared" si="60"/>
        <v>-</v>
      </c>
      <c r="O676" s="13">
        <f t="shared" si="61"/>
        <v>20203.535336519621</v>
      </c>
    </row>
    <row r="677" spans="1:15" x14ac:dyDescent="0.25">
      <c r="A677" s="1" t="s">
        <v>0</v>
      </c>
      <c r="B677" s="1" t="s">
        <v>1</v>
      </c>
      <c r="C677" s="1" t="s">
        <v>5</v>
      </c>
      <c r="D677" s="1">
        <v>44</v>
      </c>
      <c r="E677" s="1">
        <v>43.89</v>
      </c>
      <c r="F677" s="1">
        <v>2</v>
      </c>
      <c r="G677" s="7">
        <f t="shared" si="59"/>
        <v>1</v>
      </c>
      <c r="H677" s="7">
        <f t="shared" si="62"/>
        <v>1</v>
      </c>
      <c r="I677" s="7">
        <f t="shared" si="63"/>
        <v>1</v>
      </c>
      <c r="J677" s="7">
        <f t="shared" si="63"/>
        <v>0</v>
      </c>
      <c r="K677" s="7">
        <f t="shared" si="63"/>
        <v>0</v>
      </c>
      <c r="L677" s="11">
        <v>46200.985099999998</v>
      </c>
      <c r="M677" s="12" cm="1">
        <f t="array" ref="M677">IF(($R$34+SUMPRODUCT(TRANSPOSE(D677:K677),$R$35:$R$42))&lt;0,"-",$R$34+SUMPRODUCT(TRANSPOSE(D677:K677),$R$35:$R$42))</f>
        <v>38014.855197279117</v>
      </c>
      <c r="N677" s="13">
        <f t="shared" si="60"/>
        <v>25890.650620243992</v>
      </c>
      <c r="O677" s="13">
        <f t="shared" si="61"/>
        <v>50139.059774314243</v>
      </c>
    </row>
    <row r="678" spans="1:15" x14ac:dyDescent="0.25">
      <c r="A678" s="1" t="s">
        <v>3</v>
      </c>
      <c r="B678" s="1" t="s">
        <v>4</v>
      </c>
      <c r="C678" s="1" t="s">
        <v>6</v>
      </c>
      <c r="D678" s="1">
        <v>45</v>
      </c>
      <c r="E678" s="1">
        <v>21.375</v>
      </c>
      <c r="F678" s="1">
        <v>0</v>
      </c>
      <c r="G678" s="7">
        <f t="shared" si="59"/>
        <v>0</v>
      </c>
      <c r="H678" s="7">
        <f t="shared" si="62"/>
        <v>0</v>
      </c>
      <c r="I678" s="7">
        <f t="shared" si="63"/>
        <v>0</v>
      </c>
      <c r="J678" s="7">
        <f t="shared" si="63"/>
        <v>1</v>
      </c>
      <c r="K678" s="7">
        <f t="shared" si="63"/>
        <v>0</v>
      </c>
      <c r="L678" s="11">
        <v>7222.7862500000001</v>
      </c>
      <c r="M678" s="12" cm="1">
        <f t="array" ref="M678">IF(($R$34+SUMPRODUCT(TRANSPOSE(D678:K678),$R$35:$R$42))&lt;0,"-",$R$34+SUMPRODUCT(TRANSPOSE(D678:K678),$R$35:$R$42))</f>
        <v>6385.9791001254089</v>
      </c>
      <c r="N678" s="13" t="str">
        <f t="shared" si="60"/>
        <v>-</v>
      </c>
      <c r="O678" s="13">
        <f t="shared" si="61"/>
        <v>18510.18367716053</v>
      </c>
    </row>
    <row r="679" spans="1:15" x14ac:dyDescent="0.25">
      <c r="A679" s="1" t="s">
        <v>0</v>
      </c>
      <c r="B679" s="1" t="s">
        <v>4</v>
      </c>
      <c r="C679" s="1" t="s">
        <v>5</v>
      </c>
      <c r="D679" s="1">
        <v>55</v>
      </c>
      <c r="E679" s="1">
        <v>40.81</v>
      </c>
      <c r="F679" s="1">
        <v>3</v>
      </c>
      <c r="G679" s="7">
        <f t="shared" si="59"/>
        <v>1</v>
      </c>
      <c r="H679" s="7">
        <f t="shared" si="62"/>
        <v>0</v>
      </c>
      <c r="I679" s="7">
        <f t="shared" si="63"/>
        <v>1</v>
      </c>
      <c r="J679" s="7">
        <f t="shared" si="63"/>
        <v>0</v>
      </c>
      <c r="K679" s="7">
        <f t="shared" si="63"/>
        <v>0</v>
      </c>
      <c r="L679" s="11">
        <v>12485.8009</v>
      </c>
      <c r="M679" s="12" cm="1">
        <f t="array" ref="M679">IF(($R$34+SUMPRODUCT(TRANSPOSE(D679:K679),$R$35:$R$42))&lt;0,"-",$R$34+SUMPRODUCT(TRANSPOSE(D679:K679),$R$35:$R$42))</f>
        <v>16422.525241304891</v>
      </c>
      <c r="N679" s="13">
        <f t="shared" si="60"/>
        <v>4298.3206642697678</v>
      </c>
      <c r="O679" s="13">
        <f t="shared" si="61"/>
        <v>28546.729818340013</v>
      </c>
    </row>
    <row r="680" spans="1:15" x14ac:dyDescent="0.25">
      <c r="A680" s="1" t="s">
        <v>3</v>
      </c>
      <c r="B680" s="1" t="s">
        <v>1</v>
      </c>
      <c r="C680" s="1" t="s">
        <v>6</v>
      </c>
      <c r="D680" s="1">
        <v>60</v>
      </c>
      <c r="E680" s="1">
        <v>31.35</v>
      </c>
      <c r="F680" s="1">
        <v>3</v>
      </c>
      <c r="G680" s="7">
        <f t="shared" si="59"/>
        <v>0</v>
      </c>
      <c r="H680" s="7">
        <f t="shared" si="62"/>
        <v>1</v>
      </c>
      <c r="I680" s="7">
        <f t="shared" si="63"/>
        <v>0</v>
      </c>
      <c r="J680" s="7">
        <f t="shared" si="63"/>
        <v>1</v>
      </c>
      <c r="K680" s="7">
        <f t="shared" si="63"/>
        <v>0</v>
      </c>
      <c r="L680" s="11">
        <v>46130.5265</v>
      </c>
      <c r="M680" s="12" cm="1">
        <f t="array" ref="M680">IF(($R$34+SUMPRODUCT(TRANSPOSE(D680:K680),$R$35:$R$42))&lt;0,"-",$R$34+SUMPRODUCT(TRANSPOSE(D680:K680),$R$35:$R$42))</f>
        <v>38897.315265313948</v>
      </c>
      <c r="N680" s="13">
        <f t="shared" si="60"/>
        <v>26773.110688278823</v>
      </c>
      <c r="O680" s="13">
        <f t="shared" si="61"/>
        <v>51021.519842349073</v>
      </c>
    </row>
    <row r="681" spans="1:15" x14ac:dyDescent="0.25">
      <c r="A681" s="1" t="s">
        <v>3</v>
      </c>
      <c r="B681" s="1" t="s">
        <v>4</v>
      </c>
      <c r="C681" s="1" t="s">
        <v>2</v>
      </c>
      <c r="D681" s="1">
        <v>56</v>
      </c>
      <c r="E681" s="1">
        <v>36.1</v>
      </c>
      <c r="F681" s="1">
        <v>3</v>
      </c>
      <c r="G681" s="7">
        <f t="shared" si="59"/>
        <v>0</v>
      </c>
      <c r="H681" s="7">
        <f t="shared" si="62"/>
        <v>0</v>
      </c>
      <c r="I681" s="7">
        <f t="shared" si="63"/>
        <v>0</v>
      </c>
      <c r="J681" s="7">
        <f t="shared" si="63"/>
        <v>0</v>
      </c>
      <c r="K681" s="7">
        <f t="shared" si="63"/>
        <v>0</v>
      </c>
      <c r="L681" s="11">
        <v>12363.547</v>
      </c>
      <c r="M681" s="12" cm="1">
        <f t="array" ref="M681">IF(($R$34+SUMPRODUCT(TRANSPOSE(D681:K681),$R$35:$R$42))&lt;0,"-",$R$34+SUMPRODUCT(TRANSPOSE(D681:K681),$R$35:$R$42))</f>
        <v>15025.437126027064</v>
      </c>
      <c r="N681" s="13">
        <f t="shared" si="60"/>
        <v>2901.2325489919403</v>
      </c>
      <c r="O681" s="13">
        <f t="shared" si="61"/>
        <v>27149.641703062189</v>
      </c>
    </row>
    <row r="682" spans="1:15" x14ac:dyDescent="0.25">
      <c r="A682" s="1" t="s">
        <v>0</v>
      </c>
      <c r="B682" s="1" t="s">
        <v>4</v>
      </c>
      <c r="C682" s="1" t="s">
        <v>6</v>
      </c>
      <c r="D682" s="1">
        <v>49</v>
      </c>
      <c r="E682" s="1">
        <v>23.18</v>
      </c>
      <c r="F682" s="1">
        <v>2</v>
      </c>
      <c r="G682" s="7">
        <f t="shared" si="59"/>
        <v>1</v>
      </c>
      <c r="H682" s="7">
        <f t="shared" si="62"/>
        <v>0</v>
      </c>
      <c r="I682" s="7">
        <f t="shared" si="63"/>
        <v>0</v>
      </c>
      <c r="J682" s="7">
        <f t="shared" si="63"/>
        <v>1</v>
      </c>
      <c r="K682" s="7">
        <f t="shared" si="63"/>
        <v>0</v>
      </c>
      <c r="L682" s="11">
        <v>10156.7832</v>
      </c>
      <c r="M682" s="12" cm="1">
        <f t="array" ref="M682">IF(($R$34+SUMPRODUCT(TRANSPOSE(D682:K682),$R$35:$R$42))&lt;0,"-",$R$34+SUMPRODUCT(TRANSPOSE(D682:K682),$R$35:$R$42))</f>
        <v>9107.9641437357386</v>
      </c>
      <c r="N682" s="13" t="str">
        <f t="shared" si="60"/>
        <v>-</v>
      </c>
      <c r="O682" s="13">
        <f t="shared" si="61"/>
        <v>21232.16872077086</v>
      </c>
    </row>
    <row r="683" spans="1:15" x14ac:dyDescent="0.25">
      <c r="A683" s="1" t="s">
        <v>0</v>
      </c>
      <c r="B683" s="1" t="s">
        <v>4</v>
      </c>
      <c r="C683" s="1" t="s">
        <v>2</v>
      </c>
      <c r="D683" s="1">
        <v>21</v>
      </c>
      <c r="E683" s="1">
        <v>17.399999999999999</v>
      </c>
      <c r="F683" s="1">
        <v>1</v>
      </c>
      <c r="G683" s="7">
        <f t="shared" si="59"/>
        <v>1</v>
      </c>
      <c r="H683" s="7">
        <f t="shared" si="62"/>
        <v>0</v>
      </c>
      <c r="I683" s="7">
        <f t="shared" si="63"/>
        <v>0</v>
      </c>
      <c r="J683" s="7">
        <f t="shared" si="63"/>
        <v>0</v>
      </c>
      <c r="K683" s="7">
        <f t="shared" si="63"/>
        <v>0</v>
      </c>
      <c r="L683" s="11">
        <v>2585.2689999999998</v>
      </c>
      <c r="M683" s="12" t="str" cm="1">
        <f t="array" ref="M683">IF(($R$34+SUMPRODUCT(TRANSPOSE(D683:K683),$R$35:$R$42))&lt;0,"-",$R$34+SUMPRODUCT(TRANSPOSE(D683:K683),$R$35:$R$42))</f>
        <v>-</v>
      </c>
      <c r="N683" s="13" t="str">
        <f t="shared" si="60"/>
        <v>-</v>
      </c>
      <c r="O683" s="13" t="str">
        <f t="shared" si="61"/>
        <v>-</v>
      </c>
    </row>
    <row r="684" spans="1:15" x14ac:dyDescent="0.25">
      <c r="A684" s="1" t="s">
        <v>3</v>
      </c>
      <c r="B684" s="1" t="s">
        <v>4</v>
      </c>
      <c r="C684" s="1" t="s">
        <v>2</v>
      </c>
      <c r="D684" s="1">
        <v>19</v>
      </c>
      <c r="E684" s="1">
        <v>20.3</v>
      </c>
      <c r="F684" s="1">
        <v>0</v>
      </c>
      <c r="G684" s="7">
        <f t="shared" si="59"/>
        <v>0</v>
      </c>
      <c r="H684" s="7">
        <f t="shared" si="62"/>
        <v>0</v>
      </c>
      <c r="I684" s="7">
        <f t="shared" si="63"/>
        <v>0</v>
      </c>
      <c r="J684" s="7">
        <f t="shared" si="63"/>
        <v>0</v>
      </c>
      <c r="K684" s="7">
        <f t="shared" si="63"/>
        <v>0</v>
      </c>
      <c r="L684" s="11">
        <v>1242.26</v>
      </c>
      <c r="M684" s="12" t="str" cm="1">
        <f t="array" ref="M684">IF(($R$34+SUMPRODUCT(TRANSPOSE(D684:K684),$R$35:$R$42))&lt;0,"-",$R$34+SUMPRODUCT(TRANSPOSE(D684:K684),$R$35:$R$42))</f>
        <v>-</v>
      </c>
      <c r="N684" s="13" t="str">
        <f t="shared" si="60"/>
        <v>-</v>
      </c>
      <c r="O684" s="13" t="str">
        <f t="shared" si="61"/>
        <v>-</v>
      </c>
    </row>
    <row r="685" spans="1:15" x14ac:dyDescent="0.25">
      <c r="A685" s="1" t="s">
        <v>3</v>
      </c>
      <c r="B685" s="1" t="s">
        <v>1</v>
      </c>
      <c r="C685" s="1" t="s">
        <v>2</v>
      </c>
      <c r="D685" s="1">
        <v>39</v>
      </c>
      <c r="E685" s="1">
        <v>35.299999999999997</v>
      </c>
      <c r="F685" s="1">
        <v>2</v>
      </c>
      <c r="G685" s="7">
        <f t="shared" si="59"/>
        <v>0</v>
      </c>
      <c r="H685" s="7">
        <f t="shared" si="62"/>
        <v>1</v>
      </c>
      <c r="I685" s="7">
        <f t="shared" si="63"/>
        <v>0</v>
      </c>
      <c r="J685" s="7">
        <f t="shared" si="63"/>
        <v>0</v>
      </c>
      <c r="K685" s="7">
        <f t="shared" si="63"/>
        <v>0</v>
      </c>
      <c r="L685" s="11">
        <v>40103.89</v>
      </c>
      <c r="M685" s="12" cm="1">
        <f t="array" ref="M685">IF(($R$34+SUMPRODUCT(TRANSPOSE(D685:K685),$R$35:$R$42))&lt;0,"-",$R$34+SUMPRODUCT(TRANSPOSE(D685:K685),$R$35:$R$42))</f>
        <v>33760.558366767138</v>
      </c>
      <c r="N685" s="13">
        <f t="shared" si="60"/>
        <v>21636.353789732013</v>
      </c>
      <c r="O685" s="13">
        <f t="shared" si="61"/>
        <v>45884.762943802263</v>
      </c>
    </row>
    <row r="686" spans="1:15" x14ac:dyDescent="0.25">
      <c r="A686" s="1" t="s">
        <v>3</v>
      </c>
      <c r="B686" s="1" t="s">
        <v>4</v>
      </c>
      <c r="C686" s="1" t="s">
        <v>6</v>
      </c>
      <c r="D686" s="1">
        <v>53</v>
      </c>
      <c r="E686" s="1">
        <v>24.32</v>
      </c>
      <c r="F686" s="1">
        <v>0</v>
      </c>
      <c r="G686" s="7">
        <f t="shared" si="59"/>
        <v>0</v>
      </c>
      <c r="H686" s="7">
        <f t="shared" si="62"/>
        <v>0</v>
      </c>
      <c r="I686" s="7">
        <f t="shared" si="63"/>
        <v>0</v>
      </c>
      <c r="J686" s="7">
        <f t="shared" si="63"/>
        <v>1</v>
      </c>
      <c r="K686" s="7">
        <f t="shared" si="63"/>
        <v>0</v>
      </c>
      <c r="L686" s="11">
        <v>9863.4717999999993</v>
      </c>
      <c r="M686" s="12" cm="1">
        <f t="array" ref="M686">IF(($R$34+SUMPRODUCT(TRANSPOSE(D686:K686),$R$35:$R$42))&lt;0,"-",$R$34+SUMPRODUCT(TRANSPOSE(D686:K686),$R$35:$R$42))</f>
        <v>9439.7546413081145</v>
      </c>
      <c r="N686" s="13" t="str">
        <f t="shared" si="60"/>
        <v>-</v>
      </c>
      <c r="O686" s="13">
        <f t="shared" si="61"/>
        <v>21563.95921834324</v>
      </c>
    </row>
    <row r="687" spans="1:15" x14ac:dyDescent="0.25">
      <c r="A687" s="1" t="s">
        <v>0</v>
      </c>
      <c r="B687" s="1" t="s">
        <v>4</v>
      </c>
      <c r="C687" s="1" t="s">
        <v>2</v>
      </c>
      <c r="D687" s="1">
        <v>33</v>
      </c>
      <c r="E687" s="1">
        <v>18.5</v>
      </c>
      <c r="F687" s="1">
        <v>1</v>
      </c>
      <c r="G687" s="7">
        <f t="shared" si="59"/>
        <v>1</v>
      </c>
      <c r="H687" s="7">
        <f t="shared" si="62"/>
        <v>0</v>
      </c>
      <c r="I687" s="7">
        <f t="shared" si="63"/>
        <v>0</v>
      </c>
      <c r="J687" s="7">
        <f t="shared" si="63"/>
        <v>0</v>
      </c>
      <c r="K687" s="7">
        <f t="shared" si="63"/>
        <v>0</v>
      </c>
      <c r="L687" s="11">
        <v>4766.0219999999999</v>
      </c>
      <c r="M687" s="12" cm="1">
        <f t="array" ref="M687">IF(($R$34+SUMPRODUCT(TRANSPOSE(D687:K687),$R$35:$R$42))&lt;0,"-",$R$34+SUMPRODUCT(TRANSPOSE(D687:K687),$R$35:$R$42))</f>
        <v>2328.2495032141178</v>
      </c>
      <c r="N687" s="13" t="str">
        <f t="shared" si="60"/>
        <v>-</v>
      </c>
      <c r="O687" s="13">
        <f t="shared" si="61"/>
        <v>14452.454080249241</v>
      </c>
    </row>
    <row r="688" spans="1:15" x14ac:dyDescent="0.25">
      <c r="A688" s="1" t="s">
        <v>3</v>
      </c>
      <c r="B688" s="1" t="s">
        <v>4</v>
      </c>
      <c r="C688" s="1" t="s">
        <v>7</v>
      </c>
      <c r="D688" s="1">
        <v>53</v>
      </c>
      <c r="E688" s="1">
        <v>26.41</v>
      </c>
      <c r="F688" s="1">
        <v>2</v>
      </c>
      <c r="G688" s="7">
        <f t="shared" si="59"/>
        <v>0</v>
      </c>
      <c r="H688" s="7">
        <f t="shared" si="62"/>
        <v>0</v>
      </c>
      <c r="I688" s="7">
        <f t="shared" si="63"/>
        <v>0</v>
      </c>
      <c r="J688" s="7">
        <f t="shared" si="63"/>
        <v>0</v>
      </c>
      <c r="K688" s="7">
        <f t="shared" si="63"/>
        <v>1</v>
      </c>
      <c r="L688" s="11">
        <v>11244.376899999999</v>
      </c>
      <c r="M688" s="12" cm="1">
        <f t="array" ref="M688">IF(($R$34+SUMPRODUCT(TRANSPOSE(D688:K688),$R$35:$R$42))&lt;0,"-",$R$34+SUMPRODUCT(TRANSPOSE(D688:K688),$R$35:$R$42))</f>
        <v>11452.633949077677</v>
      </c>
      <c r="N688" s="13" t="str">
        <f t="shared" si="60"/>
        <v>-</v>
      </c>
      <c r="O688" s="13">
        <f t="shared" si="61"/>
        <v>23576.838526112799</v>
      </c>
    </row>
    <row r="689" spans="1:15" x14ac:dyDescent="0.25">
      <c r="A689" s="1" t="s">
        <v>3</v>
      </c>
      <c r="B689" s="1" t="s">
        <v>4</v>
      </c>
      <c r="C689" s="1" t="s">
        <v>7</v>
      </c>
      <c r="D689" s="1">
        <v>42</v>
      </c>
      <c r="E689" s="1">
        <v>26.125</v>
      </c>
      <c r="F689" s="1">
        <v>2</v>
      </c>
      <c r="G689" s="7">
        <f t="shared" si="59"/>
        <v>0</v>
      </c>
      <c r="H689" s="7">
        <f t="shared" si="62"/>
        <v>0</v>
      </c>
      <c r="I689" s="7">
        <f t="shared" si="63"/>
        <v>0</v>
      </c>
      <c r="J689" s="7">
        <f t="shared" si="63"/>
        <v>0</v>
      </c>
      <c r="K689" s="7">
        <f t="shared" si="63"/>
        <v>1</v>
      </c>
      <c r="L689" s="11">
        <v>7729.6457499999997</v>
      </c>
      <c r="M689" s="12" cm="1">
        <f t="array" ref="M689">IF(($R$34+SUMPRODUCT(TRANSPOSE(D689:K689),$R$35:$R$42))&lt;0,"-",$R$34+SUMPRODUCT(TRANSPOSE(D689:K689),$R$35:$R$42))</f>
        <v>8530.5439368877633</v>
      </c>
      <c r="N689" s="13" t="str">
        <f t="shared" si="60"/>
        <v>-</v>
      </c>
      <c r="O689" s="13">
        <f t="shared" si="61"/>
        <v>20654.748513922888</v>
      </c>
    </row>
    <row r="690" spans="1:15" x14ac:dyDescent="0.25">
      <c r="A690" s="1" t="s">
        <v>3</v>
      </c>
      <c r="B690" s="1" t="s">
        <v>4</v>
      </c>
      <c r="C690" s="1" t="s">
        <v>5</v>
      </c>
      <c r="D690" s="1">
        <v>40</v>
      </c>
      <c r="E690" s="1">
        <v>41.69</v>
      </c>
      <c r="F690" s="1">
        <v>0</v>
      </c>
      <c r="G690" s="7">
        <f t="shared" si="59"/>
        <v>0</v>
      </c>
      <c r="H690" s="7">
        <f t="shared" si="62"/>
        <v>0</v>
      </c>
      <c r="I690" s="7">
        <f t="shared" si="63"/>
        <v>1</v>
      </c>
      <c r="J690" s="7">
        <f t="shared" si="63"/>
        <v>0</v>
      </c>
      <c r="K690" s="7">
        <f t="shared" si="63"/>
        <v>0</v>
      </c>
      <c r="L690" s="11">
        <v>5438.7491</v>
      </c>
      <c r="M690" s="12" cm="1">
        <f t="array" ref="M690">IF(($R$34+SUMPRODUCT(TRANSPOSE(D690:K690),$R$35:$R$42))&lt;0,"-",$R$34+SUMPRODUCT(TRANSPOSE(D690:K690),$R$35:$R$42))</f>
        <v>11310.354197579705</v>
      </c>
      <c r="N690" s="13" t="str">
        <f t="shared" si="60"/>
        <v>-</v>
      </c>
      <c r="O690" s="13">
        <f t="shared" si="61"/>
        <v>23434.55877461483</v>
      </c>
    </row>
    <row r="691" spans="1:15" x14ac:dyDescent="0.25">
      <c r="A691" s="1" t="s">
        <v>0</v>
      </c>
      <c r="B691" s="1" t="s">
        <v>4</v>
      </c>
      <c r="C691" s="1" t="s">
        <v>2</v>
      </c>
      <c r="D691" s="1">
        <v>47</v>
      </c>
      <c r="E691" s="1">
        <v>24.1</v>
      </c>
      <c r="F691" s="1">
        <v>1</v>
      </c>
      <c r="G691" s="7">
        <f t="shared" si="59"/>
        <v>1</v>
      </c>
      <c r="H691" s="7">
        <f t="shared" si="62"/>
        <v>0</v>
      </c>
      <c r="I691" s="7">
        <f t="shared" si="63"/>
        <v>0</v>
      </c>
      <c r="J691" s="7">
        <f t="shared" si="63"/>
        <v>0</v>
      </c>
      <c r="K691" s="7">
        <f t="shared" si="63"/>
        <v>0</v>
      </c>
      <c r="L691" s="11">
        <v>26236.579969999999</v>
      </c>
      <c r="M691" s="12" cm="1">
        <f t="array" ref="M691">IF(($R$34+SUMPRODUCT(TRANSPOSE(D691:K691),$R$35:$R$42))&lt;0,"-",$R$34+SUMPRODUCT(TRANSPOSE(D691:K691),$R$35:$R$42))</f>
        <v>7823.7217789576935</v>
      </c>
      <c r="N691" s="13" t="str">
        <f t="shared" si="60"/>
        <v>-</v>
      </c>
      <c r="O691" s="13">
        <f t="shared" si="61"/>
        <v>19947.926355992815</v>
      </c>
    </row>
    <row r="692" spans="1:15" x14ac:dyDescent="0.25">
      <c r="A692" s="1" t="s">
        <v>3</v>
      </c>
      <c r="B692" s="1" t="s">
        <v>1</v>
      </c>
      <c r="C692" s="1" t="s">
        <v>5</v>
      </c>
      <c r="D692" s="1">
        <v>27</v>
      </c>
      <c r="E692" s="1">
        <v>31.13</v>
      </c>
      <c r="F692" s="1">
        <v>1</v>
      </c>
      <c r="G692" s="7">
        <f t="shared" si="59"/>
        <v>0</v>
      </c>
      <c r="H692" s="7">
        <f t="shared" si="62"/>
        <v>1</v>
      </c>
      <c r="I692" s="7">
        <f t="shared" si="63"/>
        <v>1</v>
      </c>
      <c r="J692" s="7">
        <f t="shared" si="63"/>
        <v>0</v>
      </c>
      <c r="K692" s="7">
        <f t="shared" si="63"/>
        <v>0</v>
      </c>
      <c r="L692" s="11">
        <v>34806.467700000001</v>
      </c>
      <c r="M692" s="12" cm="1">
        <f t="array" ref="M692">IF(($R$34+SUMPRODUCT(TRANSPOSE(D692:K692),$R$35:$R$42))&lt;0,"-",$R$34+SUMPRODUCT(TRANSPOSE(D692:K692),$R$35:$R$42))</f>
        <v>28713.373831525641</v>
      </c>
      <c r="N692" s="13">
        <f t="shared" si="60"/>
        <v>16589.169254490516</v>
      </c>
      <c r="O692" s="13">
        <f t="shared" si="61"/>
        <v>40837.578408560767</v>
      </c>
    </row>
    <row r="693" spans="1:15" x14ac:dyDescent="0.25">
      <c r="A693" s="1" t="s">
        <v>3</v>
      </c>
      <c r="B693" s="1" t="s">
        <v>4</v>
      </c>
      <c r="C693" s="1" t="s">
        <v>7</v>
      </c>
      <c r="D693" s="1">
        <v>21</v>
      </c>
      <c r="E693" s="1">
        <v>27.36</v>
      </c>
      <c r="F693" s="1">
        <v>0</v>
      </c>
      <c r="G693" s="7">
        <f t="shared" si="59"/>
        <v>0</v>
      </c>
      <c r="H693" s="7">
        <f t="shared" si="62"/>
        <v>0</v>
      </c>
      <c r="I693" s="7">
        <f t="shared" si="63"/>
        <v>0</v>
      </c>
      <c r="J693" s="7">
        <f t="shared" si="63"/>
        <v>0</v>
      </c>
      <c r="K693" s="7">
        <f t="shared" si="63"/>
        <v>1</v>
      </c>
      <c r="L693" s="11">
        <v>2104.1134000000002</v>
      </c>
      <c r="M693" s="12" cm="1">
        <f t="array" ref="M693">IF(($R$34+SUMPRODUCT(TRANSPOSE(D693:K693),$R$35:$R$42))&lt;0,"-",$R$34+SUMPRODUCT(TRANSPOSE(D693:K693),$R$35:$R$42))</f>
        <v>2604.4633585145748</v>
      </c>
      <c r="N693" s="13" t="str">
        <f t="shared" si="60"/>
        <v>-</v>
      </c>
      <c r="O693" s="13">
        <f t="shared" si="61"/>
        <v>14728.667935549698</v>
      </c>
    </row>
    <row r="694" spans="1:15" x14ac:dyDescent="0.25">
      <c r="A694" s="1" t="s">
        <v>3</v>
      </c>
      <c r="B694" s="1" t="s">
        <v>4</v>
      </c>
      <c r="C694" s="1" t="s">
        <v>2</v>
      </c>
      <c r="D694" s="1">
        <v>47</v>
      </c>
      <c r="E694" s="1">
        <v>36.200000000000003</v>
      </c>
      <c r="F694" s="1">
        <v>1</v>
      </c>
      <c r="G694" s="7">
        <f t="shared" si="59"/>
        <v>0</v>
      </c>
      <c r="H694" s="7">
        <f t="shared" si="62"/>
        <v>0</v>
      </c>
      <c r="I694" s="7">
        <f t="shared" si="63"/>
        <v>0</v>
      </c>
      <c r="J694" s="7">
        <f t="shared" si="63"/>
        <v>0</v>
      </c>
      <c r="K694" s="7">
        <f t="shared" si="63"/>
        <v>0</v>
      </c>
      <c r="L694" s="11">
        <v>8068.1850000000004</v>
      </c>
      <c r="M694" s="12" cm="1">
        <f t="array" ref="M694">IF(($R$34+SUMPRODUCT(TRANSPOSE(D694:K694),$R$35:$R$42))&lt;0,"-",$R$34+SUMPRODUCT(TRANSPOSE(D694:K694),$R$35:$R$42))</f>
        <v>11796.648208253751</v>
      </c>
      <c r="N694" s="13" t="str">
        <f t="shared" si="60"/>
        <v>-</v>
      </c>
      <c r="O694" s="13">
        <f t="shared" si="61"/>
        <v>23920.852785288873</v>
      </c>
    </row>
    <row r="695" spans="1:15" x14ac:dyDescent="0.25">
      <c r="A695" s="1" t="s">
        <v>3</v>
      </c>
      <c r="B695" s="1" t="s">
        <v>4</v>
      </c>
      <c r="C695" s="1" t="s">
        <v>6</v>
      </c>
      <c r="D695" s="1">
        <v>20</v>
      </c>
      <c r="E695" s="1">
        <v>32.395000000000003</v>
      </c>
      <c r="F695" s="1">
        <v>1</v>
      </c>
      <c r="G695" s="7">
        <f t="shared" si="59"/>
        <v>0</v>
      </c>
      <c r="H695" s="7">
        <f t="shared" si="62"/>
        <v>0</v>
      </c>
      <c r="I695" s="7">
        <f t="shared" si="63"/>
        <v>0</v>
      </c>
      <c r="J695" s="7">
        <f t="shared" si="63"/>
        <v>1</v>
      </c>
      <c r="K695" s="7">
        <f t="shared" si="63"/>
        <v>0</v>
      </c>
      <c r="L695" s="11">
        <v>2362.2290499999999</v>
      </c>
      <c r="M695" s="12" cm="1">
        <f t="array" ref="M695">IF(($R$34+SUMPRODUCT(TRANSPOSE(D695:K695),$R$35:$R$42))&lt;0,"-",$R$34+SUMPRODUCT(TRANSPOSE(D695:K695),$R$35:$R$42))</f>
        <v>4177.9826906323033</v>
      </c>
      <c r="N695" s="13" t="str">
        <f t="shared" si="60"/>
        <v>-</v>
      </c>
      <c r="O695" s="13">
        <f t="shared" si="61"/>
        <v>16302.187267667427</v>
      </c>
    </row>
    <row r="696" spans="1:15" x14ac:dyDescent="0.25">
      <c r="A696" s="1" t="s">
        <v>3</v>
      </c>
      <c r="B696" s="1" t="s">
        <v>4</v>
      </c>
      <c r="C696" s="1" t="s">
        <v>6</v>
      </c>
      <c r="D696" s="1">
        <v>24</v>
      </c>
      <c r="E696" s="1">
        <v>23.655000000000001</v>
      </c>
      <c r="F696" s="1">
        <v>0</v>
      </c>
      <c r="G696" s="7">
        <f t="shared" si="59"/>
        <v>0</v>
      </c>
      <c r="H696" s="7">
        <f t="shared" si="62"/>
        <v>0</v>
      </c>
      <c r="I696" s="7">
        <f t="shared" si="63"/>
        <v>0</v>
      </c>
      <c r="J696" s="7">
        <f t="shared" si="63"/>
        <v>1</v>
      </c>
      <c r="K696" s="7">
        <f t="shared" si="63"/>
        <v>0</v>
      </c>
      <c r="L696" s="11">
        <v>2352.9684499999998</v>
      </c>
      <c r="M696" s="12" cm="1">
        <f t="array" ref="M696">IF(($R$34+SUMPRODUCT(TRANSPOSE(D696:K696),$R$35:$R$42))&lt;0,"-",$R$34+SUMPRODUCT(TRANSPOSE(D696:K696),$R$35:$R$42))</f>
        <v>1765.3567710738171</v>
      </c>
      <c r="N696" s="13" t="str">
        <f t="shared" si="60"/>
        <v>-</v>
      </c>
      <c r="O696" s="13">
        <f t="shared" si="61"/>
        <v>13889.56134810894</v>
      </c>
    </row>
    <row r="697" spans="1:15" x14ac:dyDescent="0.25">
      <c r="A697" s="1" t="s">
        <v>0</v>
      </c>
      <c r="B697" s="1" t="s">
        <v>4</v>
      </c>
      <c r="C697" s="1" t="s">
        <v>2</v>
      </c>
      <c r="D697" s="1">
        <v>27</v>
      </c>
      <c r="E697" s="1">
        <v>34.799999999999997</v>
      </c>
      <c r="F697" s="1">
        <v>1</v>
      </c>
      <c r="G697" s="7">
        <f t="shared" si="59"/>
        <v>1</v>
      </c>
      <c r="H697" s="7">
        <f t="shared" si="62"/>
        <v>0</v>
      </c>
      <c r="I697" s="7">
        <f t="shared" si="63"/>
        <v>0</v>
      </c>
      <c r="J697" s="7">
        <f t="shared" si="63"/>
        <v>0</v>
      </c>
      <c r="K697" s="7">
        <f t="shared" si="63"/>
        <v>0</v>
      </c>
      <c r="L697" s="11">
        <v>3577.9989999999998</v>
      </c>
      <c r="M697" s="12" cm="1">
        <f t="array" ref="M697">IF(($R$34+SUMPRODUCT(TRANSPOSE(D697:K697),$R$35:$R$42))&lt;0,"-",$R$34+SUMPRODUCT(TRANSPOSE(D697:K697),$R$35:$R$42))</f>
        <v>6315.9646818467227</v>
      </c>
      <c r="N697" s="13" t="str">
        <f t="shared" si="60"/>
        <v>-</v>
      </c>
      <c r="O697" s="13">
        <f t="shared" si="61"/>
        <v>18440.169258881848</v>
      </c>
    </row>
    <row r="698" spans="1:15" x14ac:dyDescent="0.25">
      <c r="A698" s="1" t="s">
        <v>0</v>
      </c>
      <c r="B698" s="1" t="s">
        <v>4</v>
      </c>
      <c r="C698" s="1" t="s">
        <v>6</v>
      </c>
      <c r="D698" s="1">
        <v>26</v>
      </c>
      <c r="E698" s="1">
        <v>40.185000000000002</v>
      </c>
      <c r="F698" s="1">
        <v>0</v>
      </c>
      <c r="G698" s="7">
        <f t="shared" si="59"/>
        <v>1</v>
      </c>
      <c r="H698" s="7">
        <f t="shared" si="62"/>
        <v>0</v>
      </c>
      <c r="I698" s="7">
        <f t="shared" si="63"/>
        <v>0</v>
      </c>
      <c r="J698" s="7">
        <f t="shared" si="63"/>
        <v>1</v>
      </c>
      <c r="K698" s="7">
        <f t="shared" si="63"/>
        <v>0</v>
      </c>
      <c r="L698" s="11">
        <v>3201.2451500000002</v>
      </c>
      <c r="M698" s="12" cm="1">
        <f t="array" ref="M698">IF(($R$34+SUMPRODUCT(TRANSPOSE(D698:K698),$R$35:$R$42))&lt;0,"-",$R$34+SUMPRODUCT(TRANSPOSE(D698:K698),$R$35:$R$42))</f>
        <v>8017.2516237308046</v>
      </c>
      <c r="N698" s="13" t="str">
        <f t="shared" si="60"/>
        <v>-</v>
      </c>
      <c r="O698" s="13">
        <f t="shared" si="61"/>
        <v>20141.456200765926</v>
      </c>
    </row>
    <row r="699" spans="1:15" x14ac:dyDescent="0.25">
      <c r="A699" s="1" t="s">
        <v>0</v>
      </c>
      <c r="B699" s="1" t="s">
        <v>4</v>
      </c>
      <c r="C699" s="1" t="s">
        <v>7</v>
      </c>
      <c r="D699" s="1">
        <v>53</v>
      </c>
      <c r="E699" s="1">
        <v>32.299999999999997</v>
      </c>
      <c r="F699" s="1">
        <v>2</v>
      </c>
      <c r="G699" s="7">
        <f t="shared" si="59"/>
        <v>1</v>
      </c>
      <c r="H699" s="7">
        <f t="shared" si="62"/>
        <v>0</v>
      </c>
      <c r="I699" s="7">
        <f t="shared" si="63"/>
        <v>0</v>
      </c>
      <c r="J699" s="7">
        <f t="shared" si="63"/>
        <v>0</v>
      </c>
      <c r="K699" s="7">
        <f t="shared" si="63"/>
        <v>1</v>
      </c>
      <c r="L699" s="11">
        <v>29186.482360000002</v>
      </c>
      <c r="M699" s="12" cm="1">
        <f t="array" ref="M699">IF(($R$34+SUMPRODUCT(TRANSPOSE(D699:K699),$R$35:$R$42))&lt;0,"-",$R$34+SUMPRODUCT(TRANSPOSE(D699:K699),$R$35:$R$42))</f>
        <v>13581.797750240632</v>
      </c>
      <c r="N699" s="13">
        <f t="shared" si="60"/>
        <v>1457.5931732055087</v>
      </c>
      <c r="O699" s="13">
        <f t="shared" si="61"/>
        <v>25706.002327275753</v>
      </c>
    </row>
    <row r="700" spans="1:15" x14ac:dyDescent="0.25">
      <c r="A700" s="1" t="s">
        <v>3</v>
      </c>
      <c r="B700" s="1" t="s">
        <v>1</v>
      </c>
      <c r="C700" s="1" t="s">
        <v>5</v>
      </c>
      <c r="D700" s="1">
        <v>41</v>
      </c>
      <c r="E700" s="1">
        <v>35.75</v>
      </c>
      <c r="F700" s="1">
        <v>1</v>
      </c>
      <c r="G700" s="7">
        <f t="shared" si="59"/>
        <v>0</v>
      </c>
      <c r="H700" s="7">
        <f t="shared" si="62"/>
        <v>1</v>
      </c>
      <c r="I700" s="7">
        <f t="shared" si="63"/>
        <v>1</v>
      </c>
      <c r="J700" s="7">
        <f t="shared" si="63"/>
        <v>0</v>
      </c>
      <c r="K700" s="7">
        <f t="shared" si="63"/>
        <v>0</v>
      </c>
      <c r="L700" s="11">
        <v>40273.645499999999</v>
      </c>
      <c r="M700" s="12" cm="1">
        <f t="array" ref="M700">IF(($R$34+SUMPRODUCT(TRANSPOSE(D700:K700),$R$35:$R$42))&lt;0,"-",$R$34+SUMPRODUCT(TRANSPOSE(D700:K700),$R$35:$R$42))</f>
        <v>33876.436522730597</v>
      </c>
      <c r="N700" s="13">
        <f t="shared" si="60"/>
        <v>21752.231945695472</v>
      </c>
      <c r="O700" s="13">
        <f t="shared" si="61"/>
        <v>46000.641099765722</v>
      </c>
    </row>
    <row r="701" spans="1:15" x14ac:dyDescent="0.25">
      <c r="A701" s="1" t="s">
        <v>3</v>
      </c>
      <c r="B701" s="1" t="s">
        <v>4</v>
      </c>
      <c r="C701" s="1" t="s">
        <v>6</v>
      </c>
      <c r="D701" s="1">
        <v>56</v>
      </c>
      <c r="E701" s="1">
        <v>33.725000000000001</v>
      </c>
      <c r="F701" s="1">
        <v>0</v>
      </c>
      <c r="G701" s="7">
        <f t="shared" si="59"/>
        <v>0</v>
      </c>
      <c r="H701" s="7">
        <f t="shared" si="62"/>
        <v>0</v>
      </c>
      <c r="I701" s="7">
        <f t="shared" si="63"/>
        <v>0</v>
      </c>
      <c r="J701" s="7">
        <f t="shared" si="63"/>
        <v>1</v>
      </c>
      <c r="K701" s="7">
        <f t="shared" si="63"/>
        <v>0</v>
      </c>
      <c r="L701" s="11">
        <v>10976.24575</v>
      </c>
      <c r="M701" s="12" cm="1">
        <f t="array" ref="M701">IF(($R$34+SUMPRODUCT(TRANSPOSE(D701:K701),$R$35:$R$42))&lt;0,"-",$R$34+SUMPRODUCT(TRANSPOSE(D701:K701),$R$35:$R$42))</f>
        <v>13400.438130130111</v>
      </c>
      <c r="N701" s="13">
        <f t="shared" si="60"/>
        <v>1276.2335530949877</v>
      </c>
      <c r="O701" s="13">
        <f t="shared" si="61"/>
        <v>25524.642707165236</v>
      </c>
    </row>
    <row r="702" spans="1:15" x14ac:dyDescent="0.25">
      <c r="A702" s="1" t="s">
        <v>0</v>
      </c>
      <c r="B702" s="1" t="s">
        <v>4</v>
      </c>
      <c r="C702" s="1" t="s">
        <v>5</v>
      </c>
      <c r="D702" s="1">
        <v>23</v>
      </c>
      <c r="E702" s="1">
        <v>39.270000000000003</v>
      </c>
      <c r="F702" s="1">
        <v>2</v>
      </c>
      <c r="G702" s="7">
        <f t="shared" si="59"/>
        <v>1</v>
      </c>
      <c r="H702" s="7">
        <f t="shared" si="62"/>
        <v>0</v>
      </c>
      <c r="I702" s="7">
        <f t="shared" si="63"/>
        <v>1</v>
      </c>
      <c r="J702" s="7">
        <f t="shared" si="63"/>
        <v>0</v>
      </c>
      <c r="K702" s="7">
        <f t="shared" si="63"/>
        <v>0</v>
      </c>
      <c r="L702" s="11">
        <v>3500.6122999999998</v>
      </c>
      <c r="M702" s="12" cm="1">
        <f t="array" ref="M702">IF(($R$34+SUMPRODUCT(TRANSPOSE(D702:K702),$R$35:$R$42))&lt;0,"-",$R$34+SUMPRODUCT(TRANSPOSE(D702:K702),$R$35:$R$42))</f>
        <v>7205.2634963999299</v>
      </c>
      <c r="N702" s="13" t="str">
        <f t="shared" si="60"/>
        <v>-</v>
      </c>
      <c r="O702" s="13">
        <f t="shared" si="61"/>
        <v>19329.468073435055</v>
      </c>
    </row>
    <row r="703" spans="1:15" x14ac:dyDescent="0.25">
      <c r="A703" s="1" t="s">
        <v>0</v>
      </c>
      <c r="B703" s="1" t="s">
        <v>4</v>
      </c>
      <c r="C703" s="1" t="s">
        <v>5</v>
      </c>
      <c r="D703" s="1">
        <v>21</v>
      </c>
      <c r="E703" s="1">
        <v>34.869999999999997</v>
      </c>
      <c r="F703" s="1">
        <v>0</v>
      </c>
      <c r="G703" s="7">
        <f t="shared" si="59"/>
        <v>1</v>
      </c>
      <c r="H703" s="7">
        <f t="shared" si="62"/>
        <v>0</v>
      </c>
      <c r="I703" s="7">
        <f t="shared" si="63"/>
        <v>1</v>
      </c>
      <c r="J703" s="7">
        <f t="shared" si="63"/>
        <v>0</v>
      </c>
      <c r="K703" s="7">
        <f t="shared" si="63"/>
        <v>0</v>
      </c>
      <c r="L703" s="11">
        <v>2020.5523000000001</v>
      </c>
      <c r="M703" s="12" cm="1">
        <f t="array" ref="M703">IF(($R$34+SUMPRODUCT(TRANSPOSE(D703:K703),$R$35:$R$42))&lt;0,"-",$R$34+SUMPRODUCT(TRANSPOSE(D703:K703),$R$35:$R$42))</f>
        <v>4248.0985051392709</v>
      </c>
      <c r="N703" s="13" t="str">
        <f t="shared" si="60"/>
        <v>-</v>
      </c>
      <c r="O703" s="13">
        <f t="shared" si="61"/>
        <v>16372.303082174394</v>
      </c>
    </row>
    <row r="704" spans="1:15" x14ac:dyDescent="0.25">
      <c r="A704" s="1" t="s">
        <v>0</v>
      </c>
      <c r="B704" s="1" t="s">
        <v>4</v>
      </c>
      <c r="C704" s="1" t="s">
        <v>7</v>
      </c>
      <c r="D704" s="1">
        <v>50</v>
      </c>
      <c r="E704" s="1">
        <v>44.744999999999997</v>
      </c>
      <c r="F704" s="1">
        <v>0</v>
      </c>
      <c r="G704" s="7">
        <f t="shared" si="59"/>
        <v>1</v>
      </c>
      <c r="H704" s="7">
        <f t="shared" si="62"/>
        <v>0</v>
      </c>
      <c r="I704" s="7">
        <f t="shared" si="63"/>
        <v>0</v>
      </c>
      <c r="J704" s="7">
        <f t="shared" si="63"/>
        <v>0</v>
      </c>
      <c r="K704" s="7">
        <f t="shared" si="63"/>
        <v>1</v>
      </c>
      <c r="L704" s="11">
        <v>9541.6955500000004</v>
      </c>
      <c r="M704" s="12" cm="1">
        <f t="array" ref="M704">IF(($R$34+SUMPRODUCT(TRANSPOSE(D704:K704),$R$35:$R$42))&lt;0,"-",$R$34+SUMPRODUCT(TRANSPOSE(D704:K704),$R$35:$R$42))</f>
        <v>16081.490132517225</v>
      </c>
      <c r="N704" s="13">
        <f t="shared" si="60"/>
        <v>3957.2855554821017</v>
      </c>
      <c r="O704" s="13">
        <f t="shared" si="61"/>
        <v>28205.69470955235</v>
      </c>
    </row>
    <row r="705" spans="1:15" x14ac:dyDescent="0.25">
      <c r="A705" s="1" t="s">
        <v>3</v>
      </c>
      <c r="B705" s="1" t="s">
        <v>4</v>
      </c>
      <c r="C705" s="1" t="s">
        <v>5</v>
      </c>
      <c r="D705" s="1">
        <v>53</v>
      </c>
      <c r="E705" s="1">
        <v>41.47</v>
      </c>
      <c r="F705" s="1">
        <v>0</v>
      </c>
      <c r="G705" s="7">
        <f t="shared" si="59"/>
        <v>0</v>
      </c>
      <c r="H705" s="7">
        <f t="shared" si="62"/>
        <v>0</v>
      </c>
      <c r="I705" s="7">
        <f t="shared" si="63"/>
        <v>1</v>
      </c>
      <c r="J705" s="7">
        <f t="shared" si="63"/>
        <v>0</v>
      </c>
      <c r="K705" s="7">
        <f t="shared" si="63"/>
        <v>0</v>
      </c>
      <c r="L705" s="11">
        <v>9504.3102999999992</v>
      </c>
      <c r="M705" s="12" cm="1">
        <f t="array" ref="M705">IF(($R$34+SUMPRODUCT(TRANSPOSE(D705:K705),$R$35:$R$42))&lt;0,"-",$R$34+SUMPRODUCT(TRANSPOSE(D705:K705),$R$35:$R$42))</f>
        <v>14574.864220770844</v>
      </c>
      <c r="N705" s="13">
        <f t="shared" si="60"/>
        <v>2450.6596437357202</v>
      </c>
      <c r="O705" s="13">
        <f t="shared" si="61"/>
        <v>26699.068797805965</v>
      </c>
    </row>
    <row r="706" spans="1:15" x14ac:dyDescent="0.25">
      <c r="A706" s="1" t="s">
        <v>0</v>
      </c>
      <c r="B706" s="1" t="s">
        <v>4</v>
      </c>
      <c r="C706" s="1" t="s">
        <v>6</v>
      </c>
      <c r="D706" s="1">
        <v>34</v>
      </c>
      <c r="E706" s="1">
        <v>26.41</v>
      </c>
      <c r="F706" s="1">
        <v>1</v>
      </c>
      <c r="G706" s="7">
        <f t="shared" si="59"/>
        <v>1</v>
      </c>
      <c r="H706" s="7">
        <f t="shared" si="62"/>
        <v>0</v>
      </c>
      <c r="I706" s="7">
        <f t="shared" si="63"/>
        <v>0</v>
      </c>
      <c r="J706" s="7">
        <f t="shared" si="63"/>
        <v>1</v>
      </c>
      <c r="K706" s="7">
        <f t="shared" si="63"/>
        <v>0</v>
      </c>
      <c r="L706" s="11">
        <v>5385.3379000000004</v>
      </c>
      <c r="M706" s="12" cm="1">
        <f t="array" ref="M706">IF(($R$34+SUMPRODUCT(TRANSPOSE(D706:K706),$R$35:$R$42))&lt;0,"-",$R$34+SUMPRODUCT(TRANSPOSE(D706:K706),$R$35:$R$42))</f>
        <v>5875.2131656894016</v>
      </c>
      <c r="N706" s="13" t="str">
        <f t="shared" si="60"/>
        <v>-</v>
      </c>
      <c r="O706" s="13">
        <f t="shared" si="61"/>
        <v>17999.417742724523</v>
      </c>
    </row>
    <row r="707" spans="1:15" x14ac:dyDescent="0.25">
      <c r="A707" s="1" t="s">
        <v>0</v>
      </c>
      <c r="B707" s="1" t="s">
        <v>4</v>
      </c>
      <c r="C707" s="1" t="s">
        <v>6</v>
      </c>
      <c r="D707" s="1">
        <v>47</v>
      </c>
      <c r="E707" s="1">
        <v>29.545000000000002</v>
      </c>
      <c r="F707" s="1">
        <v>1</v>
      </c>
      <c r="G707" s="7">
        <f t="shared" ref="G707:G770" si="64">IF($A707=G$2,1,0)</f>
        <v>1</v>
      </c>
      <c r="H707" s="7">
        <f t="shared" si="62"/>
        <v>0</v>
      </c>
      <c r="I707" s="7">
        <f t="shared" si="63"/>
        <v>0</v>
      </c>
      <c r="J707" s="7">
        <f t="shared" si="63"/>
        <v>1</v>
      </c>
      <c r="K707" s="7">
        <f t="shared" si="63"/>
        <v>0</v>
      </c>
      <c r="L707" s="11">
        <v>8930.9345499999999</v>
      </c>
      <c r="M707" s="12" cm="1">
        <f t="array" ref="M707">IF(($R$34+SUMPRODUCT(TRANSPOSE(D707:K707),$R$35:$R$42))&lt;0,"-",$R$34+SUMPRODUCT(TRANSPOSE(D707:K707),$R$35:$R$42))</f>
        <v>10277.717225744909</v>
      </c>
      <c r="N707" s="13" t="str">
        <f t="shared" ref="N707:N770" si="65">IFERROR(IF($M707-(2*$R$24)&lt;0,"-",($M707-(2*$R$24))),"-")</f>
        <v>-</v>
      </c>
      <c r="O707" s="13">
        <f t="shared" ref="O707:O770" si="66">IFERROR(IF($L707+(2*$R$24)&lt;0,"-",($M707+(2*$R$24))),"-")</f>
        <v>22401.921802780031</v>
      </c>
    </row>
    <row r="708" spans="1:15" x14ac:dyDescent="0.25">
      <c r="A708" s="1" t="s">
        <v>0</v>
      </c>
      <c r="B708" s="1" t="s">
        <v>4</v>
      </c>
      <c r="C708" s="1" t="s">
        <v>2</v>
      </c>
      <c r="D708" s="1">
        <v>33</v>
      </c>
      <c r="E708" s="1">
        <v>32.9</v>
      </c>
      <c r="F708" s="1">
        <v>2</v>
      </c>
      <c r="G708" s="7">
        <f t="shared" si="64"/>
        <v>1</v>
      </c>
      <c r="H708" s="7">
        <f t="shared" ref="H708:H771" si="67">IF(B708="yes",1,0)</f>
        <v>0</v>
      </c>
      <c r="I708" s="7">
        <f t="shared" ref="I708:K771" si="68">IF($C708=I$2,1,0)</f>
        <v>0</v>
      </c>
      <c r="J708" s="7">
        <f t="shared" si="68"/>
        <v>0</v>
      </c>
      <c r="K708" s="7">
        <f t="shared" si="68"/>
        <v>0</v>
      </c>
      <c r="L708" s="11">
        <v>5375.0379999999996</v>
      </c>
      <c r="M708" s="12" cm="1">
        <f t="array" ref="M708">IF(($R$34+SUMPRODUCT(TRANSPOSE(D708:K708),$R$35:$R$42))&lt;0,"-",$R$34+SUMPRODUCT(TRANSPOSE(D708:K708),$R$35:$R$42))</f>
        <v>7688.1357803593455</v>
      </c>
      <c r="N708" s="13" t="str">
        <f t="shared" si="65"/>
        <v>-</v>
      </c>
      <c r="O708" s="13">
        <f t="shared" si="66"/>
        <v>19812.340357394467</v>
      </c>
    </row>
    <row r="709" spans="1:15" x14ac:dyDescent="0.25">
      <c r="A709" s="1" t="s">
        <v>0</v>
      </c>
      <c r="B709" s="1" t="s">
        <v>1</v>
      </c>
      <c r="C709" s="1" t="s">
        <v>5</v>
      </c>
      <c r="D709" s="1">
        <v>51</v>
      </c>
      <c r="E709" s="1">
        <v>38.06</v>
      </c>
      <c r="F709" s="1">
        <v>0</v>
      </c>
      <c r="G709" s="7">
        <f t="shared" si="64"/>
        <v>1</v>
      </c>
      <c r="H709" s="7">
        <f t="shared" si="67"/>
        <v>1</v>
      </c>
      <c r="I709" s="7">
        <f t="shared" si="68"/>
        <v>1</v>
      </c>
      <c r="J709" s="7">
        <f t="shared" si="68"/>
        <v>0</v>
      </c>
      <c r="K709" s="7">
        <f t="shared" si="68"/>
        <v>0</v>
      </c>
      <c r="L709" s="11">
        <v>44400.4064</v>
      </c>
      <c r="M709" s="12" cm="1">
        <f t="array" ref="M709">IF(($R$34+SUMPRODUCT(TRANSPOSE(D709:K709),$R$35:$R$42))&lt;0,"-",$R$34+SUMPRODUCT(TRANSPOSE(D709:K709),$R$35:$R$42))</f>
        <v>36884.35074019109</v>
      </c>
      <c r="N709" s="13">
        <f t="shared" si="65"/>
        <v>24760.146163155965</v>
      </c>
      <c r="O709" s="13">
        <f t="shared" si="66"/>
        <v>49008.555317226215</v>
      </c>
    </row>
    <row r="710" spans="1:15" x14ac:dyDescent="0.25">
      <c r="A710" s="1" t="s">
        <v>3</v>
      </c>
      <c r="B710" s="1" t="s">
        <v>4</v>
      </c>
      <c r="C710" s="1" t="s">
        <v>6</v>
      </c>
      <c r="D710" s="1">
        <v>49</v>
      </c>
      <c r="E710" s="1">
        <v>28.69</v>
      </c>
      <c r="F710" s="1">
        <v>3</v>
      </c>
      <c r="G710" s="7">
        <f t="shared" si="64"/>
        <v>0</v>
      </c>
      <c r="H710" s="7">
        <f t="shared" si="67"/>
        <v>0</v>
      </c>
      <c r="I710" s="7">
        <f t="shared" si="68"/>
        <v>0</v>
      </c>
      <c r="J710" s="7">
        <f t="shared" si="68"/>
        <v>1</v>
      </c>
      <c r="K710" s="7">
        <f t="shared" si="68"/>
        <v>0</v>
      </c>
      <c r="L710" s="11">
        <v>10264.4421</v>
      </c>
      <c r="M710" s="12" cm="1">
        <f t="array" ref="M710">IF(($R$34+SUMPRODUCT(TRANSPOSE(D710:K710),$R$35:$R$42))&lt;0,"-",$R$34+SUMPRODUCT(TRANSPOSE(D710:K710),$R$35:$R$42))</f>
        <v>11321.106258885495</v>
      </c>
      <c r="N710" s="13" t="str">
        <f t="shared" si="65"/>
        <v>-</v>
      </c>
      <c r="O710" s="13">
        <f t="shared" si="66"/>
        <v>23445.310835920616</v>
      </c>
    </row>
    <row r="711" spans="1:15" x14ac:dyDescent="0.25">
      <c r="A711" s="1" t="s">
        <v>0</v>
      </c>
      <c r="B711" s="1" t="s">
        <v>4</v>
      </c>
      <c r="C711" s="1" t="s">
        <v>7</v>
      </c>
      <c r="D711" s="1">
        <v>31</v>
      </c>
      <c r="E711" s="1">
        <v>30.495000000000001</v>
      </c>
      <c r="F711" s="1">
        <v>3</v>
      </c>
      <c r="G711" s="7">
        <f t="shared" si="64"/>
        <v>1</v>
      </c>
      <c r="H711" s="7">
        <f t="shared" si="67"/>
        <v>0</v>
      </c>
      <c r="I711" s="7">
        <f t="shared" si="68"/>
        <v>0</v>
      </c>
      <c r="J711" s="7">
        <f t="shared" si="68"/>
        <v>0</v>
      </c>
      <c r="K711" s="7">
        <f t="shared" si="68"/>
        <v>1</v>
      </c>
      <c r="L711" s="11">
        <v>6113.2310500000003</v>
      </c>
      <c r="M711" s="12" cm="1">
        <f t="array" ref="M711">IF(($R$34+SUMPRODUCT(TRANSPOSE(D711:K711),$R$35:$R$42))&lt;0,"-",$R$34+SUMPRODUCT(TRANSPOSE(D711:K711),$R$35:$R$42))</f>
        <v>7794.2143558005446</v>
      </c>
      <c r="N711" s="13" t="str">
        <f t="shared" si="65"/>
        <v>-</v>
      </c>
      <c r="O711" s="13">
        <f t="shared" si="66"/>
        <v>19918.418932835666</v>
      </c>
    </row>
    <row r="712" spans="1:15" x14ac:dyDescent="0.25">
      <c r="A712" s="1" t="s">
        <v>0</v>
      </c>
      <c r="B712" s="1" t="s">
        <v>4</v>
      </c>
      <c r="C712" s="1" t="s">
        <v>7</v>
      </c>
      <c r="D712" s="1">
        <v>36</v>
      </c>
      <c r="E712" s="1">
        <v>27.74</v>
      </c>
      <c r="F712" s="1">
        <v>0</v>
      </c>
      <c r="G712" s="7">
        <f t="shared" si="64"/>
        <v>1</v>
      </c>
      <c r="H712" s="7">
        <f t="shared" si="67"/>
        <v>0</v>
      </c>
      <c r="I712" s="7">
        <f t="shared" si="68"/>
        <v>0</v>
      </c>
      <c r="J712" s="7">
        <f t="shared" si="68"/>
        <v>0</v>
      </c>
      <c r="K712" s="7">
        <f t="shared" si="68"/>
        <v>1</v>
      </c>
      <c r="L712" s="11">
        <v>5469.0065999999997</v>
      </c>
      <c r="M712" s="12" cm="1">
        <f t="array" ref="M712">IF(($R$34+SUMPRODUCT(TRANSPOSE(D712:K712),$R$35:$R$42))&lt;0,"-",$R$34+SUMPRODUCT(TRANSPOSE(D712:K712),$R$35:$R$42))</f>
        <v>6717.5165183420213</v>
      </c>
      <c r="N712" s="13" t="str">
        <f t="shared" si="65"/>
        <v>-</v>
      </c>
      <c r="O712" s="13">
        <f t="shared" si="66"/>
        <v>18841.721095377143</v>
      </c>
    </row>
    <row r="713" spans="1:15" x14ac:dyDescent="0.25">
      <c r="A713" s="1" t="s">
        <v>3</v>
      </c>
      <c r="B713" s="1" t="s">
        <v>4</v>
      </c>
      <c r="C713" s="1" t="s">
        <v>5</v>
      </c>
      <c r="D713" s="1">
        <v>18</v>
      </c>
      <c r="E713" s="1">
        <v>35.200000000000003</v>
      </c>
      <c r="F713" s="1">
        <v>1</v>
      </c>
      <c r="G713" s="7">
        <f t="shared" si="64"/>
        <v>0</v>
      </c>
      <c r="H713" s="7">
        <f t="shared" si="67"/>
        <v>0</v>
      </c>
      <c r="I713" s="7">
        <f t="shared" si="68"/>
        <v>1</v>
      </c>
      <c r="J713" s="7">
        <f t="shared" si="68"/>
        <v>0</v>
      </c>
      <c r="K713" s="7">
        <f t="shared" si="68"/>
        <v>0</v>
      </c>
      <c r="L713" s="11">
        <v>1727.54</v>
      </c>
      <c r="M713" s="12" cm="1">
        <f t="array" ref="M713">IF(($R$34+SUMPRODUCT(TRANSPOSE(D713:K713),$R$35:$R$42))&lt;0,"-",$R$34+SUMPRODUCT(TRANSPOSE(D713:K713),$R$35:$R$42))</f>
        <v>3933.6494729728329</v>
      </c>
      <c r="N713" s="13" t="str">
        <f t="shared" si="65"/>
        <v>-</v>
      </c>
      <c r="O713" s="13">
        <f t="shared" si="66"/>
        <v>16057.854050007956</v>
      </c>
    </row>
    <row r="714" spans="1:15" x14ac:dyDescent="0.25">
      <c r="A714" s="1" t="s">
        <v>0</v>
      </c>
      <c r="B714" s="1" t="s">
        <v>4</v>
      </c>
      <c r="C714" s="1" t="s">
        <v>5</v>
      </c>
      <c r="D714" s="1">
        <v>50</v>
      </c>
      <c r="E714" s="1">
        <v>23.54</v>
      </c>
      <c r="F714" s="1">
        <v>2</v>
      </c>
      <c r="G714" s="7">
        <f t="shared" si="64"/>
        <v>1</v>
      </c>
      <c r="H714" s="7">
        <f t="shared" si="67"/>
        <v>0</v>
      </c>
      <c r="I714" s="7">
        <f t="shared" si="68"/>
        <v>1</v>
      </c>
      <c r="J714" s="7">
        <f t="shared" si="68"/>
        <v>0</v>
      </c>
      <c r="K714" s="7">
        <f t="shared" si="68"/>
        <v>0</v>
      </c>
      <c r="L714" s="11">
        <v>10107.220600000001</v>
      </c>
      <c r="M714" s="12" cm="1">
        <f t="array" ref="M714">IF(($R$34+SUMPRODUCT(TRANSPOSE(D714:K714),$R$35:$R$42))&lt;0,"-",$R$34+SUMPRODUCT(TRANSPOSE(D714:K714),$R$35:$R$42))</f>
        <v>8804.8719896098119</v>
      </c>
      <c r="N714" s="13" t="str">
        <f t="shared" si="65"/>
        <v>-</v>
      </c>
      <c r="O714" s="13">
        <f t="shared" si="66"/>
        <v>20929.076566644937</v>
      </c>
    </row>
    <row r="715" spans="1:15" x14ac:dyDescent="0.25">
      <c r="A715" s="1" t="s">
        <v>0</v>
      </c>
      <c r="B715" s="1" t="s">
        <v>4</v>
      </c>
      <c r="C715" s="1" t="s">
        <v>6</v>
      </c>
      <c r="D715" s="1">
        <v>43</v>
      </c>
      <c r="E715" s="1">
        <v>30.684999999999999</v>
      </c>
      <c r="F715" s="1">
        <v>2</v>
      </c>
      <c r="G715" s="7">
        <f t="shared" si="64"/>
        <v>1</v>
      </c>
      <c r="H715" s="7">
        <f t="shared" si="67"/>
        <v>0</v>
      </c>
      <c r="I715" s="7">
        <f t="shared" si="68"/>
        <v>0</v>
      </c>
      <c r="J715" s="7">
        <f t="shared" si="68"/>
        <v>1</v>
      </c>
      <c r="K715" s="7">
        <f t="shared" si="68"/>
        <v>0</v>
      </c>
      <c r="L715" s="11">
        <v>8310.8391499999998</v>
      </c>
      <c r="M715" s="12" cm="1">
        <f t="array" ref="M715">IF(($R$34+SUMPRODUCT(TRANSPOSE(D715:K715),$R$35:$R$42))&lt;0,"-",$R$34+SUMPRODUCT(TRANSPOSE(D715:K715),$R$35:$R$42))</f>
        <v>10112.472897861004</v>
      </c>
      <c r="N715" s="13" t="str">
        <f t="shared" si="65"/>
        <v>-</v>
      </c>
      <c r="O715" s="13">
        <f t="shared" si="66"/>
        <v>22236.677474896125</v>
      </c>
    </row>
    <row r="716" spans="1:15" x14ac:dyDescent="0.25">
      <c r="A716" s="1" t="s">
        <v>3</v>
      </c>
      <c r="B716" s="1" t="s">
        <v>4</v>
      </c>
      <c r="C716" s="1" t="s">
        <v>7</v>
      </c>
      <c r="D716" s="1">
        <v>20</v>
      </c>
      <c r="E716" s="1">
        <v>40.47</v>
      </c>
      <c r="F716" s="1">
        <v>0</v>
      </c>
      <c r="G716" s="7">
        <f t="shared" si="64"/>
        <v>0</v>
      </c>
      <c r="H716" s="7">
        <f t="shared" si="67"/>
        <v>0</v>
      </c>
      <c r="I716" s="7">
        <f t="shared" si="68"/>
        <v>0</v>
      </c>
      <c r="J716" s="7">
        <f t="shared" si="68"/>
        <v>0</v>
      </c>
      <c r="K716" s="7">
        <f t="shared" si="68"/>
        <v>1</v>
      </c>
      <c r="L716" s="11">
        <v>1984.4532999999999</v>
      </c>
      <c r="M716" s="12" cm="1">
        <f t="array" ref="M716">IF(($R$34+SUMPRODUCT(TRANSPOSE(D716:K716),$R$35:$R$42))&lt;0,"-",$R$34+SUMPRODUCT(TRANSPOSE(D716:K716),$R$35:$R$42))</f>
        <v>6794.4331828153408</v>
      </c>
      <c r="N716" s="13" t="str">
        <f t="shared" si="65"/>
        <v>-</v>
      </c>
      <c r="O716" s="13">
        <f t="shared" si="66"/>
        <v>18918.637759850462</v>
      </c>
    </row>
    <row r="717" spans="1:15" x14ac:dyDescent="0.25">
      <c r="A717" s="1" t="s">
        <v>0</v>
      </c>
      <c r="B717" s="1" t="s">
        <v>4</v>
      </c>
      <c r="C717" s="1" t="s">
        <v>2</v>
      </c>
      <c r="D717" s="1">
        <v>24</v>
      </c>
      <c r="E717" s="1">
        <v>22.6</v>
      </c>
      <c r="F717" s="1">
        <v>0</v>
      </c>
      <c r="G717" s="7">
        <f t="shared" si="64"/>
        <v>1</v>
      </c>
      <c r="H717" s="7">
        <f t="shared" si="67"/>
        <v>0</v>
      </c>
      <c r="I717" s="7">
        <f t="shared" si="68"/>
        <v>0</v>
      </c>
      <c r="J717" s="7">
        <f t="shared" si="68"/>
        <v>0</v>
      </c>
      <c r="K717" s="7">
        <f t="shared" si="68"/>
        <v>0</v>
      </c>
      <c r="L717" s="11">
        <v>2457.502</v>
      </c>
      <c r="M717" s="12" cm="1">
        <f t="array" ref="M717">IF(($R$34+SUMPRODUCT(TRANSPOSE(D717:K717),$R$35:$R$42))&lt;0,"-",$R$34+SUMPRODUCT(TRANSPOSE(D717:K717),$R$35:$R$42))</f>
        <v>931.73494503329857</v>
      </c>
      <c r="N717" s="13" t="str">
        <f t="shared" si="65"/>
        <v>-</v>
      </c>
      <c r="O717" s="13">
        <f t="shared" si="66"/>
        <v>13055.939522068422</v>
      </c>
    </row>
    <row r="718" spans="1:15" x14ac:dyDescent="0.25">
      <c r="A718" s="1" t="s">
        <v>3</v>
      </c>
      <c r="B718" s="1" t="s">
        <v>4</v>
      </c>
      <c r="C718" s="1" t="s">
        <v>2</v>
      </c>
      <c r="D718" s="1">
        <v>60</v>
      </c>
      <c r="E718" s="1">
        <v>28.9</v>
      </c>
      <c r="F718" s="1">
        <v>0</v>
      </c>
      <c r="G718" s="7">
        <f t="shared" si="64"/>
        <v>0</v>
      </c>
      <c r="H718" s="7">
        <f t="shared" si="67"/>
        <v>0</v>
      </c>
      <c r="I718" s="7">
        <f t="shared" si="68"/>
        <v>0</v>
      </c>
      <c r="J718" s="7">
        <f t="shared" si="68"/>
        <v>0</v>
      </c>
      <c r="K718" s="7">
        <f t="shared" si="68"/>
        <v>0</v>
      </c>
      <c r="L718" s="11">
        <v>12146.971</v>
      </c>
      <c r="M718" s="12" cm="1">
        <f t="array" ref="M718">IF(($R$34+SUMPRODUCT(TRANSPOSE(D718:K718),$R$35:$R$42))&lt;0,"-",$R$34+SUMPRODUCT(TRANSPOSE(D718:K718),$R$35:$R$42))</f>
        <v>12184.16803473101</v>
      </c>
      <c r="N718" s="13">
        <f t="shared" si="65"/>
        <v>59.963457695886973</v>
      </c>
      <c r="O718" s="13">
        <f t="shared" si="66"/>
        <v>24308.372611766135</v>
      </c>
    </row>
    <row r="719" spans="1:15" x14ac:dyDescent="0.25">
      <c r="A719" s="1" t="s">
        <v>0</v>
      </c>
      <c r="B719" s="1" t="s">
        <v>4</v>
      </c>
      <c r="C719" s="1" t="s">
        <v>6</v>
      </c>
      <c r="D719" s="1">
        <v>49</v>
      </c>
      <c r="E719" s="1">
        <v>22.61</v>
      </c>
      <c r="F719" s="1">
        <v>1</v>
      </c>
      <c r="G719" s="7">
        <f t="shared" si="64"/>
        <v>1</v>
      </c>
      <c r="H719" s="7">
        <f t="shared" si="67"/>
        <v>0</v>
      </c>
      <c r="I719" s="7">
        <f t="shared" si="68"/>
        <v>0</v>
      </c>
      <c r="J719" s="7">
        <f t="shared" si="68"/>
        <v>1</v>
      </c>
      <c r="K719" s="7">
        <f t="shared" si="68"/>
        <v>0</v>
      </c>
      <c r="L719" s="11">
        <v>9566.9909000000007</v>
      </c>
      <c r="M719" s="12" cm="1">
        <f t="array" ref="M719">IF(($R$34+SUMPRODUCT(TRANSPOSE(D719:K719),$R$35:$R$42))&lt;0,"-",$R$34+SUMPRODUCT(TRANSPOSE(D719:K719),$R$35:$R$42))</f>
        <v>8439.1233300284257</v>
      </c>
      <c r="N719" s="13" t="str">
        <f t="shared" si="65"/>
        <v>-</v>
      </c>
      <c r="O719" s="13">
        <f t="shared" si="66"/>
        <v>20563.327907063547</v>
      </c>
    </row>
    <row r="720" spans="1:15" x14ac:dyDescent="0.25">
      <c r="A720" s="1" t="s">
        <v>3</v>
      </c>
      <c r="B720" s="1" t="s">
        <v>4</v>
      </c>
      <c r="C720" s="1" t="s">
        <v>6</v>
      </c>
      <c r="D720" s="1">
        <v>60</v>
      </c>
      <c r="E720" s="1">
        <v>24.32</v>
      </c>
      <c r="F720" s="1">
        <v>1</v>
      </c>
      <c r="G720" s="7">
        <f t="shared" si="64"/>
        <v>0</v>
      </c>
      <c r="H720" s="7">
        <f t="shared" si="67"/>
        <v>0</v>
      </c>
      <c r="I720" s="7">
        <f t="shared" si="68"/>
        <v>0</v>
      </c>
      <c r="J720" s="7">
        <f t="shared" si="68"/>
        <v>1</v>
      </c>
      <c r="K720" s="7">
        <f t="shared" si="68"/>
        <v>0</v>
      </c>
      <c r="L720" s="11">
        <v>13112.604799999999</v>
      </c>
      <c r="M720" s="12" cm="1">
        <f t="array" ref="M720">IF(($R$34+SUMPRODUCT(TRANSPOSE(D720:K720),$R$35:$R$42))&lt;0,"-",$R$34+SUMPRODUCT(TRANSPOSE(D720:K720),$R$35:$R$42))</f>
        <v>11713.249654218685</v>
      </c>
      <c r="N720" s="13" t="str">
        <f t="shared" si="65"/>
        <v>-</v>
      </c>
      <c r="O720" s="13">
        <f t="shared" si="66"/>
        <v>23837.454231253811</v>
      </c>
    </row>
    <row r="721" spans="1:15" x14ac:dyDescent="0.25">
      <c r="A721" s="1" t="s">
        <v>0</v>
      </c>
      <c r="B721" s="1" t="s">
        <v>4</v>
      </c>
      <c r="C721" s="1" t="s">
        <v>6</v>
      </c>
      <c r="D721" s="1">
        <v>51</v>
      </c>
      <c r="E721" s="1">
        <v>36.67</v>
      </c>
      <c r="F721" s="1">
        <v>2</v>
      </c>
      <c r="G721" s="7">
        <f t="shared" si="64"/>
        <v>1</v>
      </c>
      <c r="H721" s="7">
        <f t="shared" si="67"/>
        <v>0</v>
      </c>
      <c r="I721" s="7">
        <f t="shared" si="68"/>
        <v>0</v>
      </c>
      <c r="J721" s="7">
        <f t="shared" si="68"/>
        <v>1</v>
      </c>
      <c r="K721" s="7">
        <f t="shared" si="68"/>
        <v>0</v>
      </c>
      <c r="L721" s="11">
        <v>10848.1343</v>
      </c>
      <c r="M721" s="12" cm="1">
        <f t="array" ref="M721">IF(($R$34+SUMPRODUCT(TRANSPOSE(D721:K721),$R$35:$R$42))&lt;0,"-",$R$34+SUMPRODUCT(TRANSPOSE(D721:K721),$R$35:$R$42))</f>
        <v>14197.396538020668</v>
      </c>
      <c r="N721" s="13">
        <f t="shared" si="65"/>
        <v>2073.1919609855449</v>
      </c>
      <c r="O721" s="13">
        <f t="shared" si="66"/>
        <v>26321.60111505579</v>
      </c>
    </row>
    <row r="722" spans="1:15" x14ac:dyDescent="0.25">
      <c r="A722" s="1" t="s">
        <v>0</v>
      </c>
      <c r="B722" s="1" t="s">
        <v>4</v>
      </c>
      <c r="C722" s="1" t="s">
        <v>6</v>
      </c>
      <c r="D722" s="1">
        <v>58</v>
      </c>
      <c r="E722" s="1">
        <v>33.44</v>
      </c>
      <c r="F722" s="1">
        <v>0</v>
      </c>
      <c r="G722" s="7">
        <f t="shared" si="64"/>
        <v>1</v>
      </c>
      <c r="H722" s="7">
        <f t="shared" si="67"/>
        <v>0</v>
      </c>
      <c r="I722" s="7">
        <f t="shared" si="68"/>
        <v>0</v>
      </c>
      <c r="J722" s="7">
        <f t="shared" si="68"/>
        <v>1</v>
      </c>
      <c r="K722" s="7">
        <f t="shared" si="68"/>
        <v>0</v>
      </c>
      <c r="L722" s="11">
        <v>12231.613600000001</v>
      </c>
      <c r="M722" s="12" cm="1">
        <f t="array" ref="M722">IF(($R$34+SUMPRODUCT(TRANSPOSE(D722:K722),$R$35:$R$42))&lt;0,"-",$R$34+SUMPRODUCT(TRANSPOSE(D722:K722),$R$35:$R$42))</f>
        <v>13948.795060320823</v>
      </c>
      <c r="N722" s="13">
        <f t="shared" si="65"/>
        <v>1824.5904832856995</v>
      </c>
      <c r="O722" s="13">
        <f t="shared" si="66"/>
        <v>26072.999637355948</v>
      </c>
    </row>
    <row r="723" spans="1:15" x14ac:dyDescent="0.25">
      <c r="A723" s="1" t="s">
        <v>0</v>
      </c>
      <c r="B723" s="1" t="s">
        <v>4</v>
      </c>
      <c r="C723" s="1" t="s">
        <v>7</v>
      </c>
      <c r="D723" s="1">
        <v>51</v>
      </c>
      <c r="E723" s="1">
        <v>40.659999999999997</v>
      </c>
      <c r="F723" s="1">
        <v>0</v>
      </c>
      <c r="G723" s="7">
        <f t="shared" si="64"/>
        <v>1</v>
      </c>
      <c r="H723" s="7">
        <f t="shared" si="67"/>
        <v>0</v>
      </c>
      <c r="I723" s="7">
        <f t="shared" si="68"/>
        <v>0</v>
      </c>
      <c r="J723" s="7">
        <f t="shared" si="68"/>
        <v>0</v>
      </c>
      <c r="K723" s="7">
        <f t="shared" si="68"/>
        <v>1</v>
      </c>
      <c r="L723" s="11">
        <v>9875.6803999999993</v>
      </c>
      <c r="M723" s="12" cm="1">
        <f t="array" ref="M723">IF(($R$34+SUMPRODUCT(TRANSPOSE(D723:K723),$R$35:$R$42))&lt;0,"-",$R$34+SUMPRODUCT(TRANSPOSE(D723:K723),$R$35:$R$42))</f>
        <v>14952.741227054292</v>
      </c>
      <c r="N723" s="13">
        <f t="shared" si="65"/>
        <v>2828.5366500191685</v>
      </c>
      <c r="O723" s="13">
        <f t="shared" si="66"/>
        <v>27076.945804089417</v>
      </c>
    </row>
    <row r="724" spans="1:15" x14ac:dyDescent="0.25">
      <c r="A724" s="1" t="s">
        <v>3</v>
      </c>
      <c r="B724" s="1" t="s">
        <v>4</v>
      </c>
      <c r="C724" s="1" t="s">
        <v>2</v>
      </c>
      <c r="D724" s="1">
        <v>53</v>
      </c>
      <c r="E724" s="1">
        <v>36.6</v>
      </c>
      <c r="F724" s="1">
        <v>3</v>
      </c>
      <c r="G724" s="7">
        <f t="shared" si="64"/>
        <v>0</v>
      </c>
      <c r="H724" s="7">
        <f t="shared" si="67"/>
        <v>0</v>
      </c>
      <c r="I724" s="7">
        <f t="shared" si="68"/>
        <v>0</v>
      </c>
      <c r="J724" s="7">
        <f t="shared" si="68"/>
        <v>0</v>
      </c>
      <c r="K724" s="7">
        <f t="shared" si="68"/>
        <v>0</v>
      </c>
      <c r="L724" s="11">
        <v>11264.540999999999</v>
      </c>
      <c r="M724" s="12" cm="1">
        <f t="array" ref="M724">IF(($R$34+SUMPRODUCT(TRANSPOSE(D724:K724),$R$35:$R$42))&lt;0,"-",$R$34+SUMPRODUCT(TRANSPOSE(D724:K724),$R$35:$R$42))</f>
        <v>14424.46479522044</v>
      </c>
      <c r="N724" s="13">
        <f t="shared" si="65"/>
        <v>2300.2602181853163</v>
      </c>
      <c r="O724" s="13">
        <f t="shared" si="66"/>
        <v>26548.669372255565</v>
      </c>
    </row>
    <row r="725" spans="1:15" x14ac:dyDescent="0.25">
      <c r="A725" s="1" t="s">
        <v>3</v>
      </c>
      <c r="B725" s="1" t="s">
        <v>4</v>
      </c>
      <c r="C725" s="1" t="s">
        <v>2</v>
      </c>
      <c r="D725" s="1">
        <v>62</v>
      </c>
      <c r="E725" s="1">
        <v>37.4</v>
      </c>
      <c r="F725" s="1">
        <v>0</v>
      </c>
      <c r="G725" s="7">
        <f t="shared" si="64"/>
        <v>0</v>
      </c>
      <c r="H725" s="7">
        <f t="shared" si="67"/>
        <v>0</v>
      </c>
      <c r="I725" s="7">
        <f t="shared" si="68"/>
        <v>0</v>
      </c>
      <c r="J725" s="7">
        <f t="shared" si="68"/>
        <v>0</v>
      </c>
      <c r="K725" s="7">
        <f t="shared" si="68"/>
        <v>0</v>
      </c>
      <c r="L725" s="11">
        <v>12979.358</v>
      </c>
      <c r="M725" s="12" cm="1">
        <f t="array" ref="M725">IF(($R$34+SUMPRODUCT(TRANSPOSE(D725:K725),$R$35:$R$42))&lt;0,"-",$R$34+SUMPRODUCT(TRANSPOSE(D725:K725),$R$35:$R$42))</f>
        <v>15581.025095497844</v>
      </c>
      <c r="N725" s="13">
        <f t="shared" si="65"/>
        <v>3456.8205184627204</v>
      </c>
      <c r="O725" s="13">
        <f t="shared" si="66"/>
        <v>27705.229672532965</v>
      </c>
    </row>
    <row r="726" spans="1:15" x14ac:dyDescent="0.25">
      <c r="A726" s="1" t="s">
        <v>3</v>
      </c>
      <c r="B726" s="1" t="s">
        <v>4</v>
      </c>
      <c r="C726" s="1" t="s">
        <v>2</v>
      </c>
      <c r="D726" s="1">
        <v>19</v>
      </c>
      <c r="E726" s="1">
        <v>35.4</v>
      </c>
      <c r="F726" s="1">
        <v>0</v>
      </c>
      <c r="G726" s="7">
        <f t="shared" si="64"/>
        <v>0</v>
      </c>
      <c r="H726" s="7">
        <f t="shared" si="67"/>
        <v>0</v>
      </c>
      <c r="I726" s="7">
        <f t="shared" si="68"/>
        <v>0</v>
      </c>
      <c r="J726" s="7">
        <f t="shared" si="68"/>
        <v>0</v>
      </c>
      <c r="K726" s="7">
        <f t="shared" si="68"/>
        <v>0</v>
      </c>
      <c r="L726" s="11">
        <v>1263.249</v>
      </c>
      <c r="M726" s="12" cm="1">
        <f t="array" ref="M726">IF(($R$34+SUMPRODUCT(TRANSPOSE(D726:K726),$R$35:$R$42))&lt;0,"-",$R$34+SUMPRODUCT(TRANSPOSE(D726:K726),$R$35:$R$42))</f>
        <v>3857.8150291702041</v>
      </c>
      <c r="N726" s="13" t="str">
        <f t="shared" si="65"/>
        <v>-</v>
      </c>
      <c r="O726" s="13">
        <f t="shared" si="66"/>
        <v>15982.019606205327</v>
      </c>
    </row>
    <row r="727" spans="1:15" x14ac:dyDescent="0.25">
      <c r="A727" s="1" t="s">
        <v>0</v>
      </c>
      <c r="B727" s="1" t="s">
        <v>4</v>
      </c>
      <c r="C727" s="1" t="s">
        <v>7</v>
      </c>
      <c r="D727" s="1">
        <v>50</v>
      </c>
      <c r="E727" s="1">
        <v>27.074999999999999</v>
      </c>
      <c r="F727" s="1">
        <v>1</v>
      </c>
      <c r="G727" s="7">
        <f t="shared" si="64"/>
        <v>1</v>
      </c>
      <c r="H727" s="7">
        <f t="shared" si="67"/>
        <v>0</v>
      </c>
      <c r="I727" s="7">
        <f t="shared" si="68"/>
        <v>0</v>
      </c>
      <c r="J727" s="7">
        <f t="shared" si="68"/>
        <v>0</v>
      </c>
      <c r="K727" s="7">
        <f t="shared" si="68"/>
        <v>1</v>
      </c>
      <c r="L727" s="11">
        <v>10106.134249999999</v>
      </c>
      <c r="M727" s="12" cm="1">
        <f t="array" ref="M727">IF(($R$34+SUMPRODUCT(TRANSPOSE(D727:K727),$R$35:$R$42))&lt;0,"-",$R$34+SUMPRODUCT(TRANSPOSE(D727:K727),$R$35:$R$42))</f>
        <v>10563.442352362817</v>
      </c>
      <c r="N727" s="13" t="str">
        <f t="shared" si="65"/>
        <v>-</v>
      </c>
      <c r="O727" s="13">
        <f t="shared" si="66"/>
        <v>22687.646929397939</v>
      </c>
    </row>
    <row r="728" spans="1:15" x14ac:dyDescent="0.25">
      <c r="A728" s="1" t="s">
        <v>0</v>
      </c>
      <c r="B728" s="1" t="s">
        <v>1</v>
      </c>
      <c r="C728" s="1" t="s">
        <v>5</v>
      </c>
      <c r="D728" s="1">
        <v>30</v>
      </c>
      <c r="E728" s="1">
        <v>39.049999999999997</v>
      </c>
      <c r="F728" s="1">
        <v>3</v>
      </c>
      <c r="G728" s="7">
        <f t="shared" si="64"/>
        <v>1</v>
      </c>
      <c r="H728" s="7">
        <f t="shared" si="67"/>
        <v>1</v>
      </c>
      <c r="I728" s="7">
        <f t="shared" si="68"/>
        <v>1</v>
      </c>
      <c r="J728" s="7">
        <f t="shared" si="68"/>
        <v>0</v>
      </c>
      <c r="K728" s="7">
        <f t="shared" si="68"/>
        <v>0</v>
      </c>
      <c r="L728" s="11">
        <v>40932.429499999998</v>
      </c>
      <c r="M728" s="12" cm="1">
        <f t="array" ref="M728">IF(($R$34+SUMPRODUCT(TRANSPOSE(D728:K728),$R$35:$R$42))&lt;0,"-",$R$34+SUMPRODUCT(TRANSPOSE(D728:K728),$R$35:$R$42))</f>
        <v>33252.670491428908</v>
      </c>
      <c r="N728" s="13">
        <f t="shared" si="65"/>
        <v>21128.465914393782</v>
      </c>
      <c r="O728" s="13">
        <f t="shared" si="66"/>
        <v>45376.875068464033</v>
      </c>
    </row>
    <row r="729" spans="1:15" x14ac:dyDescent="0.25">
      <c r="A729" s="1" t="s">
        <v>3</v>
      </c>
      <c r="B729" s="1" t="s">
        <v>4</v>
      </c>
      <c r="C729" s="1" t="s">
        <v>6</v>
      </c>
      <c r="D729" s="1">
        <v>41</v>
      </c>
      <c r="E729" s="1">
        <v>28.405000000000001</v>
      </c>
      <c r="F729" s="1">
        <v>1</v>
      </c>
      <c r="G729" s="7">
        <f t="shared" si="64"/>
        <v>0</v>
      </c>
      <c r="H729" s="7">
        <f t="shared" si="67"/>
        <v>0</v>
      </c>
      <c r="I729" s="7">
        <f t="shared" si="68"/>
        <v>0</v>
      </c>
      <c r="J729" s="7">
        <f t="shared" si="68"/>
        <v>1</v>
      </c>
      <c r="K729" s="7">
        <f t="shared" si="68"/>
        <v>0</v>
      </c>
      <c r="L729" s="11">
        <v>6664.68595</v>
      </c>
      <c r="M729" s="12" cm="1">
        <f t="array" ref="M729">IF(($R$34+SUMPRODUCT(TRANSPOSE(D729:K729),$R$35:$R$42))&lt;0,"-",$R$34+SUMPRODUCT(TRANSPOSE(D729:K729),$R$35:$R$42))</f>
        <v>8218.5842140093591</v>
      </c>
      <c r="N729" s="13" t="str">
        <f t="shared" si="65"/>
        <v>-</v>
      </c>
      <c r="O729" s="13">
        <f t="shared" si="66"/>
        <v>20342.788791044484</v>
      </c>
    </row>
    <row r="730" spans="1:15" x14ac:dyDescent="0.25">
      <c r="A730" s="1" t="s">
        <v>0</v>
      </c>
      <c r="B730" s="1" t="s">
        <v>1</v>
      </c>
      <c r="C730" s="1" t="s">
        <v>7</v>
      </c>
      <c r="D730" s="1">
        <v>29</v>
      </c>
      <c r="E730" s="1">
        <v>21.754999999999999</v>
      </c>
      <c r="F730" s="1">
        <v>1</v>
      </c>
      <c r="G730" s="7">
        <f t="shared" si="64"/>
        <v>1</v>
      </c>
      <c r="H730" s="7">
        <f t="shared" si="67"/>
        <v>1</v>
      </c>
      <c r="I730" s="7">
        <f t="shared" si="68"/>
        <v>0</v>
      </c>
      <c r="J730" s="7">
        <f t="shared" si="68"/>
        <v>0</v>
      </c>
      <c r="K730" s="7">
        <f t="shared" si="68"/>
        <v>1</v>
      </c>
      <c r="L730" s="11">
        <v>16657.71745</v>
      </c>
      <c r="M730" s="12" cm="1">
        <f t="array" ref="M730">IF(($R$34+SUMPRODUCT(TRANSPOSE(D730:K730),$R$35:$R$42))&lt;0,"-",$R$34+SUMPRODUCT(TRANSPOSE(D730:K730),$R$35:$R$42))</f>
        <v>27213.484317781629</v>
      </c>
      <c r="N730" s="13">
        <f t="shared" si="65"/>
        <v>15089.279740746506</v>
      </c>
      <c r="O730" s="13">
        <f t="shared" si="66"/>
        <v>39337.688894816754</v>
      </c>
    </row>
    <row r="731" spans="1:15" x14ac:dyDescent="0.25">
      <c r="A731" s="1" t="s">
        <v>0</v>
      </c>
      <c r="B731" s="1" t="s">
        <v>4</v>
      </c>
      <c r="C731" s="1" t="s">
        <v>7</v>
      </c>
      <c r="D731" s="1">
        <v>18</v>
      </c>
      <c r="E731" s="1">
        <v>40.28</v>
      </c>
      <c r="F731" s="1">
        <v>0</v>
      </c>
      <c r="G731" s="7">
        <f t="shared" si="64"/>
        <v>1</v>
      </c>
      <c r="H731" s="7">
        <f t="shared" si="67"/>
        <v>0</v>
      </c>
      <c r="I731" s="7">
        <f t="shared" si="68"/>
        <v>0</v>
      </c>
      <c r="J731" s="7">
        <f t="shared" si="68"/>
        <v>0</v>
      </c>
      <c r="K731" s="7">
        <f t="shared" si="68"/>
        <v>1</v>
      </c>
      <c r="L731" s="11">
        <v>2217.6012000000001</v>
      </c>
      <c r="M731" s="12" cm="1">
        <f t="array" ref="M731">IF(($R$34+SUMPRODUCT(TRANSPOSE(D731:K731),$R$35:$R$42))&lt;0,"-",$R$34+SUMPRODUCT(TRANSPOSE(D731:K731),$R$35:$R$42))</f>
        <v>6347.5880809496921</v>
      </c>
      <c r="N731" s="13" t="str">
        <f t="shared" si="65"/>
        <v>-</v>
      </c>
      <c r="O731" s="13">
        <f t="shared" si="66"/>
        <v>18471.792657984814</v>
      </c>
    </row>
    <row r="732" spans="1:15" x14ac:dyDescent="0.25">
      <c r="A732" s="1" t="s">
        <v>0</v>
      </c>
      <c r="B732" s="1" t="s">
        <v>4</v>
      </c>
      <c r="C732" s="1" t="s">
        <v>5</v>
      </c>
      <c r="D732" s="1">
        <v>41</v>
      </c>
      <c r="E732" s="1">
        <v>36.08</v>
      </c>
      <c r="F732" s="1">
        <v>1</v>
      </c>
      <c r="G732" s="7">
        <f t="shared" si="64"/>
        <v>1</v>
      </c>
      <c r="H732" s="7">
        <f t="shared" si="67"/>
        <v>0</v>
      </c>
      <c r="I732" s="7">
        <f t="shared" si="68"/>
        <v>1</v>
      </c>
      <c r="J732" s="7">
        <f t="shared" si="68"/>
        <v>0</v>
      </c>
      <c r="K732" s="7">
        <f t="shared" si="68"/>
        <v>0</v>
      </c>
      <c r="L732" s="11">
        <v>6781.3541999999998</v>
      </c>
      <c r="M732" s="12" cm="1">
        <f t="array" ref="M732">IF(($R$34+SUMPRODUCT(TRANSPOSE(D732:K732),$R$35:$R$42))&lt;0,"-",$R$34+SUMPRODUCT(TRANSPOSE(D732:K732),$R$35:$R$42))</f>
        <v>10271.150179904482</v>
      </c>
      <c r="N732" s="13" t="str">
        <f t="shared" si="65"/>
        <v>-</v>
      </c>
      <c r="O732" s="13">
        <f t="shared" si="66"/>
        <v>22395.354756939603</v>
      </c>
    </row>
    <row r="733" spans="1:15" x14ac:dyDescent="0.25">
      <c r="A733" s="1" t="s">
        <v>3</v>
      </c>
      <c r="B733" s="1" t="s">
        <v>1</v>
      </c>
      <c r="C733" s="1" t="s">
        <v>5</v>
      </c>
      <c r="D733" s="1">
        <v>35</v>
      </c>
      <c r="E733" s="1">
        <v>24.42</v>
      </c>
      <c r="F733" s="1">
        <v>3</v>
      </c>
      <c r="G733" s="7">
        <f t="shared" si="64"/>
        <v>0</v>
      </c>
      <c r="H733" s="7">
        <f t="shared" si="67"/>
        <v>1</v>
      </c>
      <c r="I733" s="7">
        <f t="shared" si="68"/>
        <v>1</v>
      </c>
      <c r="J733" s="7">
        <f t="shared" si="68"/>
        <v>0</v>
      </c>
      <c r="K733" s="7">
        <f t="shared" si="68"/>
        <v>0</v>
      </c>
      <c r="L733" s="11">
        <v>19361.998800000001</v>
      </c>
      <c r="M733" s="12" cm="1">
        <f t="array" ref="M733">IF(($R$34+SUMPRODUCT(TRANSPOSE(D733:K733),$R$35:$R$42))&lt;0,"-",$R$34+SUMPRODUCT(TRANSPOSE(D733:K733),$R$35:$R$42))</f>
        <v>29443.237668393951</v>
      </c>
      <c r="N733" s="13">
        <f t="shared" si="65"/>
        <v>17319.033091358826</v>
      </c>
      <c r="O733" s="13">
        <f t="shared" si="66"/>
        <v>41567.442245429076</v>
      </c>
    </row>
    <row r="734" spans="1:15" x14ac:dyDescent="0.25">
      <c r="A734" s="1" t="s">
        <v>3</v>
      </c>
      <c r="B734" s="1" t="s">
        <v>4</v>
      </c>
      <c r="C734" s="1" t="s">
        <v>2</v>
      </c>
      <c r="D734" s="1">
        <v>53</v>
      </c>
      <c r="E734" s="1">
        <v>21.4</v>
      </c>
      <c r="F734" s="1">
        <v>1</v>
      </c>
      <c r="G734" s="7">
        <f t="shared" si="64"/>
        <v>0</v>
      </c>
      <c r="H734" s="7">
        <f t="shared" si="67"/>
        <v>0</v>
      </c>
      <c r="I734" s="7">
        <f t="shared" si="68"/>
        <v>0</v>
      </c>
      <c r="J734" s="7">
        <f t="shared" si="68"/>
        <v>0</v>
      </c>
      <c r="K734" s="7">
        <f t="shared" si="68"/>
        <v>0</v>
      </c>
      <c r="L734" s="11">
        <v>10065.413</v>
      </c>
      <c r="M734" s="12" cm="1">
        <f t="array" ref="M734">IF(($R$34+SUMPRODUCT(TRANSPOSE(D734:K734),$R$35:$R$42))&lt;0,"-",$R$34+SUMPRODUCT(TRANSPOSE(D734:K734),$R$35:$R$42))</f>
        <v>8317.7232100374058</v>
      </c>
      <c r="N734" s="13" t="str">
        <f t="shared" si="65"/>
        <v>-</v>
      </c>
      <c r="O734" s="13">
        <f t="shared" si="66"/>
        <v>20441.927787072527</v>
      </c>
    </row>
    <row r="735" spans="1:15" x14ac:dyDescent="0.25">
      <c r="A735" s="1" t="s">
        <v>0</v>
      </c>
      <c r="B735" s="1" t="s">
        <v>4</v>
      </c>
      <c r="C735" s="1" t="s">
        <v>2</v>
      </c>
      <c r="D735" s="1">
        <v>24</v>
      </c>
      <c r="E735" s="1">
        <v>30.1</v>
      </c>
      <c r="F735" s="1">
        <v>3</v>
      </c>
      <c r="G735" s="7">
        <f t="shared" si="64"/>
        <v>1</v>
      </c>
      <c r="H735" s="7">
        <f t="shared" si="67"/>
        <v>0</v>
      </c>
      <c r="I735" s="7">
        <f t="shared" si="68"/>
        <v>0</v>
      </c>
      <c r="J735" s="7">
        <f t="shared" si="68"/>
        <v>0</v>
      </c>
      <c r="K735" s="7">
        <f t="shared" si="68"/>
        <v>0</v>
      </c>
      <c r="L735" s="11">
        <v>4234.9269999999997</v>
      </c>
      <c r="M735" s="12" cm="1">
        <f t="array" ref="M735">IF(($R$34+SUMPRODUCT(TRANSPOSE(D735:K735),$R$35:$R$42))&lt;0,"-",$R$34+SUMPRODUCT(TRANSPOSE(D735:K735),$R$35:$R$42))</f>
        <v>4902.1874825619961</v>
      </c>
      <c r="N735" s="13" t="str">
        <f t="shared" si="65"/>
        <v>-</v>
      </c>
      <c r="O735" s="13">
        <f t="shared" si="66"/>
        <v>17026.392059597121</v>
      </c>
    </row>
    <row r="736" spans="1:15" x14ac:dyDescent="0.25">
      <c r="A736" s="1" t="s">
        <v>0</v>
      </c>
      <c r="B736" s="1" t="s">
        <v>4</v>
      </c>
      <c r="C736" s="1" t="s">
        <v>7</v>
      </c>
      <c r="D736" s="1">
        <v>48</v>
      </c>
      <c r="E736" s="1">
        <v>27.265000000000001</v>
      </c>
      <c r="F736" s="1">
        <v>1</v>
      </c>
      <c r="G736" s="7">
        <f t="shared" si="64"/>
        <v>1</v>
      </c>
      <c r="H736" s="7">
        <f t="shared" si="67"/>
        <v>0</v>
      </c>
      <c r="I736" s="7">
        <f t="shared" si="68"/>
        <v>0</v>
      </c>
      <c r="J736" s="7">
        <f t="shared" si="68"/>
        <v>0</v>
      </c>
      <c r="K736" s="7">
        <f t="shared" si="68"/>
        <v>1</v>
      </c>
      <c r="L736" s="11">
        <v>9447.2503500000003</v>
      </c>
      <c r="M736" s="12" cm="1">
        <f t="array" ref="M736">IF(($R$34+SUMPRODUCT(TRANSPOSE(D736:K736),$R$35:$R$42))&lt;0,"-",$R$34+SUMPRODUCT(TRANSPOSE(D736:K736),$R$35:$R$42))</f>
        <v>10114.176403474183</v>
      </c>
      <c r="N736" s="13" t="str">
        <f t="shared" si="65"/>
        <v>-</v>
      </c>
      <c r="O736" s="13">
        <f t="shared" si="66"/>
        <v>22238.380980509304</v>
      </c>
    </row>
    <row r="737" spans="1:15" x14ac:dyDescent="0.25">
      <c r="A737" s="1" t="s">
        <v>0</v>
      </c>
      <c r="B737" s="1" t="s">
        <v>4</v>
      </c>
      <c r="C737" s="1" t="s">
        <v>2</v>
      </c>
      <c r="D737" s="1">
        <v>59</v>
      </c>
      <c r="E737" s="1">
        <v>32.1</v>
      </c>
      <c r="F737" s="1">
        <v>3</v>
      </c>
      <c r="G737" s="7">
        <f t="shared" si="64"/>
        <v>1</v>
      </c>
      <c r="H737" s="7">
        <f t="shared" si="67"/>
        <v>0</v>
      </c>
      <c r="I737" s="7">
        <f t="shared" si="68"/>
        <v>0</v>
      </c>
      <c r="J737" s="7">
        <f t="shared" si="68"/>
        <v>0</v>
      </c>
      <c r="K737" s="7">
        <f t="shared" si="68"/>
        <v>0</v>
      </c>
      <c r="L737" s="11">
        <v>14007.222</v>
      </c>
      <c r="M737" s="12" cm="1">
        <f t="array" ref="M737">IF(($R$34+SUMPRODUCT(TRANSPOSE(D737:K737),$R$35:$R$42))&lt;0,"-",$R$34+SUMPRODUCT(TRANSPOSE(D737:K737),$R$35:$R$42))</f>
        <v>14570.546728590856</v>
      </c>
      <c r="N737" s="13">
        <f t="shared" si="65"/>
        <v>2446.3421515557329</v>
      </c>
      <c r="O737" s="13">
        <f t="shared" si="66"/>
        <v>26694.751305625978</v>
      </c>
    </row>
    <row r="738" spans="1:15" x14ac:dyDescent="0.25">
      <c r="A738" s="1" t="s">
        <v>0</v>
      </c>
      <c r="B738" s="1" t="s">
        <v>4</v>
      </c>
      <c r="C738" s="1" t="s">
        <v>6</v>
      </c>
      <c r="D738" s="1">
        <v>49</v>
      </c>
      <c r="E738" s="1">
        <v>34.770000000000003</v>
      </c>
      <c r="F738" s="1">
        <v>1</v>
      </c>
      <c r="G738" s="7">
        <f t="shared" si="64"/>
        <v>1</v>
      </c>
      <c r="H738" s="7">
        <f t="shared" si="67"/>
        <v>0</v>
      </c>
      <c r="I738" s="7">
        <f t="shared" si="68"/>
        <v>0</v>
      </c>
      <c r="J738" s="7">
        <f t="shared" si="68"/>
        <v>1</v>
      </c>
      <c r="K738" s="7">
        <f t="shared" si="68"/>
        <v>0</v>
      </c>
      <c r="L738" s="11">
        <v>9583.8932999999997</v>
      </c>
      <c r="M738" s="12" cm="1">
        <f t="array" ref="M738">IF(($R$34+SUMPRODUCT(TRANSPOSE(D738:K738),$R$35:$R$42))&lt;0,"-",$R$34+SUMPRODUCT(TRANSPOSE(D738:K738),$R$35:$R$42))</f>
        <v>12563.715725936243</v>
      </c>
      <c r="N738" s="13">
        <f t="shared" si="65"/>
        <v>439.51114890111967</v>
      </c>
      <c r="O738" s="13">
        <f t="shared" si="66"/>
        <v>24687.920302971368</v>
      </c>
    </row>
    <row r="739" spans="1:15" x14ac:dyDescent="0.25">
      <c r="A739" s="1" t="s">
        <v>0</v>
      </c>
      <c r="B739" s="1" t="s">
        <v>1</v>
      </c>
      <c r="C739" s="1" t="s">
        <v>5</v>
      </c>
      <c r="D739" s="1">
        <v>37</v>
      </c>
      <c r="E739" s="1">
        <v>38.39</v>
      </c>
      <c r="F739" s="1">
        <v>0</v>
      </c>
      <c r="G739" s="7">
        <f t="shared" si="64"/>
        <v>1</v>
      </c>
      <c r="H739" s="7">
        <f t="shared" si="67"/>
        <v>1</v>
      </c>
      <c r="I739" s="7">
        <f t="shared" si="68"/>
        <v>1</v>
      </c>
      <c r="J739" s="7">
        <f t="shared" si="68"/>
        <v>0</v>
      </c>
      <c r="K739" s="7">
        <f t="shared" si="68"/>
        <v>0</v>
      </c>
      <c r="L739" s="11">
        <v>40419.019099999998</v>
      </c>
      <c r="M739" s="12" cm="1">
        <f t="array" ref="M739">IF(($R$34+SUMPRODUCT(TRANSPOSE(D739:K739),$R$35:$R$42))&lt;0,"-",$R$34+SUMPRODUCT(TRANSPOSE(D739:K739),$R$35:$R$42))</f>
        <v>33400.295644359794</v>
      </c>
      <c r="N739" s="13">
        <f t="shared" si="65"/>
        <v>21276.091067324669</v>
      </c>
      <c r="O739" s="13">
        <f t="shared" si="66"/>
        <v>45524.500221394919</v>
      </c>
    </row>
    <row r="740" spans="1:15" x14ac:dyDescent="0.25">
      <c r="A740" s="1" t="s">
        <v>3</v>
      </c>
      <c r="B740" s="1" t="s">
        <v>4</v>
      </c>
      <c r="C740" s="1" t="s">
        <v>2</v>
      </c>
      <c r="D740" s="1">
        <v>26</v>
      </c>
      <c r="E740" s="1">
        <v>23.7</v>
      </c>
      <c r="F740" s="1">
        <v>2</v>
      </c>
      <c r="G740" s="7">
        <f t="shared" si="64"/>
        <v>0</v>
      </c>
      <c r="H740" s="7">
        <f t="shared" si="67"/>
        <v>0</v>
      </c>
      <c r="I740" s="7">
        <f t="shared" si="68"/>
        <v>0</v>
      </c>
      <c r="J740" s="7">
        <f t="shared" si="68"/>
        <v>0</v>
      </c>
      <c r="K740" s="7">
        <f t="shared" si="68"/>
        <v>0</v>
      </c>
      <c r="L740" s="11">
        <v>3484.3310000000001</v>
      </c>
      <c r="M740" s="12" cm="1">
        <f t="array" ref="M740">IF(($R$34+SUMPRODUCT(TRANSPOSE(D740:K740),$R$35:$R$42))&lt;0,"-",$R$34+SUMPRODUCT(TRANSPOSE(D740:K740),$R$35:$R$42))</f>
        <v>2638.2471799830746</v>
      </c>
      <c r="N740" s="13" t="str">
        <f t="shared" si="65"/>
        <v>-</v>
      </c>
      <c r="O740" s="13">
        <f t="shared" si="66"/>
        <v>14762.451757018198</v>
      </c>
    </row>
    <row r="741" spans="1:15" x14ac:dyDescent="0.25">
      <c r="A741" s="1" t="s">
        <v>3</v>
      </c>
      <c r="B741" s="1" t="s">
        <v>1</v>
      </c>
      <c r="C741" s="1" t="s">
        <v>7</v>
      </c>
      <c r="D741" s="1">
        <v>23</v>
      </c>
      <c r="E741" s="1">
        <v>31.73</v>
      </c>
      <c r="F741" s="1">
        <v>3</v>
      </c>
      <c r="G741" s="7">
        <f t="shared" si="64"/>
        <v>0</v>
      </c>
      <c r="H741" s="7">
        <f t="shared" si="67"/>
        <v>1</v>
      </c>
      <c r="I741" s="7">
        <f t="shared" si="68"/>
        <v>0</v>
      </c>
      <c r="J741" s="7">
        <f t="shared" si="68"/>
        <v>0</v>
      </c>
      <c r="K741" s="7">
        <f t="shared" si="68"/>
        <v>1</v>
      </c>
      <c r="L741" s="11">
        <v>36189.101699999999</v>
      </c>
      <c r="M741" s="12" cm="1">
        <f t="array" ref="M741">IF(($R$34+SUMPRODUCT(TRANSPOSE(D741:K741),$R$35:$R$42))&lt;0,"-",$R$34+SUMPRODUCT(TRANSPOSE(D741:K741),$R$35:$R$42))</f>
        <v>29875.48763322884</v>
      </c>
      <c r="N741" s="13">
        <f t="shared" si="65"/>
        <v>17751.283056193715</v>
      </c>
      <c r="O741" s="13">
        <f t="shared" si="66"/>
        <v>41999.692210263966</v>
      </c>
    </row>
    <row r="742" spans="1:15" x14ac:dyDescent="0.25">
      <c r="A742" s="1" t="s">
        <v>3</v>
      </c>
      <c r="B742" s="1" t="s">
        <v>1</v>
      </c>
      <c r="C742" s="1" t="s">
        <v>2</v>
      </c>
      <c r="D742" s="1">
        <v>29</v>
      </c>
      <c r="E742" s="1">
        <v>35.5</v>
      </c>
      <c r="F742" s="1">
        <v>2</v>
      </c>
      <c r="G742" s="7">
        <f t="shared" si="64"/>
        <v>0</v>
      </c>
      <c r="H742" s="7">
        <f t="shared" si="67"/>
        <v>1</v>
      </c>
      <c r="I742" s="7">
        <f t="shared" si="68"/>
        <v>0</v>
      </c>
      <c r="J742" s="7">
        <f t="shared" si="68"/>
        <v>0</v>
      </c>
      <c r="K742" s="7">
        <f t="shared" si="68"/>
        <v>0</v>
      </c>
      <c r="L742" s="11">
        <v>44585.455869999998</v>
      </c>
      <c r="M742" s="12" cm="1">
        <f t="array" ref="M742">IF(($R$34+SUMPRODUCT(TRANSPOSE(D742:K742),$R$35:$R$42))&lt;0,"-",$R$34+SUMPRODUCT(TRANSPOSE(D742:K742),$R$35:$R$42))</f>
        <v>31259.833532115823</v>
      </c>
      <c r="N742" s="13">
        <f t="shared" si="65"/>
        <v>19135.628955080698</v>
      </c>
      <c r="O742" s="13">
        <f t="shared" si="66"/>
        <v>43384.038109150948</v>
      </c>
    </row>
    <row r="743" spans="1:15" x14ac:dyDescent="0.25">
      <c r="A743" s="1" t="s">
        <v>3</v>
      </c>
      <c r="B743" s="1" t="s">
        <v>4</v>
      </c>
      <c r="C743" s="1" t="s">
        <v>7</v>
      </c>
      <c r="D743" s="1">
        <v>45</v>
      </c>
      <c r="E743" s="1">
        <v>24.035</v>
      </c>
      <c r="F743" s="1">
        <v>2</v>
      </c>
      <c r="G743" s="7">
        <f t="shared" si="64"/>
        <v>0</v>
      </c>
      <c r="H743" s="7">
        <f t="shared" si="67"/>
        <v>0</v>
      </c>
      <c r="I743" s="7">
        <f t="shared" si="68"/>
        <v>0</v>
      </c>
      <c r="J743" s="7">
        <f t="shared" si="68"/>
        <v>0</v>
      </c>
      <c r="K743" s="7">
        <f t="shared" si="68"/>
        <v>1</v>
      </c>
      <c r="L743" s="11">
        <v>8604.4836500000001</v>
      </c>
      <c r="M743" s="12" cm="1">
        <f t="array" ref="M743">IF(($R$34+SUMPRODUCT(TRANSPOSE(D743:K743),$R$35:$R$42))&lt;0,"-",$R$34+SUMPRODUCT(TRANSPOSE(D743:K743),$R$35:$R$42))</f>
        <v>8592.1986764531503</v>
      </c>
      <c r="N743" s="13" t="str">
        <f t="shared" si="65"/>
        <v>-</v>
      </c>
      <c r="O743" s="13">
        <f t="shared" si="66"/>
        <v>20716.403253488272</v>
      </c>
    </row>
    <row r="744" spans="1:15" x14ac:dyDescent="0.25">
      <c r="A744" s="1" t="s">
        <v>3</v>
      </c>
      <c r="B744" s="1" t="s">
        <v>1</v>
      </c>
      <c r="C744" s="1" t="s">
        <v>5</v>
      </c>
      <c r="D744" s="1">
        <v>27</v>
      </c>
      <c r="E744" s="1">
        <v>29.15</v>
      </c>
      <c r="F744" s="1">
        <v>0</v>
      </c>
      <c r="G744" s="7">
        <f t="shared" si="64"/>
        <v>0</v>
      </c>
      <c r="H744" s="7">
        <f t="shared" si="67"/>
        <v>1</v>
      </c>
      <c r="I744" s="7">
        <f t="shared" si="68"/>
        <v>1</v>
      </c>
      <c r="J744" s="7">
        <f t="shared" si="68"/>
        <v>0</v>
      </c>
      <c r="K744" s="7">
        <f t="shared" si="68"/>
        <v>0</v>
      </c>
      <c r="L744" s="11">
        <v>18246.495500000001</v>
      </c>
      <c r="M744" s="12" cm="1">
        <f t="array" ref="M744">IF(($R$34+SUMPRODUCT(TRANSPOSE(D744:K744),$R$35:$R$42))&lt;0,"-",$R$34+SUMPRODUCT(TRANSPOSE(D744:K744),$R$35:$R$42))</f>
        <v>27566.27024822704</v>
      </c>
      <c r="N744" s="13">
        <f t="shared" si="65"/>
        <v>15442.065671191916</v>
      </c>
      <c r="O744" s="13">
        <f t="shared" si="66"/>
        <v>39690.474825262165</v>
      </c>
    </row>
    <row r="745" spans="1:15" x14ac:dyDescent="0.25">
      <c r="A745" s="1" t="s">
        <v>3</v>
      </c>
      <c r="B745" s="1" t="s">
        <v>1</v>
      </c>
      <c r="C745" s="1" t="s">
        <v>7</v>
      </c>
      <c r="D745" s="1">
        <v>53</v>
      </c>
      <c r="E745" s="1">
        <v>34.104999999999997</v>
      </c>
      <c r="F745" s="1">
        <v>0</v>
      </c>
      <c r="G745" s="7">
        <f t="shared" si="64"/>
        <v>0</v>
      </c>
      <c r="H745" s="7">
        <f t="shared" si="67"/>
        <v>1</v>
      </c>
      <c r="I745" s="7">
        <f t="shared" si="68"/>
        <v>0</v>
      </c>
      <c r="J745" s="7">
        <f t="shared" si="68"/>
        <v>0</v>
      </c>
      <c r="K745" s="7">
        <f t="shared" si="68"/>
        <v>1</v>
      </c>
      <c r="L745" s="11">
        <v>43254.417950000003</v>
      </c>
      <c r="M745" s="12" cm="1">
        <f t="array" ref="M745">IF(($R$34+SUMPRODUCT(TRANSPOSE(D745:K745),$R$35:$R$42))&lt;0,"-",$R$34+SUMPRODUCT(TRANSPOSE(D745:K745),$R$35:$R$42))</f>
        <v>36960.261026227614</v>
      </c>
      <c r="N745" s="13">
        <f t="shared" si="65"/>
        <v>24836.056449192489</v>
      </c>
      <c r="O745" s="13">
        <f t="shared" si="66"/>
        <v>49084.465603262739</v>
      </c>
    </row>
    <row r="746" spans="1:15" x14ac:dyDescent="0.25">
      <c r="A746" s="1" t="s">
        <v>0</v>
      </c>
      <c r="B746" s="1" t="s">
        <v>4</v>
      </c>
      <c r="C746" s="1" t="s">
        <v>5</v>
      </c>
      <c r="D746" s="1">
        <v>31</v>
      </c>
      <c r="E746" s="1">
        <v>26.62</v>
      </c>
      <c r="F746" s="1">
        <v>0</v>
      </c>
      <c r="G746" s="7">
        <f t="shared" si="64"/>
        <v>1</v>
      </c>
      <c r="H746" s="7">
        <f t="shared" si="67"/>
        <v>0</v>
      </c>
      <c r="I746" s="7">
        <f t="shared" si="68"/>
        <v>1</v>
      </c>
      <c r="J746" s="7">
        <f t="shared" si="68"/>
        <v>0</v>
      </c>
      <c r="K746" s="7">
        <f t="shared" si="68"/>
        <v>0</v>
      </c>
      <c r="L746" s="11">
        <v>3757.8447999999999</v>
      </c>
      <c r="M746" s="12" cm="1">
        <f t="array" ref="M746">IF(($R$34+SUMPRODUCT(TRANSPOSE(D746:K746),$R$35:$R$42))&lt;0,"-",$R$34+SUMPRODUCT(TRANSPOSE(D746:K746),$R$35:$R$42))</f>
        <v>4018.3160382233218</v>
      </c>
      <c r="N746" s="13" t="str">
        <f t="shared" si="65"/>
        <v>-</v>
      </c>
      <c r="O746" s="13">
        <f t="shared" si="66"/>
        <v>16142.520615258445</v>
      </c>
    </row>
    <row r="747" spans="1:15" x14ac:dyDescent="0.25">
      <c r="A747" s="1" t="s">
        <v>3</v>
      </c>
      <c r="B747" s="1" t="s">
        <v>4</v>
      </c>
      <c r="C747" s="1" t="s">
        <v>6</v>
      </c>
      <c r="D747" s="1">
        <v>50</v>
      </c>
      <c r="E747" s="1">
        <v>26.41</v>
      </c>
      <c r="F747" s="1">
        <v>0</v>
      </c>
      <c r="G747" s="7">
        <f t="shared" si="64"/>
        <v>0</v>
      </c>
      <c r="H747" s="7">
        <f t="shared" si="67"/>
        <v>0</v>
      </c>
      <c r="I747" s="7">
        <f t="shared" si="68"/>
        <v>0</v>
      </c>
      <c r="J747" s="7">
        <f t="shared" si="68"/>
        <v>1</v>
      </c>
      <c r="K747" s="7">
        <f t="shared" si="68"/>
        <v>0</v>
      </c>
      <c r="L747" s="11">
        <v>8827.2098999999998</v>
      </c>
      <c r="M747" s="12" cm="1">
        <f t="array" ref="M747">IF(($R$34+SUMPRODUCT(TRANSPOSE(D747:K747),$R$35:$R$42))&lt;0,"-",$R$34+SUMPRODUCT(TRANSPOSE(D747:K747),$R$35:$R$42))</f>
        <v>9378.0999017427275</v>
      </c>
      <c r="N747" s="13" t="str">
        <f t="shared" si="65"/>
        <v>-</v>
      </c>
      <c r="O747" s="13">
        <f t="shared" si="66"/>
        <v>21502.304478777849</v>
      </c>
    </row>
    <row r="748" spans="1:15" x14ac:dyDescent="0.25">
      <c r="A748" s="1" t="s">
        <v>0</v>
      </c>
      <c r="B748" s="1" t="s">
        <v>4</v>
      </c>
      <c r="C748" s="1" t="s">
        <v>6</v>
      </c>
      <c r="D748" s="1">
        <v>50</v>
      </c>
      <c r="E748" s="1">
        <v>30.114999999999998</v>
      </c>
      <c r="F748" s="1">
        <v>1</v>
      </c>
      <c r="G748" s="7">
        <f t="shared" si="64"/>
        <v>1</v>
      </c>
      <c r="H748" s="7">
        <f t="shared" si="67"/>
        <v>0</v>
      </c>
      <c r="I748" s="7">
        <f t="shared" si="68"/>
        <v>0</v>
      </c>
      <c r="J748" s="7">
        <f t="shared" si="68"/>
        <v>1</v>
      </c>
      <c r="K748" s="7">
        <f t="shared" si="68"/>
        <v>0</v>
      </c>
      <c r="L748" s="11">
        <v>9910.3598500000007</v>
      </c>
      <c r="M748" s="12" cm="1">
        <f t="array" ref="M748">IF(($R$34+SUMPRODUCT(TRANSPOSE(D748:K748),$R$35:$R$42))&lt;0,"-",$R$34+SUMPRODUCT(TRANSPOSE(D748:K748),$R$35:$R$42))</f>
        <v>11241.626551915131</v>
      </c>
      <c r="N748" s="13" t="str">
        <f t="shared" si="65"/>
        <v>-</v>
      </c>
      <c r="O748" s="13">
        <f t="shared" si="66"/>
        <v>23365.831128950253</v>
      </c>
    </row>
    <row r="749" spans="1:15" x14ac:dyDescent="0.25">
      <c r="A749" s="1" t="s">
        <v>3</v>
      </c>
      <c r="B749" s="1" t="s">
        <v>4</v>
      </c>
      <c r="C749" s="1" t="s">
        <v>2</v>
      </c>
      <c r="D749" s="1">
        <v>34</v>
      </c>
      <c r="E749" s="1">
        <v>27</v>
      </c>
      <c r="F749" s="1">
        <v>2</v>
      </c>
      <c r="G749" s="7">
        <f t="shared" si="64"/>
        <v>0</v>
      </c>
      <c r="H749" s="7">
        <f t="shared" si="67"/>
        <v>0</v>
      </c>
      <c r="I749" s="7">
        <f t="shared" si="68"/>
        <v>0</v>
      </c>
      <c r="J749" s="7">
        <f t="shared" si="68"/>
        <v>0</v>
      </c>
      <c r="K749" s="7">
        <f t="shared" si="68"/>
        <v>0</v>
      </c>
      <c r="L749" s="11">
        <v>11737.848840000001</v>
      </c>
      <c r="M749" s="12" cm="1">
        <f t="array" ref="M749">IF(($R$34+SUMPRODUCT(TRANSPOSE(D749:K749),$R$35:$R$42))&lt;0,"-",$R$34+SUMPRODUCT(TRANSPOSE(D749:K749),$R$35:$R$42))</f>
        <v>5812.4363971976309</v>
      </c>
      <c r="N749" s="13" t="str">
        <f t="shared" si="65"/>
        <v>-</v>
      </c>
      <c r="O749" s="13">
        <f t="shared" si="66"/>
        <v>17936.640974232752</v>
      </c>
    </row>
    <row r="750" spans="1:15" x14ac:dyDescent="0.25">
      <c r="A750" s="1" t="s">
        <v>3</v>
      </c>
      <c r="B750" s="1" t="s">
        <v>4</v>
      </c>
      <c r="C750" s="1" t="s">
        <v>6</v>
      </c>
      <c r="D750" s="1">
        <v>19</v>
      </c>
      <c r="E750" s="1">
        <v>21.754999999999999</v>
      </c>
      <c r="F750" s="1">
        <v>0</v>
      </c>
      <c r="G750" s="7">
        <f t="shared" si="64"/>
        <v>0</v>
      </c>
      <c r="H750" s="7">
        <f t="shared" si="67"/>
        <v>0</v>
      </c>
      <c r="I750" s="7">
        <f t="shared" si="68"/>
        <v>0</v>
      </c>
      <c r="J750" s="7">
        <f t="shared" si="68"/>
        <v>1</v>
      </c>
      <c r="K750" s="7">
        <f t="shared" si="68"/>
        <v>0</v>
      </c>
      <c r="L750" s="11">
        <v>1627.2824499999999</v>
      </c>
      <c r="M750" s="12" t="str" cm="1">
        <f t="array" ref="M750">IF(($R$34+SUMPRODUCT(TRANSPOSE(D750:K750),$R$35:$R$42))&lt;0,"-",$R$34+SUMPRODUCT(TRANSPOSE(D750:K750),$R$35:$R$42))</f>
        <v>-</v>
      </c>
      <c r="N750" s="13" t="str">
        <f t="shared" si="65"/>
        <v>-</v>
      </c>
      <c r="O750" s="13" t="str">
        <f t="shared" si="66"/>
        <v>-</v>
      </c>
    </row>
    <row r="751" spans="1:15" x14ac:dyDescent="0.25">
      <c r="A751" s="1" t="s">
        <v>0</v>
      </c>
      <c r="B751" s="1" t="s">
        <v>4</v>
      </c>
      <c r="C751" s="1" t="s">
        <v>2</v>
      </c>
      <c r="D751" s="1">
        <v>47</v>
      </c>
      <c r="E751" s="1">
        <v>36</v>
      </c>
      <c r="F751" s="1">
        <v>1</v>
      </c>
      <c r="G751" s="7">
        <f t="shared" si="64"/>
        <v>1</v>
      </c>
      <c r="H751" s="7">
        <f t="shared" si="67"/>
        <v>0</v>
      </c>
      <c r="I751" s="7">
        <f t="shared" si="68"/>
        <v>0</v>
      </c>
      <c r="J751" s="7">
        <f t="shared" si="68"/>
        <v>0</v>
      </c>
      <c r="K751" s="7">
        <f t="shared" si="68"/>
        <v>0</v>
      </c>
      <c r="L751" s="11">
        <v>8556.9069999999992</v>
      </c>
      <c r="M751" s="12" cm="1">
        <f t="array" ref="M751">IF(($R$34+SUMPRODUCT(TRANSPOSE(D751:K751),$R$35:$R$42))&lt;0,"-",$R$34+SUMPRODUCT(TRANSPOSE(D751:K751),$R$35:$R$42))</f>
        <v>11860.123876926693</v>
      </c>
      <c r="N751" s="13" t="str">
        <f t="shared" si="65"/>
        <v>-</v>
      </c>
      <c r="O751" s="13">
        <f t="shared" si="66"/>
        <v>23984.328453961818</v>
      </c>
    </row>
    <row r="752" spans="1:15" x14ac:dyDescent="0.25">
      <c r="A752" s="1" t="s">
        <v>3</v>
      </c>
      <c r="B752" s="1" t="s">
        <v>4</v>
      </c>
      <c r="C752" s="1" t="s">
        <v>6</v>
      </c>
      <c r="D752" s="1">
        <v>28</v>
      </c>
      <c r="E752" s="1">
        <v>30.875</v>
      </c>
      <c r="F752" s="1">
        <v>0</v>
      </c>
      <c r="G752" s="7">
        <f t="shared" si="64"/>
        <v>0</v>
      </c>
      <c r="H752" s="7">
        <f t="shared" si="67"/>
        <v>0</v>
      </c>
      <c r="I752" s="7">
        <f t="shared" si="68"/>
        <v>0</v>
      </c>
      <c r="J752" s="7">
        <f t="shared" si="68"/>
        <v>1</v>
      </c>
      <c r="K752" s="7">
        <f t="shared" si="68"/>
        <v>0</v>
      </c>
      <c r="L752" s="11">
        <v>3062.5082499999999</v>
      </c>
      <c r="M752" s="12" cm="1">
        <f t="array" ref="M752">IF(($R$34+SUMPRODUCT(TRANSPOSE(D752:K752),$R$35:$R$42))&lt;0,"-",$R$34+SUMPRODUCT(TRANSPOSE(D752:K752),$R$35:$R$42))</f>
        <v>5241.758916293471</v>
      </c>
      <c r="N752" s="13" t="str">
        <f t="shared" si="65"/>
        <v>-</v>
      </c>
      <c r="O752" s="13">
        <f t="shared" si="66"/>
        <v>17365.963493328592</v>
      </c>
    </row>
    <row r="753" spans="1:15" x14ac:dyDescent="0.25">
      <c r="A753" s="1" t="s">
        <v>0</v>
      </c>
      <c r="B753" s="1" t="s">
        <v>1</v>
      </c>
      <c r="C753" s="1" t="s">
        <v>5</v>
      </c>
      <c r="D753" s="1">
        <v>37</v>
      </c>
      <c r="E753" s="1">
        <v>26.4</v>
      </c>
      <c r="F753" s="1">
        <v>0</v>
      </c>
      <c r="G753" s="7">
        <f t="shared" si="64"/>
        <v>1</v>
      </c>
      <c r="H753" s="7">
        <f t="shared" si="67"/>
        <v>1</v>
      </c>
      <c r="I753" s="7">
        <f t="shared" si="68"/>
        <v>1</v>
      </c>
      <c r="J753" s="7">
        <f t="shared" si="68"/>
        <v>0</v>
      </c>
      <c r="K753" s="7">
        <f t="shared" si="68"/>
        <v>0</v>
      </c>
      <c r="L753" s="11">
        <v>19539.242999999999</v>
      </c>
      <c r="M753" s="12" cm="1">
        <f t="array" ref="M753">IF(($R$34+SUMPRODUCT(TRANSPOSE(D753:K753),$R$35:$R$42))&lt;0,"-",$R$34+SUMPRODUCT(TRANSPOSE(D753:K753),$R$35:$R$42))</f>
        <v>29333.366135565819</v>
      </c>
      <c r="N753" s="13">
        <f t="shared" si="65"/>
        <v>17209.161558530694</v>
      </c>
      <c r="O753" s="13">
        <f t="shared" si="66"/>
        <v>41457.570712600944</v>
      </c>
    </row>
    <row r="754" spans="1:15" x14ac:dyDescent="0.25">
      <c r="A754" s="1" t="s">
        <v>3</v>
      </c>
      <c r="B754" s="1" t="s">
        <v>4</v>
      </c>
      <c r="C754" s="1" t="s">
        <v>6</v>
      </c>
      <c r="D754" s="1">
        <v>21</v>
      </c>
      <c r="E754" s="1">
        <v>28.975000000000001</v>
      </c>
      <c r="F754" s="1">
        <v>0</v>
      </c>
      <c r="G754" s="7">
        <f t="shared" si="64"/>
        <v>0</v>
      </c>
      <c r="H754" s="7">
        <f t="shared" si="67"/>
        <v>0</v>
      </c>
      <c r="I754" s="7">
        <f t="shared" si="68"/>
        <v>0</v>
      </c>
      <c r="J754" s="7">
        <f t="shared" si="68"/>
        <v>1</v>
      </c>
      <c r="K754" s="7">
        <f t="shared" si="68"/>
        <v>0</v>
      </c>
      <c r="L754" s="11">
        <v>1906.35825</v>
      </c>
      <c r="M754" s="12" cm="1">
        <f t="array" ref="M754">IF(($R$34+SUMPRODUCT(TRANSPOSE(D754:K754),$R$35:$R$42))&lt;0,"-",$R$34+SUMPRODUCT(TRANSPOSE(D754:K754),$R$35:$R$42))</f>
        <v>2799.2968866714436</v>
      </c>
      <c r="N754" s="13" t="str">
        <f t="shared" si="65"/>
        <v>-</v>
      </c>
      <c r="O754" s="13">
        <f t="shared" si="66"/>
        <v>14923.501463706567</v>
      </c>
    </row>
    <row r="755" spans="1:15" x14ac:dyDescent="0.25">
      <c r="A755" s="1" t="s">
        <v>3</v>
      </c>
      <c r="B755" s="1" t="s">
        <v>4</v>
      </c>
      <c r="C755" s="1" t="s">
        <v>6</v>
      </c>
      <c r="D755" s="1">
        <v>64</v>
      </c>
      <c r="E755" s="1">
        <v>37.905000000000001</v>
      </c>
      <c r="F755" s="1">
        <v>0</v>
      </c>
      <c r="G755" s="7">
        <f t="shared" si="64"/>
        <v>0</v>
      </c>
      <c r="H755" s="7">
        <f t="shared" si="67"/>
        <v>0</v>
      </c>
      <c r="I755" s="7">
        <f t="shared" si="68"/>
        <v>0</v>
      </c>
      <c r="J755" s="7">
        <f t="shared" si="68"/>
        <v>1</v>
      </c>
      <c r="K755" s="7">
        <f t="shared" si="68"/>
        <v>0</v>
      </c>
      <c r="L755" s="11">
        <v>14210.53595</v>
      </c>
      <c r="M755" s="12" cm="1">
        <f t="array" ref="M755">IF(($R$34+SUMPRODUCT(TRANSPOSE(D755:K755),$R$35:$R$42))&lt;0,"-",$R$34+SUMPRODUCT(TRANSPOSE(D755:K755),$R$35:$R$42))</f>
        <v>16873.117586522207</v>
      </c>
      <c r="N755" s="13">
        <f t="shared" si="65"/>
        <v>4748.9130094870834</v>
      </c>
      <c r="O755" s="13">
        <f t="shared" si="66"/>
        <v>28997.322163557328</v>
      </c>
    </row>
    <row r="756" spans="1:15" x14ac:dyDescent="0.25">
      <c r="A756" s="1" t="s">
        <v>0</v>
      </c>
      <c r="B756" s="1" t="s">
        <v>4</v>
      </c>
      <c r="C756" s="1" t="s">
        <v>5</v>
      </c>
      <c r="D756" s="1">
        <v>58</v>
      </c>
      <c r="E756" s="1">
        <v>22.77</v>
      </c>
      <c r="F756" s="1">
        <v>0</v>
      </c>
      <c r="G756" s="7">
        <f t="shared" si="64"/>
        <v>1</v>
      </c>
      <c r="H756" s="7">
        <f t="shared" si="67"/>
        <v>0</v>
      </c>
      <c r="I756" s="7">
        <f t="shared" si="68"/>
        <v>1</v>
      </c>
      <c r="J756" s="7">
        <f t="shared" si="68"/>
        <v>0</v>
      </c>
      <c r="K756" s="7">
        <f t="shared" si="68"/>
        <v>0</v>
      </c>
      <c r="L756" s="11">
        <v>11833.782300000001</v>
      </c>
      <c r="M756" s="12" cm="1">
        <f t="array" ref="M756">IF(($R$34+SUMPRODUCT(TRANSPOSE(D756:K756),$R$35:$R$42))&lt;0,"-",$R$34+SUMPRODUCT(TRANSPOSE(D756:K756),$R$35:$R$42))</f>
        <v>9647.5427603299831</v>
      </c>
      <c r="N756" s="13" t="str">
        <f t="shared" si="65"/>
        <v>-</v>
      </c>
      <c r="O756" s="13">
        <f t="shared" si="66"/>
        <v>21771.747337365108</v>
      </c>
    </row>
    <row r="757" spans="1:15" x14ac:dyDescent="0.25">
      <c r="A757" s="1" t="s">
        <v>3</v>
      </c>
      <c r="B757" s="1" t="s">
        <v>4</v>
      </c>
      <c r="C757" s="1" t="s">
        <v>7</v>
      </c>
      <c r="D757" s="1">
        <v>24</v>
      </c>
      <c r="E757" s="1">
        <v>33.630000000000003</v>
      </c>
      <c r="F757" s="1">
        <v>4</v>
      </c>
      <c r="G757" s="7">
        <f t="shared" si="64"/>
        <v>0</v>
      </c>
      <c r="H757" s="7">
        <f t="shared" si="67"/>
        <v>0</v>
      </c>
      <c r="I757" s="7">
        <f t="shared" si="68"/>
        <v>0</v>
      </c>
      <c r="J757" s="7">
        <f t="shared" si="68"/>
        <v>0</v>
      </c>
      <c r="K757" s="7">
        <f t="shared" si="68"/>
        <v>1</v>
      </c>
      <c r="L757" s="11">
        <v>17128.426080000001</v>
      </c>
      <c r="M757" s="12" cm="1">
        <f t="array" ref="M757">IF(($R$34+SUMPRODUCT(TRANSPOSE(D757:K757),$R$35:$R$42))&lt;0,"-",$R$34+SUMPRODUCT(TRANSPOSE(D757:K757),$R$35:$R$42))</f>
        <v>7403.7775508631203</v>
      </c>
      <c r="N757" s="13" t="str">
        <f t="shared" si="65"/>
        <v>-</v>
      </c>
      <c r="O757" s="13">
        <f t="shared" si="66"/>
        <v>19527.982127898242</v>
      </c>
    </row>
    <row r="758" spans="1:15" x14ac:dyDescent="0.25">
      <c r="A758" s="1" t="s">
        <v>3</v>
      </c>
      <c r="B758" s="1" t="s">
        <v>4</v>
      </c>
      <c r="C758" s="1" t="s">
        <v>7</v>
      </c>
      <c r="D758" s="1">
        <v>31</v>
      </c>
      <c r="E758" s="1">
        <v>27.645</v>
      </c>
      <c r="F758" s="1">
        <v>2</v>
      </c>
      <c r="G758" s="7">
        <f t="shared" si="64"/>
        <v>0</v>
      </c>
      <c r="H758" s="7">
        <f t="shared" si="67"/>
        <v>0</v>
      </c>
      <c r="I758" s="7">
        <f t="shared" si="68"/>
        <v>0</v>
      </c>
      <c r="J758" s="7">
        <f t="shared" si="68"/>
        <v>0</v>
      </c>
      <c r="K758" s="7">
        <f t="shared" si="68"/>
        <v>1</v>
      </c>
      <c r="L758" s="11">
        <v>5031.26955</v>
      </c>
      <c r="M758" s="12" cm="1">
        <f t="array" ref="M758">IF(($R$34+SUMPRODUCT(TRANSPOSE(D758:K758),$R$35:$R$42))&lt;0,"-",$R$34+SUMPRODUCT(TRANSPOSE(D758:K758),$R$35:$R$42))</f>
        <v>6220.6981084654108</v>
      </c>
      <c r="N758" s="13" t="str">
        <f t="shared" si="65"/>
        <v>-</v>
      </c>
      <c r="O758" s="13">
        <f t="shared" si="66"/>
        <v>18344.902685500536</v>
      </c>
    </row>
    <row r="759" spans="1:15" x14ac:dyDescent="0.25">
      <c r="A759" s="1" t="s">
        <v>0</v>
      </c>
      <c r="B759" s="1" t="s">
        <v>4</v>
      </c>
      <c r="C759" s="1" t="s">
        <v>7</v>
      </c>
      <c r="D759" s="1">
        <v>39</v>
      </c>
      <c r="E759" s="1">
        <v>22.8</v>
      </c>
      <c r="F759" s="1">
        <v>3</v>
      </c>
      <c r="G759" s="7">
        <f t="shared" si="64"/>
        <v>1</v>
      </c>
      <c r="H759" s="7">
        <f t="shared" si="67"/>
        <v>0</v>
      </c>
      <c r="I759" s="7">
        <f t="shared" si="68"/>
        <v>0</v>
      </c>
      <c r="J759" s="7">
        <f t="shared" si="68"/>
        <v>0</v>
      </c>
      <c r="K759" s="7">
        <f t="shared" si="68"/>
        <v>1</v>
      </c>
      <c r="L759" s="11">
        <v>7985.8149999999996</v>
      </c>
      <c r="M759" s="12" cm="1">
        <f t="array" ref="M759">IF(($R$34+SUMPRODUCT(TRANSPOSE(D759:K759),$R$35:$R$42))&lt;0,"-",$R$34+SUMPRODUCT(TRANSPOSE(D759:K759),$R$35:$R$42))</f>
        <v>7238.9715505639142</v>
      </c>
      <c r="N759" s="13" t="str">
        <f t="shared" si="65"/>
        <v>-</v>
      </c>
      <c r="O759" s="13">
        <f t="shared" si="66"/>
        <v>19363.176127599036</v>
      </c>
    </row>
    <row r="760" spans="1:15" x14ac:dyDescent="0.25">
      <c r="A760" s="1" t="s">
        <v>0</v>
      </c>
      <c r="B760" s="1" t="s">
        <v>1</v>
      </c>
      <c r="C760" s="1" t="s">
        <v>5</v>
      </c>
      <c r="D760" s="1">
        <v>47</v>
      </c>
      <c r="E760" s="1">
        <v>27.83</v>
      </c>
      <c r="F760" s="1">
        <v>0</v>
      </c>
      <c r="G760" s="7">
        <f t="shared" si="64"/>
        <v>1</v>
      </c>
      <c r="H760" s="7">
        <f t="shared" si="67"/>
        <v>1</v>
      </c>
      <c r="I760" s="7">
        <f t="shared" si="68"/>
        <v>1</v>
      </c>
      <c r="J760" s="7">
        <f t="shared" si="68"/>
        <v>0</v>
      </c>
      <c r="K760" s="7">
        <f t="shared" si="68"/>
        <v>0</v>
      </c>
      <c r="L760" s="11">
        <v>23065.420699999999</v>
      </c>
      <c r="M760" s="12" cm="1">
        <f t="array" ref="M760">IF(($R$34+SUMPRODUCT(TRANSPOSE(D760:K760),$R$35:$R$42))&lt;0,"-",$R$34+SUMPRODUCT(TRANSPOSE(D760:K760),$R$35:$R$42))</f>
        <v>32386.9762996028</v>
      </c>
      <c r="N760" s="13">
        <f t="shared" si="65"/>
        <v>20262.771722567675</v>
      </c>
      <c r="O760" s="13">
        <f t="shared" si="66"/>
        <v>44511.180876637925</v>
      </c>
    </row>
    <row r="761" spans="1:15" x14ac:dyDescent="0.25">
      <c r="A761" s="1" t="s">
        <v>3</v>
      </c>
      <c r="B761" s="1" t="s">
        <v>4</v>
      </c>
      <c r="C761" s="1" t="s">
        <v>7</v>
      </c>
      <c r="D761" s="1">
        <v>30</v>
      </c>
      <c r="E761" s="1">
        <v>37.43</v>
      </c>
      <c r="F761" s="1">
        <v>3</v>
      </c>
      <c r="G761" s="7">
        <f t="shared" si="64"/>
        <v>0</v>
      </c>
      <c r="H761" s="7">
        <f t="shared" si="67"/>
        <v>0</v>
      </c>
      <c r="I761" s="7">
        <f t="shared" si="68"/>
        <v>0</v>
      </c>
      <c r="J761" s="7">
        <f t="shared" si="68"/>
        <v>0</v>
      </c>
      <c r="K761" s="7">
        <f t="shared" si="68"/>
        <v>1</v>
      </c>
      <c r="L761" s="11">
        <v>5428.7277000000004</v>
      </c>
      <c r="M761" s="12" cm="1">
        <f t="array" ref="M761">IF(($R$34+SUMPRODUCT(TRANSPOSE(D761:K761),$R$35:$R$42))&lt;0,"-",$R$34+SUMPRODUCT(TRANSPOSE(D761:K761),$R$35:$R$42))</f>
        <v>9758.3502446592647</v>
      </c>
      <c r="N761" s="13" t="str">
        <f t="shared" si="65"/>
        <v>-</v>
      </c>
      <c r="O761" s="13">
        <f t="shared" si="66"/>
        <v>21882.554821694386</v>
      </c>
    </row>
    <row r="762" spans="1:15" x14ac:dyDescent="0.25">
      <c r="A762" s="1" t="s">
        <v>3</v>
      </c>
      <c r="B762" s="1" t="s">
        <v>1</v>
      </c>
      <c r="C762" s="1" t="s">
        <v>5</v>
      </c>
      <c r="D762" s="1">
        <v>18</v>
      </c>
      <c r="E762" s="1">
        <v>38.17</v>
      </c>
      <c r="F762" s="1">
        <v>0</v>
      </c>
      <c r="G762" s="7">
        <f t="shared" si="64"/>
        <v>0</v>
      </c>
      <c r="H762" s="7">
        <f t="shared" si="67"/>
        <v>1</v>
      </c>
      <c r="I762" s="7">
        <f t="shared" si="68"/>
        <v>1</v>
      </c>
      <c r="J762" s="7">
        <f t="shared" si="68"/>
        <v>0</v>
      </c>
      <c r="K762" s="7">
        <f t="shared" si="68"/>
        <v>0</v>
      </c>
      <c r="L762" s="11">
        <v>36307.798300000002</v>
      </c>
      <c r="M762" s="12" cm="1">
        <f t="array" ref="M762">IF(($R$34+SUMPRODUCT(TRANSPOSE(D762:K762),$R$35:$R$42))&lt;0,"-",$R$34+SUMPRODUCT(TRANSPOSE(D762:K762),$R$35:$R$42))</f>
        <v>28314.088026960686</v>
      </c>
      <c r="N762" s="13">
        <f t="shared" si="65"/>
        <v>16189.883449925563</v>
      </c>
      <c r="O762" s="13">
        <f t="shared" si="66"/>
        <v>40438.292603995811</v>
      </c>
    </row>
    <row r="763" spans="1:15" x14ac:dyDescent="0.25">
      <c r="A763" s="1" t="s">
        <v>0</v>
      </c>
      <c r="B763" s="1" t="s">
        <v>4</v>
      </c>
      <c r="C763" s="1" t="s">
        <v>7</v>
      </c>
      <c r="D763" s="1">
        <v>22</v>
      </c>
      <c r="E763" s="1">
        <v>34.58</v>
      </c>
      <c r="F763" s="1">
        <v>2</v>
      </c>
      <c r="G763" s="7">
        <f t="shared" si="64"/>
        <v>1</v>
      </c>
      <c r="H763" s="7">
        <f t="shared" si="67"/>
        <v>0</v>
      </c>
      <c r="I763" s="7">
        <f t="shared" si="68"/>
        <v>0</v>
      </c>
      <c r="J763" s="7">
        <f t="shared" si="68"/>
        <v>0</v>
      </c>
      <c r="K763" s="7">
        <f t="shared" si="68"/>
        <v>1</v>
      </c>
      <c r="L763" s="11">
        <v>3925.7582000000002</v>
      </c>
      <c r="M763" s="12" cm="1">
        <f t="array" ref="M763">IF(($R$34+SUMPRODUCT(TRANSPOSE(D763:K763),$R$35:$R$42))&lt;0,"-",$R$34+SUMPRODUCT(TRANSPOSE(D763:K763),$R$35:$R$42))</f>
        <v>6392.6118958155603</v>
      </c>
      <c r="N763" s="13" t="str">
        <f t="shared" si="65"/>
        <v>-</v>
      </c>
      <c r="O763" s="13">
        <f t="shared" si="66"/>
        <v>18516.816472850682</v>
      </c>
    </row>
    <row r="764" spans="1:15" x14ac:dyDescent="0.25">
      <c r="A764" s="1" t="s">
        <v>3</v>
      </c>
      <c r="B764" s="1" t="s">
        <v>4</v>
      </c>
      <c r="C764" s="1" t="s">
        <v>2</v>
      </c>
      <c r="D764" s="1">
        <v>23</v>
      </c>
      <c r="E764" s="1">
        <v>35.200000000000003</v>
      </c>
      <c r="F764" s="1">
        <v>1</v>
      </c>
      <c r="G764" s="7">
        <f t="shared" si="64"/>
        <v>0</v>
      </c>
      <c r="H764" s="7">
        <f t="shared" si="67"/>
        <v>0</v>
      </c>
      <c r="I764" s="7">
        <f t="shared" si="68"/>
        <v>0</v>
      </c>
      <c r="J764" s="7">
        <f t="shared" si="68"/>
        <v>0</v>
      </c>
      <c r="K764" s="7">
        <f t="shared" si="68"/>
        <v>0</v>
      </c>
      <c r="L764" s="11">
        <v>2416.9549999999999</v>
      </c>
      <c r="M764" s="12" cm="1">
        <f t="array" ref="M764">IF(($R$34+SUMPRODUCT(TRANSPOSE(D764:K764),$R$35:$R$42))&lt;0,"-",$R$34+SUMPRODUCT(TRANSPOSE(D764:K764),$R$35:$R$42))</f>
        <v>5292.9022937465597</v>
      </c>
      <c r="N764" s="13" t="str">
        <f t="shared" si="65"/>
        <v>-</v>
      </c>
      <c r="O764" s="13">
        <f t="shared" si="66"/>
        <v>17417.106870781681</v>
      </c>
    </row>
    <row r="765" spans="1:15" x14ac:dyDescent="0.25">
      <c r="A765" s="1" t="s">
        <v>3</v>
      </c>
      <c r="B765" s="1" t="s">
        <v>1</v>
      </c>
      <c r="C765" s="1" t="s">
        <v>2</v>
      </c>
      <c r="D765" s="1">
        <v>33</v>
      </c>
      <c r="E765" s="1">
        <v>27.1</v>
      </c>
      <c r="F765" s="1">
        <v>1</v>
      </c>
      <c r="G765" s="7">
        <f t="shared" si="64"/>
        <v>0</v>
      </c>
      <c r="H765" s="7">
        <f t="shared" si="67"/>
        <v>1</v>
      </c>
      <c r="I765" s="7">
        <f t="shared" si="68"/>
        <v>0</v>
      </c>
      <c r="J765" s="7">
        <f t="shared" si="68"/>
        <v>0</v>
      </c>
      <c r="K765" s="7">
        <f t="shared" si="68"/>
        <v>0</v>
      </c>
      <c r="L765" s="11">
        <v>19040.876</v>
      </c>
      <c r="M765" s="12" cm="1">
        <f t="array" ref="M765">IF(($R$34+SUMPRODUCT(TRANSPOSE(D765:K765),$R$35:$R$42))&lt;0,"-",$R$34+SUMPRODUCT(TRANSPOSE(D765:K765),$R$35:$R$42))</f>
        <v>28962.533386785028</v>
      </c>
      <c r="N765" s="13">
        <f t="shared" si="65"/>
        <v>16838.328809749903</v>
      </c>
      <c r="O765" s="13">
        <f t="shared" si="66"/>
        <v>41086.737963820153</v>
      </c>
    </row>
    <row r="766" spans="1:15" x14ac:dyDescent="0.25">
      <c r="A766" s="1" t="s">
        <v>3</v>
      </c>
      <c r="B766" s="1" t="s">
        <v>4</v>
      </c>
      <c r="C766" s="1" t="s">
        <v>7</v>
      </c>
      <c r="D766" s="1">
        <v>27</v>
      </c>
      <c r="E766" s="1">
        <v>26.03</v>
      </c>
      <c r="F766" s="1">
        <v>0</v>
      </c>
      <c r="G766" s="7">
        <f t="shared" si="64"/>
        <v>0</v>
      </c>
      <c r="H766" s="7">
        <f t="shared" si="67"/>
        <v>0</v>
      </c>
      <c r="I766" s="7">
        <f t="shared" si="68"/>
        <v>0</v>
      </c>
      <c r="J766" s="7">
        <f t="shared" si="68"/>
        <v>0</v>
      </c>
      <c r="K766" s="7">
        <f t="shared" si="68"/>
        <v>1</v>
      </c>
      <c r="L766" s="11">
        <v>3070.8087</v>
      </c>
      <c r="M766" s="12" cm="1">
        <f t="array" ref="M766">IF(($R$34+SUMPRODUCT(TRANSPOSE(D766:K766),$R$35:$R$42))&lt;0,"-",$R$34+SUMPRODUCT(TRANSPOSE(D766:K766),$R$35:$R$42))</f>
        <v>3694.4741804362457</v>
      </c>
      <c r="N766" s="13" t="str">
        <f t="shared" si="65"/>
        <v>-</v>
      </c>
      <c r="O766" s="13">
        <f t="shared" si="66"/>
        <v>15818.678757471369</v>
      </c>
    </row>
    <row r="767" spans="1:15" x14ac:dyDescent="0.25">
      <c r="A767" s="1" t="s">
        <v>0</v>
      </c>
      <c r="B767" s="1" t="s">
        <v>4</v>
      </c>
      <c r="C767" s="1" t="s">
        <v>7</v>
      </c>
      <c r="D767" s="1">
        <v>45</v>
      </c>
      <c r="E767" s="1">
        <v>25.175000000000001</v>
      </c>
      <c r="F767" s="1">
        <v>2</v>
      </c>
      <c r="G767" s="7">
        <f t="shared" si="64"/>
        <v>1</v>
      </c>
      <c r="H767" s="7">
        <f t="shared" si="67"/>
        <v>0</v>
      </c>
      <c r="I767" s="7">
        <f t="shared" si="68"/>
        <v>0</v>
      </c>
      <c r="J767" s="7">
        <f t="shared" si="68"/>
        <v>0</v>
      </c>
      <c r="K767" s="7">
        <f t="shared" si="68"/>
        <v>1</v>
      </c>
      <c r="L767" s="11">
        <v>9095.0682500000003</v>
      </c>
      <c r="M767" s="12" cm="1">
        <f t="array" ref="M767">IF(($R$34+SUMPRODUCT(TRANSPOSE(D767:K767),$R$35:$R$42))&lt;0,"-",$R$34+SUMPRODUCT(TRANSPOSE(D767:K767),$R$35:$R$42))</f>
        <v>9110.1935729646138</v>
      </c>
      <c r="N767" s="13" t="str">
        <f t="shared" si="65"/>
        <v>-</v>
      </c>
      <c r="O767" s="13">
        <f t="shared" si="66"/>
        <v>21234.398149999739</v>
      </c>
    </row>
    <row r="768" spans="1:15" x14ac:dyDescent="0.25">
      <c r="A768" s="1" t="s">
        <v>0</v>
      </c>
      <c r="B768" s="1" t="s">
        <v>4</v>
      </c>
      <c r="C768" s="1" t="s">
        <v>6</v>
      </c>
      <c r="D768" s="1">
        <v>57</v>
      </c>
      <c r="E768" s="1">
        <v>31.824999999999999</v>
      </c>
      <c r="F768" s="1">
        <v>0</v>
      </c>
      <c r="G768" s="7">
        <f t="shared" si="64"/>
        <v>1</v>
      </c>
      <c r="H768" s="7">
        <f t="shared" si="67"/>
        <v>0</v>
      </c>
      <c r="I768" s="7">
        <f t="shared" si="68"/>
        <v>0</v>
      </c>
      <c r="J768" s="7">
        <f t="shared" si="68"/>
        <v>1</v>
      </c>
      <c r="K768" s="7">
        <f t="shared" si="68"/>
        <v>0</v>
      </c>
      <c r="L768" s="11">
        <v>11842.623750000001</v>
      </c>
      <c r="M768" s="12" cm="1">
        <f t="array" ref="M768">IF(($R$34+SUMPRODUCT(TRANSPOSE(D768:K768),$R$35:$R$42))&lt;0,"-",$R$34+SUMPRODUCT(TRANSPOSE(D768:K768),$R$35:$R$42))</f>
        <v>13144.141280201969</v>
      </c>
      <c r="N768" s="13">
        <f t="shared" si="65"/>
        <v>1019.9367031668462</v>
      </c>
      <c r="O768" s="13">
        <f t="shared" si="66"/>
        <v>25268.345857237095</v>
      </c>
    </row>
    <row r="769" spans="1:15" x14ac:dyDescent="0.25">
      <c r="A769" s="1" t="s">
        <v>3</v>
      </c>
      <c r="B769" s="1" t="s">
        <v>4</v>
      </c>
      <c r="C769" s="1" t="s">
        <v>2</v>
      </c>
      <c r="D769" s="1">
        <v>47</v>
      </c>
      <c r="E769" s="1">
        <v>32.299999999999997</v>
      </c>
      <c r="F769" s="1">
        <v>1</v>
      </c>
      <c r="G769" s="7">
        <f t="shared" si="64"/>
        <v>0</v>
      </c>
      <c r="H769" s="7">
        <f t="shared" si="67"/>
        <v>0</v>
      </c>
      <c r="I769" s="7">
        <f t="shared" si="68"/>
        <v>0</v>
      </c>
      <c r="J769" s="7">
        <f t="shared" si="68"/>
        <v>0</v>
      </c>
      <c r="K769" s="7">
        <f t="shared" si="68"/>
        <v>0</v>
      </c>
      <c r="L769" s="11">
        <v>8062.7640000000001</v>
      </c>
      <c r="M769" s="12" cm="1">
        <f t="array" ref="M769">IF(($R$34+SUMPRODUCT(TRANSPOSE(D769:K769),$R$35:$R$42))&lt;0,"-",$R$34+SUMPRODUCT(TRANSPOSE(D769:K769),$R$35:$R$42))</f>
        <v>10473.793739171477</v>
      </c>
      <c r="N769" s="13" t="str">
        <f t="shared" si="65"/>
        <v>-</v>
      </c>
      <c r="O769" s="13">
        <f t="shared" si="66"/>
        <v>22597.998316206598</v>
      </c>
    </row>
    <row r="770" spans="1:15" x14ac:dyDescent="0.25">
      <c r="A770" s="1" t="s">
        <v>0</v>
      </c>
      <c r="B770" s="1" t="s">
        <v>4</v>
      </c>
      <c r="C770" s="1" t="s">
        <v>2</v>
      </c>
      <c r="D770" s="1">
        <v>42</v>
      </c>
      <c r="E770" s="1">
        <v>29</v>
      </c>
      <c r="F770" s="1">
        <v>1</v>
      </c>
      <c r="G770" s="7">
        <f t="shared" si="64"/>
        <v>1</v>
      </c>
      <c r="H770" s="7">
        <f t="shared" si="67"/>
        <v>0</v>
      </c>
      <c r="I770" s="7">
        <f t="shared" si="68"/>
        <v>0</v>
      </c>
      <c r="J770" s="7">
        <f t="shared" si="68"/>
        <v>0</v>
      </c>
      <c r="K770" s="7">
        <f t="shared" si="68"/>
        <v>0</v>
      </c>
      <c r="L770" s="11">
        <v>7050.6419999999998</v>
      </c>
      <c r="M770" s="12" cm="1">
        <f t="array" ref="M770">IF(($R$34+SUMPRODUCT(TRANSPOSE(D770:K770),$R$35:$R$42))&lt;0,"-",$R$34+SUMPRODUCT(TRANSPOSE(D770:K770),$R$35:$R$42))</f>
        <v>8201.4879389640701</v>
      </c>
      <c r="N770" s="13" t="str">
        <f t="shared" si="65"/>
        <v>-</v>
      </c>
      <c r="O770" s="13">
        <f t="shared" si="66"/>
        <v>20325.692515999195</v>
      </c>
    </row>
    <row r="771" spans="1:15" x14ac:dyDescent="0.25">
      <c r="A771" s="1" t="s">
        <v>0</v>
      </c>
      <c r="B771" s="1" t="s">
        <v>4</v>
      </c>
      <c r="C771" s="1" t="s">
        <v>2</v>
      </c>
      <c r="D771" s="1">
        <v>64</v>
      </c>
      <c r="E771" s="1">
        <v>39.700000000000003</v>
      </c>
      <c r="F771" s="1">
        <v>0</v>
      </c>
      <c r="G771" s="7">
        <f t="shared" ref="G771:G834" si="69">IF($A771=G$2,1,0)</f>
        <v>1</v>
      </c>
      <c r="H771" s="7">
        <f t="shared" si="67"/>
        <v>0</v>
      </c>
      <c r="I771" s="7">
        <f t="shared" si="68"/>
        <v>0</v>
      </c>
      <c r="J771" s="7">
        <f t="shared" si="68"/>
        <v>0</v>
      </c>
      <c r="K771" s="7">
        <f t="shared" si="68"/>
        <v>0</v>
      </c>
      <c r="L771" s="11">
        <v>14319.031000000001</v>
      </c>
      <c r="M771" s="12" cm="1">
        <f t="array" ref="M771">IF(($R$34+SUMPRODUCT(TRANSPOSE(D771:K771),$R$35:$R$42))&lt;0,"-",$R$34+SUMPRODUCT(TRANSPOSE(D771:K771),$R$35:$R$42))</f>
        <v>17006.197103272581</v>
      </c>
      <c r="N771" s="13">
        <f t="shared" ref="N771:N834" si="70">IFERROR(IF($M771-(2*$R$24)&lt;0,"-",($M771-(2*$R$24))),"-")</f>
        <v>4881.9925262374582</v>
      </c>
      <c r="O771" s="13">
        <f t="shared" ref="O771:O834" si="71">IFERROR(IF($L771+(2*$R$24)&lt;0,"-",($M771+(2*$R$24))),"-")</f>
        <v>29130.401680307703</v>
      </c>
    </row>
    <row r="772" spans="1:15" x14ac:dyDescent="0.25">
      <c r="A772" s="1" t="s">
        <v>0</v>
      </c>
      <c r="B772" s="1" t="s">
        <v>4</v>
      </c>
      <c r="C772" s="1" t="s">
        <v>6</v>
      </c>
      <c r="D772" s="1">
        <v>38</v>
      </c>
      <c r="E772" s="1">
        <v>19.475000000000001</v>
      </c>
      <c r="F772" s="1">
        <v>2</v>
      </c>
      <c r="G772" s="7">
        <f t="shared" si="69"/>
        <v>1</v>
      </c>
      <c r="H772" s="7">
        <f t="shared" ref="H772:H835" si="72">IF(B772="yes",1,0)</f>
        <v>0</v>
      </c>
      <c r="I772" s="7">
        <f t="shared" ref="I772:K835" si="73">IF($C772=I$2,1,0)</f>
        <v>0</v>
      </c>
      <c r="J772" s="7">
        <f t="shared" si="73"/>
        <v>1</v>
      </c>
      <c r="K772" s="7">
        <f t="shared" si="73"/>
        <v>0</v>
      </c>
      <c r="L772" s="11">
        <v>6933.2422500000002</v>
      </c>
      <c r="M772" s="12" cm="1">
        <f t="array" ref="M772">IF(($R$34+SUMPRODUCT(TRANSPOSE(D772:K772),$R$35:$R$42))&lt;0,"-",$R$34+SUMPRODUCT(TRANSPOSE(D772:K772),$R$35:$R$42))</f>
        <v>5025.8325201967491</v>
      </c>
      <c r="N772" s="13" t="str">
        <f t="shared" si="70"/>
        <v>-</v>
      </c>
      <c r="O772" s="13">
        <f t="shared" si="71"/>
        <v>17150.037097231871</v>
      </c>
    </row>
    <row r="773" spans="1:15" x14ac:dyDescent="0.25">
      <c r="A773" s="1" t="s">
        <v>3</v>
      </c>
      <c r="B773" s="1" t="s">
        <v>4</v>
      </c>
      <c r="C773" s="1" t="s">
        <v>2</v>
      </c>
      <c r="D773" s="1">
        <v>61</v>
      </c>
      <c r="E773" s="1">
        <v>36.1</v>
      </c>
      <c r="F773" s="1">
        <v>3</v>
      </c>
      <c r="G773" s="7">
        <f t="shared" si="69"/>
        <v>0</v>
      </c>
      <c r="H773" s="7">
        <f t="shared" si="72"/>
        <v>0</v>
      </c>
      <c r="I773" s="7">
        <f t="shared" si="73"/>
        <v>0</v>
      </c>
      <c r="J773" s="7">
        <f t="shared" si="73"/>
        <v>0</v>
      </c>
      <c r="K773" s="7">
        <f t="shared" si="73"/>
        <v>0</v>
      </c>
      <c r="L773" s="11">
        <v>27941.28758</v>
      </c>
      <c r="M773" s="12" cm="1">
        <f t="array" ref="M773">IF(($R$34+SUMPRODUCT(TRANSPOSE(D773:K773),$R$35:$R$42))&lt;0,"-",$R$34+SUMPRODUCT(TRANSPOSE(D773:K773),$R$35:$R$42))</f>
        <v>16309.718888713804</v>
      </c>
      <c r="N773" s="13">
        <f t="shared" si="70"/>
        <v>4185.5143116786803</v>
      </c>
      <c r="O773" s="13">
        <f t="shared" si="71"/>
        <v>28433.923465748929</v>
      </c>
    </row>
    <row r="774" spans="1:15" x14ac:dyDescent="0.25">
      <c r="A774" s="1" t="s">
        <v>0</v>
      </c>
      <c r="B774" s="1" t="s">
        <v>4</v>
      </c>
      <c r="C774" s="1" t="s">
        <v>2</v>
      </c>
      <c r="D774" s="1">
        <v>53</v>
      </c>
      <c r="E774" s="1">
        <v>26.7</v>
      </c>
      <c r="F774" s="1">
        <v>2</v>
      </c>
      <c r="G774" s="7">
        <f t="shared" si="69"/>
        <v>1</v>
      </c>
      <c r="H774" s="7">
        <f t="shared" si="72"/>
        <v>0</v>
      </c>
      <c r="I774" s="7">
        <f t="shared" si="73"/>
        <v>0</v>
      </c>
      <c r="J774" s="7">
        <f t="shared" si="73"/>
        <v>0</v>
      </c>
      <c r="K774" s="7">
        <f t="shared" si="73"/>
        <v>0</v>
      </c>
      <c r="L774" s="11">
        <v>11150.78</v>
      </c>
      <c r="M774" s="12" cm="1">
        <f t="array" ref="M774">IF(($R$34+SUMPRODUCT(TRANSPOSE(D774:K774),$R$35:$R$42))&lt;0,"-",$R$34+SUMPRODUCT(TRANSPOSE(D774:K774),$R$35:$R$42))</f>
        <v>10722.263418719092</v>
      </c>
      <c r="N774" s="13" t="str">
        <f t="shared" si="70"/>
        <v>-</v>
      </c>
      <c r="O774" s="13">
        <f t="shared" si="71"/>
        <v>22846.467995754218</v>
      </c>
    </row>
    <row r="775" spans="1:15" x14ac:dyDescent="0.25">
      <c r="A775" s="1" t="s">
        <v>0</v>
      </c>
      <c r="B775" s="1" t="s">
        <v>4</v>
      </c>
      <c r="C775" s="1" t="s">
        <v>7</v>
      </c>
      <c r="D775" s="1">
        <v>44</v>
      </c>
      <c r="E775" s="1">
        <v>36.479999999999997</v>
      </c>
      <c r="F775" s="1">
        <v>0</v>
      </c>
      <c r="G775" s="7">
        <f t="shared" si="69"/>
        <v>1</v>
      </c>
      <c r="H775" s="7">
        <f t="shared" si="72"/>
        <v>0</v>
      </c>
      <c r="I775" s="7">
        <f t="shared" si="73"/>
        <v>0</v>
      </c>
      <c r="J775" s="7">
        <f t="shared" si="73"/>
        <v>0</v>
      </c>
      <c r="K775" s="7">
        <f t="shared" si="73"/>
        <v>1</v>
      </c>
      <c r="L775" s="11">
        <v>12797.20962</v>
      </c>
      <c r="M775" s="12" cm="1">
        <f t="array" ref="M775">IF(($R$34+SUMPRODUCT(TRANSPOSE(D775:K775),$R$35:$R$42))&lt;0,"-",$R$34+SUMPRODUCT(TRANSPOSE(D775:K775),$R$35:$R$42))</f>
        <v>11736.918123199546</v>
      </c>
      <c r="N775" s="13" t="str">
        <f t="shared" si="70"/>
        <v>-</v>
      </c>
      <c r="O775" s="13">
        <f t="shared" si="71"/>
        <v>23861.122700234671</v>
      </c>
    </row>
    <row r="776" spans="1:15" x14ac:dyDescent="0.25">
      <c r="A776" s="1" t="s">
        <v>0</v>
      </c>
      <c r="B776" s="1" t="s">
        <v>1</v>
      </c>
      <c r="C776" s="1" t="s">
        <v>6</v>
      </c>
      <c r="D776" s="1">
        <v>19</v>
      </c>
      <c r="E776" s="1">
        <v>28.88</v>
      </c>
      <c r="F776" s="1">
        <v>0</v>
      </c>
      <c r="G776" s="7">
        <f t="shared" si="69"/>
        <v>1</v>
      </c>
      <c r="H776" s="7">
        <f t="shared" si="72"/>
        <v>1</v>
      </c>
      <c r="I776" s="7">
        <f t="shared" si="73"/>
        <v>0</v>
      </c>
      <c r="J776" s="7">
        <f t="shared" si="73"/>
        <v>1</v>
      </c>
      <c r="K776" s="7">
        <f t="shared" si="73"/>
        <v>0</v>
      </c>
      <c r="L776" s="11">
        <v>17748.5062</v>
      </c>
      <c r="M776" s="12" cm="1">
        <f t="array" ref="M776">IF(($R$34+SUMPRODUCT(TRANSPOSE(D776:K776),$R$35:$R$42))&lt;0,"-",$R$34+SUMPRODUCT(TRANSPOSE(D776:K776),$R$35:$R$42))</f>
        <v>26233.209704811612</v>
      </c>
      <c r="N776" s="13">
        <f t="shared" si="70"/>
        <v>14109.005127776489</v>
      </c>
      <c r="O776" s="13">
        <f t="shared" si="71"/>
        <v>38357.414281846737</v>
      </c>
    </row>
    <row r="777" spans="1:15" x14ac:dyDescent="0.25">
      <c r="A777" s="1" t="s">
        <v>3</v>
      </c>
      <c r="B777" s="1" t="s">
        <v>4</v>
      </c>
      <c r="C777" s="1" t="s">
        <v>6</v>
      </c>
      <c r="D777" s="1">
        <v>41</v>
      </c>
      <c r="E777" s="1">
        <v>34.200000000000003</v>
      </c>
      <c r="F777" s="1">
        <v>2</v>
      </c>
      <c r="G777" s="7">
        <f t="shared" si="69"/>
        <v>0</v>
      </c>
      <c r="H777" s="7">
        <f t="shared" si="72"/>
        <v>0</v>
      </c>
      <c r="I777" s="7">
        <f t="shared" si="73"/>
        <v>0</v>
      </c>
      <c r="J777" s="7">
        <f t="shared" si="73"/>
        <v>1</v>
      </c>
      <c r="K777" s="7">
        <f t="shared" si="73"/>
        <v>0</v>
      </c>
      <c r="L777" s="11">
        <v>7261.741</v>
      </c>
      <c r="M777" s="12" cm="1">
        <f t="array" ref="M777">IF(($R$34+SUMPRODUCT(TRANSPOSE(D777:K777),$R$35:$R$42))&lt;0,"-",$R$34+SUMPRODUCT(TRANSPOSE(D777:K777),$R$35:$R$42))</f>
        <v>10659.710822833305</v>
      </c>
      <c r="N777" s="13" t="str">
        <f t="shared" si="70"/>
        <v>-</v>
      </c>
      <c r="O777" s="13">
        <f t="shared" si="71"/>
        <v>22783.915399868427</v>
      </c>
    </row>
    <row r="778" spans="1:15" x14ac:dyDescent="0.25">
      <c r="A778" s="1" t="s">
        <v>3</v>
      </c>
      <c r="B778" s="1" t="s">
        <v>4</v>
      </c>
      <c r="C778" s="1" t="s">
        <v>5</v>
      </c>
      <c r="D778" s="1">
        <v>51</v>
      </c>
      <c r="E778" s="1">
        <v>33.33</v>
      </c>
      <c r="F778" s="1">
        <v>3</v>
      </c>
      <c r="G778" s="7">
        <f t="shared" si="69"/>
        <v>0</v>
      </c>
      <c r="H778" s="7">
        <f t="shared" si="72"/>
        <v>0</v>
      </c>
      <c r="I778" s="7">
        <f t="shared" si="73"/>
        <v>1</v>
      </c>
      <c r="J778" s="7">
        <f t="shared" si="73"/>
        <v>0</v>
      </c>
      <c r="K778" s="7">
        <f t="shared" si="73"/>
        <v>0</v>
      </c>
      <c r="L778" s="11">
        <v>10560.4917</v>
      </c>
      <c r="M778" s="12" cm="1">
        <f t="array" ref="M778">IF(($R$34+SUMPRODUCT(TRANSPOSE(D778:K778),$R$35:$R$42))&lt;0,"-",$R$34+SUMPRODUCT(TRANSPOSE(D778:K778),$R$35:$R$42))</f>
        <v>12726.618438751313</v>
      </c>
      <c r="N778" s="13">
        <f t="shared" si="70"/>
        <v>602.41386171618979</v>
      </c>
      <c r="O778" s="13">
        <f t="shared" si="71"/>
        <v>24850.823015786438</v>
      </c>
    </row>
    <row r="779" spans="1:15" x14ac:dyDescent="0.25">
      <c r="A779" s="1" t="s">
        <v>3</v>
      </c>
      <c r="B779" s="1" t="s">
        <v>4</v>
      </c>
      <c r="C779" s="1" t="s">
        <v>6</v>
      </c>
      <c r="D779" s="1">
        <v>40</v>
      </c>
      <c r="E779" s="1">
        <v>32.299999999999997</v>
      </c>
      <c r="F779" s="1">
        <v>2</v>
      </c>
      <c r="G779" s="7">
        <f t="shared" si="69"/>
        <v>0</v>
      </c>
      <c r="H779" s="7">
        <f t="shared" si="72"/>
        <v>0</v>
      </c>
      <c r="I779" s="7">
        <f t="shared" si="73"/>
        <v>0</v>
      </c>
      <c r="J779" s="7">
        <f t="shared" si="73"/>
        <v>1</v>
      </c>
      <c r="K779" s="7">
        <f t="shared" si="73"/>
        <v>0</v>
      </c>
      <c r="L779" s="11">
        <v>6986.6970000000001</v>
      </c>
      <c r="M779" s="12" cm="1">
        <f t="array" ref="M779">IF(($R$34+SUMPRODUCT(TRANSPOSE(D779:K779),$R$35:$R$42))&lt;0,"-",$R$34+SUMPRODUCT(TRANSPOSE(D779:K779),$R$35:$R$42))</f>
        <v>9758.3869084353573</v>
      </c>
      <c r="N779" s="13" t="str">
        <f t="shared" si="70"/>
        <v>-</v>
      </c>
      <c r="O779" s="13">
        <f t="shared" si="71"/>
        <v>21882.591485470482</v>
      </c>
    </row>
    <row r="780" spans="1:15" x14ac:dyDescent="0.25">
      <c r="A780" s="1" t="s">
        <v>3</v>
      </c>
      <c r="B780" s="1" t="s">
        <v>4</v>
      </c>
      <c r="C780" s="1" t="s">
        <v>7</v>
      </c>
      <c r="D780" s="1">
        <v>45</v>
      </c>
      <c r="E780" s="1">
        <v>39.805</v>
      </c>
      <c r="F780" s="1">
        <v>0</v>
      </c>
      <c r="G780" s="7">
        <f t="shared" si="69"/>
        <v>0</v>
      </c>
      <c r="H780" s="7">
        <f t="shared" si="72"/>
        <v>0</v>
      </c>
      <c r="I780" s="7">
        <f t="shared" si="73"/>
        <v>0</v>
      </c>
      <c r="J780" s="7">
        <f t="shared" si="73"/>
        <v>0</v>
      </c>
      <c r="K780" s="7">
        <f t="shared" si="73"/>
        <v>1</v>
      </c>
      <c r="L780" s="11">
        <v>7448.4039499999999</v>
      </c>
      <c r="M780" s="12" cm="1">
        <f t="array" ref="M780">IF(($R$34+SUMPRODUCT(TRANSPOSE(D780:K780),$R$35:$R$42))&lt;0,"-",$R$34+SUMPRODUCT(TRANSPOSE(D780:K780),$R$35:$R$42))</f>
        <v>12990.278349597833</v>
      </c>
      <c r="N780" s="13">
        <f t="shared" si="70"/>
        <v>866.07377256270956</v>
      </c>
      <c r="O780" s="13">
        <f t="shared" si="71"/>
        <v>25114.482926632954</v>
      </c>
    </row>
    <row r="781" spans="1:15" x14ac:dyDescent="0.25">
      <c r="A781" s="1" t="s">
        <v>3</v>
      </c>
      <c r="B781" s="1" t="s">
        <v>4</v>
      </c>
      <c r="C781" s="1" t="s">
        <v>5</v>
      </c>
      <c r="D781" s="1">
        <v>35</v>
      </c>
      <c r="E781" s="1">
        <v>34.32</v>
      </c>
      <c r="F781" s="1">
        <v>3</v>
      </c>
      <c r="G781" s="7">
        <f t="shared" si="69"/>
        <v>0</v>
      </c>
      <c r="H781" s="7">
        <f t="shared" si="72"/>
        <v>0</v>
      </c>
      <c r="I781" s="7">
        <f t="shared" si="73"/>
        <v>1</v>
      </c>
      <c r="J781" s="7">
        <f t="shared" si="73"/>
        <v>0</v>
      </c>
      <c r="K781" s="7">
        <f t="shared" si="73"/>
        <v>0</v>
      </c>
      <c r="L781" s="11">
        <v>5934.3797999999997</v>
      </c>
      <c r="M781" s="12" cm="1">
        <f t="array" ref="M781">IF(($R$34+SUMPRODUCT(TRANSPOSE(D781:K781),$R$35:$R$42))&lt;0,"-",$R$34+SUMPRODUCT(TRANSPOSE(D781:K781),$R$35:$R$42))</f>
        <v>8952.7183172284749</v>
      </c>
      <c r="N781" s="13" t="str">
        <f t="shared" si="70"/>
        <v>-</v>
      </c>
      <c r="O781" s="13">
        <f t="shared" si="71"/>
        <v>21076.922894263596</v>
      </c>
    </row>
    <row r="782" spans="1:15" x14ac:dyDescent="0.25">
      <c r="A782" s="1" t="s">
        <v>3</v>
      </c>
      <c r="B782" s="1" t="s">
        <v>4</v>
      </c>
      <c r="C782" s="1" t="s">
        <v>6</v>
      </c>
      <c r="D782" s="1">
        <v>53</v>
      </c>
      <c r="E782" s="1">
        <v>28.88</v>
      </c>
      <c r="F782" s="1">
        <v>0</v>
      </c>
      <c r="G782" s="7">
        <f t="shared" si="69"/>
        <v>0</v>
      </c>
      <c r="H782" s="7">
        <f t="shared" si="72"/>
        <v>0</v>
      </c>
      <c r="I782" s="7">
        <f t="shared" si="73"/>
        <v>0</v>
      </c>
      <c r="J782" s="7">
        <f t="shared" si="73"/>
        <v>1</v>
      </c>
      <c r="K782" s="7">
        <f t="shared" si="73"/>
        <v>0</v>
      </c>
      <c r="L782" s="11">
        <v>9869.8101999999999</v>
      </c>
      <c r="M782" s="12" cm="1">
        <f t="array" ref="M782">IF(($R$34+SUMPRODUCT(TRANSPOSE(D782:K782),$R$35:$R$42))&lt;0,"-",$R$34+SUMPRODUCT(TRANSPOSE(D782:K782),$R$35:$R$42))</f>
        <v>10986.476789773547</v>
      </c>
      <c r="N782" s="13" t="str">
        <f t="shared" si="70"/>
        <v>-</v>
      </c>
      <c r="O782" s="13">
        <f t="shared" si="71"/>
        <v>23110.681366808669</v>
      </c>
    </row>
    <row r="783" spans="1:15" x14ac:dyDescent="0.25">
      <c r="A783" s="1" t="s">
        <v>3</v>
      </c>
      <c r="B783" s="1" t="s">
        <v>1</v>
      </c>
      <c r="C783" s="1" t="s">
        <v>2</v>
      </c>
      <c r="D783" s="1">
        <v>30</v>
      </c>
      <c r="E783" s="1">
        <v>24.4</v>
      </c>
      <c r="F783" s="1">
        <v>3</v>
      </c>
      <c r="G783" s="7">
        <f t="shared" si="69"/>
        <v>0</v>
      </c>
      <c r="H783" s="7">
        <f t="shared" si="72"/>
        <v>1</v>
      </c>
      <c r="I783" s="7">
        <f t="shared" si="73"/>
        <v>0</v>
      </c>
      <c r="J783" s="7">
        <f t="shared" si="73"/>
        <v>0</v>
      </c>
      <c r="K783" s="7">
        <f t="shared" si="73"/>
        <v>0</v>
      </c>
      <c r="L783" s="11">
        <v>18259.216</v>
      </c>
      <c r="M783" s="12" cm="1">
        <f t="array" ref="M783">IF(($R$34+SUMPRODUCT(TRANSPOSE(D783:K783),$R$35:$R$42))&lt;0,"-",$R$34+SUMPRODUCT(TRANSPOSE(D783:K783),$R$35:$R$42))</f>
        <v>28227.143094721985</v>
      </c>
      <c r="N783" s="13">
        <f t="shared" si="70"/>
        <v>16102.938517686862</v>
      </c>
      <c r="O783" s="13">
        <f t="shared" si="71"/>
        <v>40351.34767175711</v>
      </c>
    </row>
    <row r="784" spans="1:15" x14ac:dyDescent="0.25">
      <c r="A784" s="1" t="s">
        <v>3</v>
      </c>
      <c r="B784" s="1" t="s">
        <v>4</v>
      </c>
      <c r="C784" s="1" t="s">
        <v>5</v>
      </c>
      <c r="D784" s="1">
        <v>18</v>
      </c>
      <c r="E784" s="1">
        <v>41.14</v>
      </c>
      <c r="F784" s="1">
        <v>0</v>
      </c>
      <c r="G784" s="7">
        <f t="shared" si="69"/>
        <v>0</v>
      </c>
      <c r="H784" s="7">
        <f t="shared" si="72"/>
        <v>0</v>
      </c>
      <c r="I784" s="7">
        <f t="shared" si="73"/>
        <v>1</v>
      </c>
      <c r="J784" s="7">
        <f t="shared" si="73"/>
        <v>0</v>
      </c>
      <c r="K784" s="7">
        <f t="shared" si="73"/>
        <v>0</v>
      </c>
      <c r="L784" s="11">
        <v>1146.7965999999999</v>
      </c>
      <c r="M784" s="12" cm="1">
        <f t="array" ref="M784">IF(($R$34+SUMPRODUCT(TRANSPOSE(D784:K784),$R$35:$R$42))&lt;0,"-",$R$34+SUMPRODUCT(TRANSPOSE(D784:K784),$R$35:$R$42))</f>
        <v>5472.9580422720901</v>
      </c>
      <c r="N784" s="13" t="str">
        <f t="shared" si="70"/>
        <v>-</v>
      </c>
      <c r="O784" s="13">
        <f t="shared" si="71"/>
        <v>17597.162619307215</v>
      </c>
    </row>
    <row r="785" spans="1:15" x14ac:dyDescent="0.25">
      <c r="A785" s="1" t="s">
        <v>3</v>
      </c>
      <c r="B785" s="1" t="s">
        <v>4</v>
      </c>
      <c r="C785" s="1" t="s">
        <v>5</v>
      </c>
      <c r="D785" s="1">
        <v>51</v>
      </c>
      <c r="E785" s="1">
        <v>35.97</v>
      </c>
      <c r="F785" s="1">
        <v>1</v>
      </c>
      <c r="G785" s="7">
        <f t="shared" si="69"/>
        <v>0</v>
      </c>
      <c r="H785" s="7">
        <f t="shared" si="72"/>
        <v>0</v>
      </c>
      <c r="I785" s="7">
        <f t="shared" si="73"/>
        <v>1</v>
      </c>
      <c r="J785" s="7">
        <f t="shared" si="73"/>
        <v>0</v>
      </c>
      <c r="K785" s="7">
        <f t="shared" si="73"/>
        <v>0</v>
      </c>
      <c r="L785" s="11">
        <v>9386.1612999999998</v>
      </c>
      <c r="M785" s="12" cm="1">
        <f t="array" ref="M785">IF(($R$34+SUMPRODUCT(TRANSPOSE(D785:K785),$R$35:$R$42))&lt;0,"-",$R$34+SUMPRODUCT(TRANSPOSE(D785:K785),$R$35:$R$42))</f>
        <v>12671.088065985663</v>
      </c>
      <c r="N785" s="13">
        <f t="shared" si="70"/>
        <v>546.88348895053969</v>
      </c>
      <c r="O785" s="13">
        <f t="shared" si="71"/>
        <v>24795.292643020788</v>
      </c>
    </row>
    <row r="786" spans="1:15" x14ac:dyDescent="0.25">
      <c r="A786" s="1" t="s">
        <v>0</v>
      </c>
      <c r="B786" s="1" t="s">
        <v>1</v>
      </c>
      <c r="C786" s="1" t="s">
        <v>2</v>
      </c>
      <c r="D786" s="1">
        <v>50</v>
      </c>
      <c r="E786" s="1">
        <v>27.6</v>
      </c>
      <c r="F786" s="1">
        <v>1</v>
      </c>
      <c r="G786" s="7">
        <f t="shared" si="69"/>
        <v>1</v>
      </c>
      <c r="H786" s="7">
        <f t="shared" si="72"/>
        <v>1</v>
      </c>
      <c r="I786" s="7">
        <f t="shared" si="73"/>
        <v>0</v>
      </c>
      <c r="J786" s="7">
        <f t="shared" si="73"/>
        <v>0</v>
      </c>
      <c r="K786" s="7">
        <f t="shared" si="73"/>
        <v>0</v>
      </c>
      <c r="L786" s="11">
        <v>24520.263999999999</v>
      </c>
      <c r="M786" s="12" cm="1">
        <f t="array" ref="M786">IF(($R$34+SUMPRODUCT(TRANSPOSE(D786:K786),$R$35:$R$42))&lt;0,"-",$R$34+SUMPRODUCT(TRANSPOSE(D786:K786),$R$35:$R$42))</f>
        <v>33630.002466120473</v>
      </c>
      <c r="N786" s="13">
        <f t="shared" si="70"/>
        <v>21505.797889085348</v>
      </c>
      <c r="O786" s="13">
        <f t="shared" si="71"/>
        <v>45754.207043155599</v>
      </c>
    </row>
    <row r="787" spans="1:15" x14ac:dyDescent="0.25">
      <c r="A787" s="1" t="s">
        <v>0</v>
      </c>
      <c r="B787" s="1" t="s">
        <v>4</v>
      </c>
      <c r="C787" s="1" t="s">
        <v>5</v>
      </c>
      <c r="D787" s="1">
        <v>31</v>
      </c>
      <c r="E787" s="1">
        <v>29.26</v>
      </c>
      <c r="F787" s="1">
        <v>1</v>
      </c>
      <c r="G787" s="7">
        <f t="shared" si="69"/>
        <v>1</v>
      </c>
      <c r="H787" s="7">
        <f t="shared" si="72"/>
        <v>0</v>
      </c>
      <c r="I787" s="7">
        <f t="shared" si="73"/>
        <v>1</v>
      </c>
      <c r="J787" s="7">
        <f t="shared" si="73"/>
        <v>0</v>
      </c>
      <c r="K787" s="7">
        <f t="shared" si="73"/>
        <v>0</v>
      </c>
      <c r="L787" s="11">
        <v>4350.5144</v>
      </c>
      <c r="M787" s="12" cm="1">
        <f t="array" ref="M787">IF(($R$34+SUMPRODUCT(TRANSPOSE(D787:K787),$R$35:$R$42))&lt;0,"-",$R$34+SUMPRODUCT(TRANSPOSE(D787:K787),$R$35:$R$42))</f>
        <v>5389.2873009050745</v>
      </c>
      <c r="N787" s="13" t="str">
        <f t="shared" si="70"/>
        <v>-</v>
      </c>
      <c r="O787" s="13">
        <f t="shared" si="71"/>
        <v>17513.4918779402</v>
      </c>
    </row>
    <row r="788" spans="1:15" x14ac:dyDescent="0.25">
      <c r="A788" s="1" t="s">
        <v>0</v>
      </c>
      <c r="B788" s="1" t="s">
        <v>4</v>
      </c>
      <c r="C788" s="1" t="s">
        <v>2</v>
      </c>
      <c r="D788" s="1">
        <v>35</v>
      </c>
      <c r="E788" s="1">
        <v>27.7</v>
      </c>
      <c r="F788" s="1">
        <v>3</v>
      </c>
      <c r="G788" s="7">
        <f t="shared" si="69"/>
        <v>1</v>
      </c>
      <c r="H788" s="7">
        <f t="shared" si="72"/>
        <v>0</v>
      </c>
      <c r="I788" s="7">
        <f t="shared" si="73"/>
        <v>0</v>
      </c>
      <c r="J788" s="7">
        <f t="shared" si="73"/>
        <v>0</v>
      </c>
      <c r="K788" s="7">
        <f t="shared" si="73"/>
        <v>0</v>
      </c>
      <c r="L788" s="11">
        <v>6414.1779999999999</v>
      </c>
      <c r="M788" s="12" cm="1">
        <f t="array" ref="M788">IF(($R$34+SUMPRODUCT(TRANSPOSE(D788:K788),$R$35:$R$42))&lt;0,"-",$R$34+SUMPRODUCT(TRANSPOSE(D788:K788),$R$35:$R$42))</f>
        <v>6913.5430718068055</v>
      </c>
      <c r="N788" s="13" t="str">
        <f t="shared" si="70"/>
        <v>-</v>
      </c>
      <c r="O788" s="13">
        <f t="shared" si="71"/>
        <v>19037.747648841927</v>
      </c>
    </row>
    <row r="789" spans="1:15" x14ac:dyDescent="0.25">
      <c r="A789" s="1" t="s">
        <v>3</v>
      </c>
      <c r="B789" s="1" t="s">
        <v>4</v>
      </c>
      <c r="C789" s="1" t="s">
        <v>7</v>
      </c>
      <c r="D789" s="1">
        <v>60</v>
      </c>
      <c r="E789" s="1">
        <v>36.954999999999998</v>
      </c>
      <c r="F789" s="1">
        <v>0</v>
      </c>
      <c r="G789" s="7">
        <f t="shared" si="69"/>
        <v>0</v>
      </c>
      <c r="H789" s="7">
        <f t="shared" si="72"/>
        <v>0</v>
      </c>
      <c r="I789" s="7">
        <f t="shared" si="73"/>
        <v>0</v>
      </c>
      <c r="J789" s="7">
        <f t="shared" si="73"/>
        <v>0</v>
      </c>
      <c r="K789" s="7">
        <f t="shared" si="73"/>
        <v>1</v>
      </c>
      <c r="L789" s="11">
        <v>12741.167450000001</v>
      </c>
      <c r="M789" s="12" cm="1">
        <f t="array" ref="M789">IF(($R$34+SUMPRODUCT(TRANSPOSE(D789:K789),$R$35:$R$42))&lt;0,"-",$R$34+SUMPRODUCT(TRANSPOSE(D789:K789),$R$35:$R$42))</f>
        <v>15876.422294867156</v>
      </c>
      <c r="N789" s="13">
        <f t="shared" si="70"/>
        <v>3752.2177178320326</v>
      </c>
      <c r="O789" s="13">
        <f t="shared" si="71"/>
        <v>28000.626871902277</v>
      </c>
    </row>
    <row r="790" spans="1:15" x14ac:dyDescent="0.25">
      <c r="A790" s="1" t="s">
        <v>3</v>
      </c>
      <c r="B790" s="1" t="s">
        <v>4</v>
      </c>
      <c r="C790" s="1" t="s">
        <v>6</v>
      </c>
      <c r="D790" s="1">
        <v>21</v>
      </c>
      <c r="E790" s="1">
        <v>36.86</v>
      </c>
      <c r="F790" s="1">
        <v>0</v>
      </c>
      <c r="G790" s="7">
        <f t="shared" si="69"/>
        <v>0</v>
      </c>
      <c r="H790" s="7">
        <f t="shared" si="72"/>
        <v>0</v>
      </c>
      <c r="I790" s="7">
        <f t="shared" si="73"/>
        <v>0</v>
      </c>
      <c r="J790" s="7">
        <f t="shared" si="73"/>
        <v>1</v>
      </c>
      <c r="K790" s="7">
        <f t="shared" si="73"/>
        <v>0</v>
      </c>
      <c r="L790" s="11">
        <v>1917.3184000000001</v>
      </c>
      <c r="M790" s="12" cm="1">
        <f t="array" ref="M790">IF(($R$34+SUMPRODUCT(TRANSPOSE(D790:K790),$R$35:$R$42))&lt;0,"-",$R$34+SUMPRODUCT(TRANSPOSE(D790:K790),$R$35:$R$42))</f>
        <v>5473.8372683929156</v>
      </c>
      <c r="N790" s="13" t="str">
        <f t="shared" si="70"/>
        <v>-</v>
      </c>
      <c r="O790" s="13">
        <f t="shared" si="71"/>
        <v>17598.041845428037</v>
      </c>
    </row>
    <row r="791" spans="1:15" x14ac:dyDescent="0.25">
      <c r="A791" s="1" t="s">
        <v>3</v>
      </c>
      <c r="B791" s="1" t="s">
        <v>4</v>
      </c>
      <c r="C791" s="1" t="s">
        <v>7</v>
      </c>
      <c r="D791" s="1">
        <v>29</v>
      </c>
      <c r="E791" s="1">
        <v>22.515000000000001</v>
      </c>
      <c r="F791" s="1">
        <v>3</v>
      </c>
      <c r="G791" s="7">
        <f t="shared" si="69"/>
        <v>0</v>
      </c>
      <c r="H791" s="7">
        <f t="shared" si="72"/>
        <v>0</v>
      </c>
      <c r="I791" s="7">
        <f t="shared" si="73"/>
        <v>0</v>
      </c>
      <c r="J791" s="7">
        <f t="shared" si="73"/>
        <v>0</v>
      </c>
      <c r="K791" s="7">
        <f t="shared" si="73"/>
        <v>1</v>
      </c>
      <c r="L791" s="11">
        <v>5209.5788499999999</v>
      </c>
      <c r="M791" s="12" cm="1">
        <f t="array" ref="M791">IF(($R$34+SUMPRODUCT(TRANSPOSE(D791:K791),$R$35:$R$42))&lt;0,"-",$R$34+SUMPRODUCT(TRANSPOSE(D791:K791),$R$35:$R$42))</f>
        <v>4442.4235315162405</v>
      </c>
      <c r="N791" s="13" t="str">
        <f t="shared" si="70"/>
        <v>-</v>
      </c>
      <c r="O791" s="13">
        <f t="shared" si="71"/>
        <v>16566.628108551362</v>
      </c>
    </row>
    <row r="792" spans="1:15" x14ac:dyDescent="0.25">
      <c r="A792" s="1" t="s">
        <v>0</v>
      </c>
      <c r="B792" s="1" t="s">
        <v>4</v>
      </c>
      <c r="C792" s="1" t="s">
        <v>5</v>
      </c>
      <c r="D792" s="1">
        <v>62</v>
      </c>
      <c r="E792" s="1">
        <v>29.92</v>
      </c>
      <c r="F792" s="1">
        <v>0</v>
      </c>
      <c r="G792" s="7">
        <f t="shared" si="69"/>
        <v>1</v>
      </c>
      <c r="H792" s="7">
        <f t="shared" si="72"/>
        <v>0</v>
      </c>
      <c r="I792" s="7">
        <f t="shared" si="73"/>
        <v>1</v>
      </c>
      <c r="J792" s="7">
        <f t="shared" si="73"/>
        <v>0</v>
      </c>
      <c r="K792" s="7">
        <f t="shared" si="73"/>
        <v>0</v>
      </c>
      <c r="L792" s="11">
        <v>13457.960800000001</v>
      </c>
      <c r="M792" s="12" cm="1">
        <f t="array" ref="M792">IF(($R$34+SUMPRODUCT(TRANSPOSE(D792:K792),$R$35:$R$42))&lt;0,"-",$R$34+SUMPRODUCT(TRANSPOSE(D792:K792),$R$35:$R$42))</f>
        <v>13100.201363796881</v>
      </c>
      <c r="N792" s="13">
        <f t="shared" si="70"/>
        <v>975.9967867617579</v>
      </c>
      <c r="O792" s="13">
        <f t="shared" si="71"/>
        <v>25224.405940832003</v>
      </c>
    </row>
    <row r="793" spans="1:15" x14ac:dyDescent="0.25">
      <c r="A793" s="1" t="s">
        <v>0</v>
      </c>
      <c r="B793" s="1" t="s">
        <v>4</v>
      </c>
      <c r="C793" s="1" t="s">
        <v>5</v>
      </c>
      <c r="D793" s="1">
        <v>39</v>
      </c>
      <c r="E793" s="1">
        <v>41.8</v>
      </c>
      <c r="F793" s="1">
        <v>0</v>
      </c>
      <c r="G793" s="7">
        <f t="shared" si="69"/>
        <v>1</v>
      </c>
      <c r="H793" s="7">
        <f t="shared" si="72"/>
        <v>0</v>
      </c>
      <c r="I793" s="7">
        <f t="shared" si="73"/>
        <v>1</v>
      </c>
      <c r="J793" s="7">
        <f t="shared" si="73"/>
        <v>0</v>
      </c>
      <c r="K793" s="7">
        <f t="shared" si="73"/>
        <v>0</v>
      </c>
      <c r="L793" s="11">
        <v>5662.2250000000004</v>
      </c>
      <c r="M793" s="12" cm="1">
        <f t="array" ref="M793">IF(($R$34+SUMPRODUCT(TRANSPOSE(D793:K793),$R$35:$R$42))&lt;0,"-",$R$34+SUMPRODUCT(TRANSPOSE(D793:K793),$R$35:$R$42))</f>
        <v>11222.123484334657</v>
      </c>
      <c r="N793" s="13" t="str">
        <f t="shared" si="70"/>
        <v>-</v>
      </c>
      <c r="O793" s="13">
        <f t="shared" si="71"/>
        <v>23346.328061369779</v>
      </c>
    </row>
    <row r="794" spans="1:15" x14ac:dyDescent="0.25">
      <c r="A794" s="1" t="s">
        <v>3</v>
      </c>
      <c r="B794" s="1" t="s">
        <v>4</v>
      </c>
      <c r="C794" s="1" t="s">
        <v>2</v>
      </c>
      <c r="D794" s="1">
        <v>19</v>
      </c>
      <c r="E794" s="1">
        <v>27.6</v>
      </c>
      <c r="F794" s="1">
        <v>0</v>
      </c>
      <c r="G794" s="7">
        <f t="shared" si="69"/>
        <v>0</v>
      </c>
      <c r="H794" s="7">
        <f t="shared" si="72"/>
        <v>0</v>
      </c>
      <c r="I794" s="7">
        <f t="shared" si="73"/>
        <v>0</v>
      </c>
      <c r="J794" s="7">
        <f t="shared" si="73"/>
        <v>0</v>
      </c>
      <c r="K794" s="7">
        <f t="shared" si="73"/>
        <v>0</v>
      </c>
      <c r="L794" s="11">
        <v>1252.4069999999999</v>
      </c>
      <c r="M794" s="12" cm="1">
        <f t="array" ref="M794">IF(($R$34+SUMPRODUCT(TRANSPOSE(D794:K794),$R$35:$R$42))&lt;0,"-",$R$34+SUMPRODUCT(TRANSPOSE(D794:K794),$R$35:$R$42))</f>
        <v>1212.1060910056513</v>
      </c>
      <c r="N794" s="13" t="str">
        <f t="shared" si="70"/>
        <v>-</v>
      </c>
      <c r="O794" s="13">
        <f t="shared" si="71"/>
        <v>13336.310668040775</v>
      </c>
    </row>
    <row r="795" spans="1:15" x14ac:dyDescent="0.25">
      <c r="A795" s="1" t="s">
        <v>0</v>
      </c>
      <c r="B795" s="1" t="s">
        <v>4</v>
      </c>
      <c r="C795" s="1" t="s">
        <v>7</v>
      </c>
      <c r="D795" s="1">
        <v>22</v>
      </c>
      <c r="E795" s="1">
        <v>23.18</v>
      </c>
      <c r="F795" s="1">
        <v>0</v>
      </c>
      <c r="G795" s="7">
        <f t="shared" si="69"/>
        <v>1</v>
      </c>
      <c r="H795" s="7">
        <f t="shared" si="72"/>
        <v>0</v>
      </c>
      <c r="I795" s="7">
        <f t="shared" si="73"/>
        <v>0</v>
      </c>
      <c r="J795" s="7">
        <f t="shared" si="73"/>
        <v>0</v>
      </c>
      <c r="K795" s="7">
        <f t="shared" si="73"/>
        <v>1</v>
      </c>
      <c r="L795" s="11">
        <v>2731.9122000000002</v>
      </c>
      <c r="M795" s="12" cm="1">
        <f t="array" ref="M795">IF(($R$34+SUMPRODUCT(TRANSPOSE(D795:K795),$R$35:$R$42))&lt;0,"-",$R$34+SUMPRODUCT(TRANSPOSE(D795:K795),$R$35:$R$42))</f>
        <v>1574.8054343537187</v>
      </c>
      <c r="N795" s="13" t="str">
        <f t="shared" si="70"/>
        <v>-</v>
      </c>
      <c r="O795" s="13">
        <f t="shared" si="71"/>
        <v>13699.010011388842</v>
      </c>
    </row>
    <row r="796" spans="1:15" x14ac:dyDescent="0.25">
      <c r="A796" s="1" t="s">
        <v>3</v>
      </c>
      <c r="B796" s="1" t="s">
        <v>1</v>
      </c>
      <c r="C796" s="1" t="s">
        <v>5</v>
      </c>
      <c r="D796" s="1">
        <v>53</v>
      </c>
      <c r="E796" s="1">
        <v>20.9</v>
      </c>
      <c r="F796" s="1">
        <v>0</v>
      </c>
      <c r="G796" s="7">
        <f t="shared" si="69"/>
        <v>0</v>
      </c>
      <c r="H796" s="7">
        <f t="shared" si="72"/>
        <v>1</v>
      </c>
      <c r="I796" s="7">
        <f t="shared" si="73"/>
        <v>1</v>
      </c>
      <c r="J796" s="7">
        <f t="shared" si="73"/>
        <v>0</v>
      </c>
      <c r="K796" s="7">
        <f t="shared" si="73"/>
        <v>0</v>
      </c>
      <c r="L796" s="11">
        <v>21195.817999999999</v>
      </c>
      <c r="M796" s="12" cm="1">
        <f t="array" ref="M796">IF(($R$34+SUMPRODUCT(TRANSPOSE(D796:K796),$R$35:$R$42))&lt;0,"-",$R$34+SUMPRODUCT(TRANSPOSE(D796:K796),$R$35:$R$42))</f>
        <v>31446.189421908661</v>
      </c>
      <c r="N796" s="13">
        <f t="shared" si="70"/>
        <v>19321.984844873536</v>
      </c>
      <c r="O796" s="13">
        <f t="shared" si="71"/>
        <v>43570.393998943786</v>
      </c>
    </row>
    <row r="797" spans="1:15" x14ac:dyDescent="0.25">
      <c r="A797" s="1" t="s">
        <v>0</v>
      </c>
      <c r="B797" s="1" t="s">
        <v>4</v>
      </c>
      <c r="C797" s="1" t="s">
        <v>6</v>
      </c>
      <c r="D797" s="1">
        <v>39</v>
      </c>
      <c r="E797" s="1">
        <v>31.92</v>
      </c>
      <c r="F797" s="1">
        <v>2</v>
      </c>
      <c r="G797" s="7">
        <f t="shared" si="69"/>
        <v>1</v>
      </c>
      <c r="H797" s="7">
        <f t="shared" si="72"/>
        <v>0</v>
      </c>
      <c r="I797" s="7">
        <f t="shared" si="73"/>
        <v>0</v>
      </c>
      <c r="J797" s="7">
        <f t="shared" si="73"/>
        <v>1</v>
      </c>
      <c r="K797" s="7">
        <f t="shared" si="73"/>
        <v>0</v>
      </c>
      <c r="L797" s="11">
        <v>7209.4917999999998</v>
      </c>
      <c r="M797" s="12" cm="1">
        <f t="array" ref="M797">IF(($R$34+SUMPRODUCT(TRANSPOSE(D797:K797),$R$35:$R$42))&lt;0,"-",$R$34+SUMPRODUCT(TRANSPOSE(D797:K797),$R$35:$R$42))</f>
        <v>9503.9514029210004</v>
      </c>
      <c r="N797" s="13" t="str">
        <f t="shared" si="70"/>
        <v>-</v>
      </c>
      <c r="O797" s="13">
        <f t="shared" si="71"/>
        <v>21628.155979956122</v>
      </c>
    </row>
    <row r="798" spans="1:15" x14ac:dyDescent="0.25">
      <c r="A798" s="1" t="s">
        <v>3</v>
      </c>
      <c r="B798" s="1" t="s">
        <v>1</v>
      </c>
      <c r="C798" s="1" t="s">
        <v>6</v>
      </c>
      <c r="D798" s="1">
        <v>27</v>
      </c>
      <c r="E798" s="1">
        <v>28.5</v>
      </c>
      <c r="F798" s="1">
        <v>0</v>
      </c>
      <c r="G798" s="7">
        <f t="shared" si="69"/>
        <v>0</v>
      </c>
      <c r="H798" s="7">
        <f t="shared" si="72"/>
        <v>1</v>
      </c>
      <c r="I798" s="7">
        <f t="shared" si="73"/>
        <v>0</v>
      </c>
      <c r="J798" s="7">
        <f t="shared" si="73"/>
        <v>1</v>
      </c>
      <c r="K798" s="7">
        <f t="shared" si="73"/>
        <v>0</v>
      </c>
      <c r="L798" s="11">
        <v>18310.741999999998</v>
      </c>
      <c r="M798" s="12" cm="1">
        <f t="array" ref="M798">IF(($R$34+SUMPRODUCT(TRANSPOSE(D798:K798),$R$35:$R$42))&lt;0,"-",$R$34+SUMPRODUCT(TRANSPOSE(D798:K798),$R$35:$R$42))</f>
        <v>28027.852653343172</v>
      </c>
      <c r="N798" s="13">
        <f t="shared" si="70"/>
        <v>15903.648076308049</v>
      </c>
      <c r="O798" s="13">
        <f t="shared" si="71"/>
        <v>40152.057230378297</v>
      </c>
    </row>
    <row r="799" spans="1:15" x14ac:dyDescent="0.25">
      <c r="A799" s="1" t="s">
        <v>3</v>
      </c>
      <c r="B799" s="1" t="s">
        <v>4</v>
      </c>
      <c r="C799" s="1" t="s">
        <v>5</v>
      </c>
      <c r="D799" s="1">
        <v>30</v>
      </c>
      <c r="E799" s="1">
        <v>44.22</v>
      </c>
      <c r="F799" s="1">
        <v>2</v>
      </c>
      <c r="G799" s="7">
        <f t="shared" si="69"/>
        <v>0</v>
      </c>
      <c r="H799" s="7">
        <f t="shared" si="72"/>
        <v>0</v>
      </c>
      <c r="I799" s="7">
        <f t="shared" si="73"/>
        <v>1</v>
      </c>
      <c r="J799" s="7">
        <f t="shared" si="73"/>
        <v>0</v>
      </c>
      <c r="K799" s="7">
        <f t="shared" si="73"/>
        <v>0</v>
      </c>
      <c r="L799" s="11">
        <v>4266.1657999999998</v>
      </c>
      <c r="M799" s="12" cm="1">
        <f t="array" ref="M799">IF(($R$34+SUMPRODUCT(TRANSPOSE(D799:K799),$R$35:$R$42))&lt;0,"-",$R$34+SUMPRODUCT(TRANSPOSE(D799:K799),$R$35:$R$42))</f>
        <v>10550.951200139916</v>
      </c>
      <c r="N799" s="13" t="str">
        <f t="shared" si="70"/>
        <v>-</v>
      </c>
      <c r="O799" s="13">
        <f t="shared" si="71"/>
        <v>22675.155777175038</v>
      </c>
    </row>
    <row r="800" spans="1:15" x14ac:dyDescent="0.25">
      <c r="A800" s="1" t="s">
        <v>0</v>
      </c>
      <c r="B800" s="1" t="s">
        <v>4</v>
      </c>
      <c r="C800" s="1" t="s">
        <v>7</v>
      </c>
      <c r="D800" s="1">
        <v>30</v>
      </c>
      <c r="E800" s="1">
        <v>22.895</v>
      </c>
      <c r="F800" s="1">
        <v>1</v>
      </c>
      <c r="G800" s="7">
        <f t="shared" si="69"/>
        <v>1</v>
      </c>
      <c r="H800" s="7">
        <f t="shared" si="72"/>
        <v>0</v>
      </c>
      <c r="I800" s="7">
        <f t="shared" si="73"/>
        <v>0</v>
      </c>
      <c r="J800" s="7">
        <f t="shared" si="73"/>
        <v>0</v>
      </c>
      <c r="K800" s="7">
        <f t="shared" si="73"/>
        <v>1</v>
      </c>
      <c r="L800" s="11">
        <v>4719.52405</v>
      </c>
      <c r="M800" s="12" cm="1">
        <f t="array" ref="M800">IF(($R$34+SUMPRODUCT(TRANSPOSE(D800:K800),$R$35:$R$42))&lt;0,"-",$R$34+SUMPRODUCT(TRANSPOSE(D800:K800),$R$35:$R$42))</f>
        <v>4008.4866655225451</v>
      </c>
      <c r="N800" s="13" t="str">
        <f t="shared" si="70"/>
        <v>-</v>
      </c>
      <c r="O800" s="13">
        <f t="shared" si="71"/>
        <v>16132.691242557668</v>
      </c>
    </row>
    <row r="801" spans="1:15" x14ac:dyDescent="0.25">
      <c r="A801" s="1" t="s">
        <v>0</v>
      </c>
      <c r="B801" s="1" t="s">
        <v>4</v>
      </c>
      <c r="C801" s="1" t="s">
        <v>2</v>
      </c>
      <c r="D801" s="1">
        <v>58</v>
      </c>
      <c r="E801" s="1">
        <v>33.1</v>
      </c>
      <c r="F801" s="1">
        <v>0</v>
      </c>
      <c r="G801" s="7">
        <f t="shared" si="69"/>
        <v>1</v>
      </c>
      <c r="H801" s="7">
        <f t="shared" si="72"/>
        <v>0</v>
      </c>
      <c r="I801" s="7">
        <f t="shared" si="73"/>
        <v>0</v>
      </c>
      <c r="J801" s="7">
        <f t="shared" si="73"/>
        <v>0</v>
      </c>
      <c r="K801" s="7">
        <f t="shared" si="73"/>
        <v>0</v>
      </c>
      <c r="L801" s="11">
        <v>11848.141</v>
      </c>
      <c r="M801" s="12" cm="1">
        <f t="array" ref="M801">IF(($R$34+SUMPRODUCT(TRANSPOSE(D801:K801),$R$35:$R$42))&lt;0,"-",$R$34+SUMPRODUCT(TRANSPOSE(D801:K801),$R$35:$R$42))</f>
        <v>13226.382194216949</v>
      </c>
      <c r="N801" s="13">
        <f t="shared" si="70"/>
        <v>1102.1776171818256</v>
      </c>
      <c r="O801" s="13">
        <f t="shared" si="71"/>
        <v>25350.58677125207</v>
      </c>
    </row>
    <row r="802" spans="1:15" x14ac:dyDescent="0.25">
      <c r="A802" s="1" t="s">
        <v>3</v>
      </c>
      <c r="B802" s="1" t="s">
        <v>1</v>
      </c>
      <c r="C802" s="1" t="s">
        <v>7</v>
      </c>
      <c r="D802" s="1">
        <v>33</v>
      </c>
      <c r="E802" s="1">
        <v>24.795000000000002</v>
      </c>
      <c r="F802" s="1">
        <v>0</v>
      </c>
      <c r="G802" s="7">
        <f t="shared" si="69"/>
        <v>0</v>
      </c>
      <c r="H802" s="7">
        <f t="shared" si="72"/>
        <v>1</v>
      </c>
      <c r="I802" s="7">
        <f t="shared" si="73"/>
        <v>0</v>
      </c>
      <c r="J802" s="7">
        <f t="shared" si="73"/>
        <v>0</v>
      </c>
      <c r="K802" s="7">
        <f t="shared" si="73"/>
        <v>1</v>
      </c>
      <c r="L802" s="11">
        <v>17904.527050000001</v>
      </c>
      <c r="M802" s="12" cm="1">
        <f t="array" ref="M802">IF(($R$34+SUMPRODUCT(TRANSPOSE(D802:K802),$R$35:$R$42))&lt;0,"-",$R$34+SUMPRODUCT(TRANSPOSE(D802:K802),$R$35:$R$42))</f>
        <v>28665.242922363745</v>
      </c>
      <c r="N802" s="13">
        <f t="shared" si="70"/>
        <v>16541.038345328619</v>
      </c>
      <c r="O802" s="13">
        <f t="shared" si="71"/>
        <v>40789.44749939887</v>
      </c>
    </row>
    <row r="803" spans="1:15" x14ac:dyDescent="0.25">
      <c r="A803" s="1" t="s">
        <v>0</v>
      </c>
      <c r="B803" s="1" t="s">
        <v>4</v>
      </c>
      <c r="C803" s="1" t="s">
        <v>5</v>
      </c>
      <c r="D803" s="1">
        <v>42</v>
      </c>
      <c r="E803" s="1">
        <v>26.18</v>
      </c>
      <c r="F803" s="1">
        <v>1</v>
      </c>
      <c r="G803" s="7">
        <f t="shared" si="69"/>
        <v>1</v>
      </c>
      <c r="H803" s="7">
        <f t="shared" si="72"/>
        <v>0</v>
      </c>
      <c r="I803" s="7">
        <f t="shared" si="73"/>
        <v>1</v>
      </c>
      <c r="J803" s="7">
        <f t="shared" si="73"/>
        <v>0</v>
      </c>
      <c r="K803" s="7">
        <f t="shared" si="73"/>
        <v>0</v>
      </c>
      <c r="L803" s="11">
        <v>7046.7222000000002</v>
      </c>
      <c r="M803" s="12" cm="1">
        <f t="array" ref="M803">IF(($R$34+SUMPRODUCT(TRANSPOSE(D803:K803),$R$35:$R$42))&lt;0,"-",$R$34+SUMPRODUCT(TRANSPOSE(D803:K803),$R$35:$R$42))</f>
        <v>7169.9913416945128</v>
      </c>
      <c r="N803" s="13" t="str">
        <f t="shared" si="70"/>
        <v>-</v>
      </c>
      <c r="O803" s="13">
        <f t="shared" si="71"/>
        <v>19294.195918729638</v>
      </c>
    </row>
    <row r="804" spans="1:15" x14ac:dyDescent="0.25">
      <c r="A804" s="1" t="s">
        <v>0</v>
      </c>
      <c r="B804" s="1" t="s">
        <v>4</v>
      </c>
      <c r="C804" s="1" t="s">
        <v>5</v>
      </c>
      <c r="D804" s="1">
        <v>64</v>
      </c>
      <c r="E804" s="1">
        <v>35.97</v>
      </c>
      <c r="F804" s="1">
        <v>0</v>
      </c>
      <c r="G804" s="7">
        <f t="shared" si="69"/>
        <v>1</v>
      </c>
      <c r="H804" s="7">
        <f t="shared" si="72"/>
        <v>0</v>
      </c>
      <c r="I804" s="7">
        <f t="shared" si="73"/>
        <v>1</v>
      </c>
      <c r="J804" s="7">
        <f t="shared" si="73"/>
        <v>0</v>
      </c>
      <c r="K804" s="7">
        <f t="shared" si="73"/>
        <v>0</v>
      </c>
      <c r="L804" s="11">
        <v>14313.846299999999</v>
      </c>
      <c r="M804" s="12" cm="1">
        <f t="array" ref="M804">IF(($R$34+SUMPRODUCT(TRANSPOSE(D804:K804),$R$35:$R$42))&lt;0,"-",$R$34+SUMPRODUCT(TRANSPOSE(D804:K804),$R$35:$R$42))</f>
        <v>15666.034463217158</v>
      </c>
      <c r="N804" s="13">
        <f t="shared" si="70"/>
        <v>3541.8298861820349</v>
      </c>
      <c r="O804" s="13">
        <f t="shared" si="71"/>
        <v>27790.23904025228</v>
      </c>
    </row>
    <row r="805" spans="1:15" x14ac:dyDescent="0.25">
      <c r="A805" s="1" t="s">
        <v>3</v>
      </c>
      <c r="B805" s="1" t="s">
        <v>4</v>
      </c>
      <c r="C805" s="1" t="s">
        <v>2</v>
      </c>
      <c r="D805" s="1">
        <v>21</v>
      </c>
      <c r="E805" s="1">
        <v>22.3</v>
      </c>
      <c r="F805" s="1">
        <v>1</v>
      </c>
      <c r="G805" s="7">
        <f t="shared" si="69"/>
        <v>0</v>
      </c>
      <c r="H805" s="7">
        <f t="shared" si="72"/>
        <v>0</v>
      </c>
      <c r="I805" s="7">
        <f t="shared" si="73"/>
        <v>0</v>
      </c>
      <c r="J805" s="7">
        <f t="shared" si="73"/>
        <v>0</v>
      </c>
      <c r="K805" s="7">
        <f t="shared" si="73"/>
        <v>0</v>
      </c>
      <c r="L805" s="11">
        <v>2103.08</v>
      </c>
      <c r="M805" s="12" cm="1">
        <f t="array" ref="M805">IF(($R$34+SUMPRODUCT(TRANSPOSE(D805:K805),$R$35:$R$42))&lt;0,"-",$R$34+SUMPRODUCT(TRANSPOSE(D805:K805),$R$35:$R$42))</f>
        <v>403.59403709202707</v>
      </c>
      <c r="N805" s="13" t="str">
        <f t="shared" si="70"/>
        <v>-</v>
      </c>
      <c r="O805" s="13">
        <f t="shared" si="71"/>
        <v>12527.79861412715</v>
      </c>
    </row>
    <row r="806" spans="1:15" x14ac:dyDescent="0.25">
      <c r="A806" s="1" t="s">
        <v>0</v>
      </c>
      <c r="B806" s="1" t="s">
        <v>1</v>
      </c>
      <c r="C806" s="1" t="s">
        <v>5</v>
      </c>
      <c r="D806" s="1">
        <v>18</v>
      </c>
      <c r="E806" s="1">
        <v>42.24</v>
      </c>
      <c r="F806" s="1">
        <v>0</v>
      </c>
      <c r="G806" s="7">
        <f t="shared" si="69"/>
        <v>1</v>
      </c>
      <c r="H806" s="7">
        <f t="shared" si="72"/>
        <v>1</v>
      </c>
      <c r="I806" s="7">
        <f t="shared" si="73"/>
        <v>1</v>
      </c>
      <c r="J806" s="7">
        <f t="shared" si="73"/>
        <v>0</v>
      </c>
      <c r="K806" s="7">
        <f t="shared" si="73"/>
        <v>0</v>
      </c>
      <c r="L806" s="11">
        <v>38792.685599999997</v>
      </c>
      <c r="M806" s="12" cm="1">
        <f t="array" ref="M806">IF(($R$34+SUMPRODUCT(TRANSPOSE(D806:K806),$R$35:$R$42))&lt;0,"-",$R$34+SUMPRODUCT(TRANSPOSE(D806:K806),$R$35:$R$42))</f>
        <v>29825.919742551916</v>
      </c>
      <c r="N806" s="13">
        <f t="shared" si="70"/>
        <v>17701.715165516791</v>
      </c>
      <c r="O806" s="13">
        <f t="shared" si="71"/>
        <v>41950.124319587041</v>
      </c>
    </row>
    <row r="807" spans="1:15" x14ac:dyDescent="0.25">
      <c r="A807" s="1" t="s">
        <v>3</v>
      </c>
      <c r="B807" s="1" t="s">
        <v>4</v>
      </c>
      <c r="C807" s="1" t="s">
        <v>5</v>
      </c>
      <c r="D807" s="1">
        <v>23</v>
      </c>
      <c r="E807" s="1">
        <v>26.51</v>
      </c>
      <c r="F807" s="1">
        <v>0</v>
      </c>
      <c r="G807" s="7">
        <f t="shared" si="69"/>
        <v>0</v>
      </c>
      <c r="H807" s="7">
        <f t="shared" si="72"/>
        <v>0</v>
      </c>
      <c r="I807" s="7">
        <f t="shared" si="73"/>
        <v>1</v>
      </c>
      <c r="J807" s="7">
        <f t="shared" si="73"/>
        <v>0</v>
      </c>
      <c r="K807" s="7">
        <f t="shared" si="73"/>
        <v>0</v>
      </c>
      <c r="L807" s="11">
        <v>1815.8759</v>
      </c>
      <c r="M807" s="12" cm="1">
        <f t="array" ref="M807">IF(($R$34+SUMPRODUCT(TRANSPOSE(D807:K807),$R$35:$R$42))&lt;0,"-",$R$34+SUMPRODUCT(TRANSPOSE(D807:K807),$R$35:$R$42))</f>
        <v>1794.8395786322399</v>
      </c>
      <c r="N807" s="13" t="str">
        <f t="shared" si="70"/>
        <v>-</v>
      </c>
      <c r="O807" s="13">
        <f t="shared" si="71"/>
        <v>13919.044155667363</v>
      </c>
    </row>
    <row r="808" spans="1:15" x14ac:dyDescent="0.25">
      <c r="A808" s="1" t="s">
        <v>0</v>
      </c>
      <c r="B808" s="1" t="s">
        <v>4</v>
      </c>
      <c r="C808" s="1" t="s">
        <v>6</v>
      </c>
      <c r="D808" s="1">
        <v>45</v>
      </c>
      <c r="E808" s="1">
        <v>35.814999999999998</v>
      </c>
      <c r="F808" s="1">
        <v>0</v>
      </c>
      <c r="G808" s="7">
        <f t="shared" si="69"/>
        <v>1</v>
      </c>
      <c r="H808" s="7">
        <f t="shared" si="72"/>
        <v>0</v>
      </c>
      <c r="I808" s="7">
        <f t="shared" si="73"/>
        <v>0</v>
      </c>
      <c r="J808" s="7">
        <f t="shared" si="73"/>
        <v>1</v>
      </c>
      <c r="K808" s="7">
        <f t="shared" si="73"/>
        <v>0</v>
      </c>
      <c r="L808" s="11">
        <v>7731.8578500000003</v>
      </c>
      <c r="M808" s="12" cm="1">
        <f t="array" ref="M808">IF(($R$34+SUMPRODUCT(TRANSPOSE(D808:K808),$R$35:$R$42))&lt;0,"-",$R$34+SUMPRODUCT(TRANSPOSE(D808:K808),$R$35:$R$42))</f>
        <v>11415.246929661043</v>
      </c>
      <c r="N808" s="13" t="str">
        <f t="shared" si="70"/>
        <v>-</v>
      </c>
      <c r="O808" s="13">
        <f t="shared" si="71"/>
        <v>23539.451506696169</v>
      </c>
    </row>
    <row r="809" spans="1:15" x14ac:dyDescent="0.25">
      <c r="A809" s="1" t="s">
        <v>0</v>
      </c>
      <c r="B809" s="1" t="s">
        <v>4</v>
      </c>
      <c r="C809" s="1" t="s">
        <v>6</v>
      </c>
      <c r="D809" s="1">
        <v>40</v>
      </c>
      <c r="E809" s="1">
        <v>41.42</v>
      </c>
      <c r="F809" s="1">
        <v>1</v>
      </c>
      <c r="G809" s="7">
        <f t="shared" si="69"/>
        <v>1</v>
      </c>
      <c r="H809" s="7">
        <f t="shared" si="72"/>
        <v>0</v>
      </c>
      <c r="I809" s="7">
        <f t="shared" si="73"/>
        <v>0</v>
      </c>
      <c r="J809" s="7">
        <f t="shared" si="73"/>
        <v>1</v>
      </c>
      <c r="K809" s="7">
        <f t="shared" si="73"/>
        <v>0</v>
      </c>
      <c r="L809" s="11">
        <v>28476.734990000001</v>
      </c>
      <c r="M809" s="12" cm="1">
        <f t="array" ref="M809">IF(($R$34+SUMPRODUCT(TRANSPOSE(D809:K809),$R$35:$R$42))&lt;0,"-",$R$34+SUMPRODUCT(TRANSPOSE(D809:K809),$R$35:$R$42))</f>
        <v>12507.645019612199</v>
      </c>
      <c r="N809" s="13">
        <f t="shared" si="70"/>
        <v>383.44044257707537</v>
      </c>
      <c r="O809" s="13">
        <f t="shared" si="71"/>
        <v>24631.84959664732</v>
      </c>
    </row>
    <row r="810" spans="1:15" x14ac:dyDescent="0.25">
      <c r="A810" s="1" t="s">
        <v>0</v>
      </c>
      <c r="B810" s="1" t="s">
        <v>4</v>
      </c>
      <c r="C810" s="1" t="s">
        <v>6</v>
      </c>
      <c r="D810" s="1">
        <v>19</v>
      </c>
      <c r="E810" s="1">
        <v>36.575000000000003</v>
      </c>
      <c r="F810" s="1">
        <v>0</v>
      </c>
      <c r="G810" s="7">
        <f t="shared" si="69"/>
        <v>1</v>
      </c>
      <c r="H810" s="7">
        <f t="shared" si="72"/>
        <v>0</v>
      </c>
      <c r="I810" s="7">
        <f t="shared" si="73"/>
        <v>0</v>
      </c>
      <c r="J810" s="7">
        <f t="shared" si="73"/>
        <v>1</v>
      </c>
      <c r="K810" s="7">
        <f t="shared" si="73"/>
        <v>0</v>
      </c>
      <c r="L810" s="11">
        <v>2136.8822500000001</v>
      </c>
      <c r="M810" s="12" cm="1">
        <f t="array" ref="M810">IF(($R$34+SUMPRODUCT(TRANSPOSE(D810:K810),$R$35:$R$42))&lt;0,"-",$R$34+SUMPRODUCT(TRANSPOSE(D810:K810),$R$35:$R$42))</f>
        <v>4994.7687884342376</v>
      </c>
      <c r="N810" s="13" t="str">
        <f t="shared" si="70"/>
        <v>-</v>
      </c>
      <c r="O810" s="13">
        <f t="shared" si="71"/>
        <v>17118.973365469363</v>
      </c>
    </row>
    <row r="811" spans="1:15" x14ac:dyDescent="0.25">
      <c r="A811" s="1" t="s">
        <v>3</v>
      </c>
      <c r="B811" s="1" t="s">
        <v>4</v>
      </c>
      <c r="C811" s="1" t="s">
        <v>5</v>
      </c>
      <c r="D811" s="1">
        <v>18</v>
      </c>
      <c r="E811" s="1">
        <v>30.14</v>
      </c>
      <c r="F811" s="1">
        <v>0</v>
      </c>
      <c r="G811" s="7">
        <f t="shared" si="69"/>
        <v>0</v>
      </c>
      <c r="H811" s="7">
        <f t="shared" si="72"/>
        <v>0</v>
      </c>
      <c r="I811" s="7">
        <f t="shared" si="73"/>
        <v>1</v>
      </c>
      <c r="J811" s="7">
        <f t="shared" si="73"/>
        <v>0</v>
      </c>
      <c r="K811" s="7">
        <f t="shared" si="73"/>
        <v>0</v>
      </c>
      <c r="L811" s="11">
        <v>1131.5065999999999</v>
      </c>
      <c r="M811" s="12" cm="1">
        <f t="array" ref="M811">IF(($R$34+SUMPRODUCT(TRANSPOSE(D811:K811),$R$35:$R$42))&lt;0,"-",$R$34+SUMPRODUCT(TRANSPOSE(D811:K811),$R$35:$R$42))</f>
        <v>1741.8300525528484</v>
      </c>
      <c r="N811" s="13" t="str">
        <f t="shared" si="70"/>
        <v>-</v>
      </c>
      <c r="O811" s="13">
        <f t="shared" si="71"/>
        <v>13866.034629587972</v>
      </c>
    </row>
    <row r="812" spans="1:15" x14ac:dyDescent="0.25">
      <c r="A812" s="1" t="s">
        <v>3</v>
      </c>
      <c r="B812" s="1" t="s">
        <v>4</v>
      </c>
      <c r="C812" s="1" t="s">
        <v>7</v>
      </c>
      <c r="D812" s="1">
        <v>25</v>
      </c>
      <c r="E812" s="1">
        <v>25.84</v>
      </c>
      <c r="F812" s="1">
        <v>1</v>
      </c>
      <c r="G812" s="7">
        <f t="shared" si="69"/>
        <v>0</v>
      </c>
      <c r="H812" s="7">
        <f t="shared" si="72"/>
        <v>0</v>
      </c>
      <c r="I812" s="7">
        <f t="shared" si="73"/>
        <v>0</v>
      </c>
      <c r="J812" s="7">
        <f t="shared" si="73"/>
        <v>0</v>
      </c>
      <c r="K812" s="7">
        <f t="shared" si="73"/>
        <v>1</v>
      </c>
      <c r="L812" s="11">
        <v>3309.7926000000002</v>
      </c>
      <c r="M812" s="12" cm="1">
        <f t="array" ref="M812">IF(($R$34+SUMPRODUCT(TRANSPOSE(D812:K812),$R$35:$R$42))&lt;0,"-",$R$34+SUMPRODUCT(TRANSPOSE(D812:K812),$R$35:$R$42))</f>
        <v>3591.8152643246212</v>
      </c>
      <c r="N812" s="13" t="str">
        <f t="shared" si="70"/>
        <v>-</v>
      </c>
      <c r="O812" s="13">
        <f t="shared" si="71"/>
        <v>15716.019841359745</v>
      </c>
    </row>
    <row r="813" spans="1:15" x14ac:dyDescent="0.25">
      <c r="A813" s="1" t="s">
        <v>0</v>
      </c>
      <c r="B813" s="1" t="s">
        <v>4</v>
      </c>
      <c r="C813" s="1" t="s">
        <v>2</v>
      </c>
      <c r="D813" s="1">
        <v>46</v>
      </c>
      <c r="E813" s="1">
        <v>30.8</v>
      </c>
      <c r="F813" s="1">
        <v>3</v>
      </c>
      <c r="G813" s="7">
        <f t="shared" si="69"/>
        <v>1</v>
      </c>
      <c r="H813" s="7">
        <f t="shared" si="72"/>
        <v>0</v>
      </c>
      <c r="I813" s="7">
        <f t="shared" si="73"/>
        <v>0</v>
      </c>
      <c r="J813" s="7">
        <f t="shared" si="73"/>
        <v>0</v>
      </c>
      <c r="K813" s="7">
        <f t="shared" si="73"/>
        <v>0</v>
      </c>
      <c r="L813" s="11">
        <v>9414.92</v>
      </c>
      <c r="M813" s="12" cm="1">
        <f t="array" ref="M813">IF(($R$34+SUMPRODUCT(TRANSPOSE(D813:K813),$R$35:$R$42))&lt;0,"-",$R$34+SUMPRODUCT(TRANSPOSE(D813:K813),$R$35:$R$42))</f>
        <v>10790.46265591124</v>
      </c>
      <c r="N813" s="13" t="str">
        <f t="shared" si="70"/>
        <v>-</v>
      </c>
      <c r="O813" s="13">
        <f t="shared" si="71"/>
        <v>22914.667232946362</v>
      </c>
    </row>
    <row r="814" spans="1:15" x14ac:dyDescent="0.25">
      <c r="A814" s="1" t="s">
        <v>0</v>
      </c>
      <c r="B814" s="1" t="s">
        <v>4</v>
      </c>
      <c r="C814" s="1" t="s">
        <v>6</v>
      </c>
      <c r="D814" s="1">
        <v>33</v>
      </c>
      <c r="E814" s="1">
        <v>42.94</v>
      </c>
      <c r="F814" s="1">
        <v>3</v>
      </c>
      <c r="G814" s="7">
        <f t="shared" si="69"/>
        <v>1</v>
      </c>
      <c r="H814" s="7">
        <f t="shared" si="72"/>
        <v>0</v>
      </c>
      <c r="I814" s="7">
        <f t="shared" si="73"/>
        <v>0</v>
      </c>
      <c r="J814" s="7">
        <f t="shared" si="73"/>
        <v>1</v>
      </c>
      <c r="K814" s="7">
        <f t="shared" si="73"/>
        <v>0</v>
      </c>
      <c r="L814" s="11">
        <v>6360.9935999999998</v>
      </c>
      <c r="M814" s="12" cm="1">
        <f t="array" ref="M814">IF(($R$34+SUMPRODUCT(TRANSPOSE(D814:K814),$R$35:$R$42))&lt;0,"-",$R$34+SUMPRODUCT(TRANSPOSE(D814:K814),$R$35:$R$42))</f>
        <v>12176.225691637504</v>
      </c>
      <c r="N814" s="13">
        <f t="shared" si="70"/>
        <v>52.021114602381203</v>
      </c>
      <c r="O814" s="13">
        <f t="shared" si="71"/>
        <v>24300.43026867263</v>
      </c>
    </row>
    <row r="815" spans="1:15" x14ac:dyDescent="0.25">
      <c r="A815" s="1" t="s">
        <v>3</v>
      </c>
      <c r="B815" s="1" t="s">
        <v>4</v>
      </c>
      <c r="C815" s="1" t="s">
        <v>5</v>
      </c>
      <c r="D815" s="1">
        <v>54</v>
      </c>
      <c r="E815" s="1">
        <v>21.01</v>
      </c>
      <c r="F815" s="1">
        <v>2</v>
      </c>
      <c r="G815" s="7">
        <f t="shared" si="69"/>
        <v>0</v>
      </c>
      <c r="H815" s="7">
        <f t="shared" si="72"/>
        <v>0</v>
      </c>
      <c r="I815" s="7">
        <f t="shared" si="73"/>
        <v>1</v>
      </c>
      <c r="J815" s="7">
        <f t="shared" si="73"/>
        <v>0</v>
      </c>
      <c r="K815" s="7">
        <f t="shared" si="73"/>
        <v>0</v>
      </c>
      <c r="L815" s="11">
        <v>11013.7119</v>
      </c>
      <c r="M815" s="12" cm="1">
        <f t="array" ref="M815">IF(($R$34+SUMPRODUCT(TRANSPOSE(D815:K815),$R$35:$R$42))&lt;0,"-",$R$34+SUMPRODUCT(TRANSPOSE(D815:K815),$R$35:$R$42))</f>
        <v>8842.823602728673</v>
      </c>
      <c r="N815" s="13" t="str">
        <f t="shared" si="70"/>
        <v>-</v>
      </c>
      <c r="O815" s="13">
        <f t="shared" si="71"/>
        <v>20967.028179763794</v>
      </c>
    </row>
    <row r="816" spans="1:15" x14ac:dyDescent="0.25">
      <c r="A816" s="1" t="s">
        <v>3</v>
      </c>
      <c r="B816" s="1" t="s">
        <v>4</v>
      </c>
      <c r="C816" s="1" t="s">
        <v>7</v>
      </c>
      <c r="D816" s="1">
        <v>28</v>
      </c>
      <c r="E816" s="1">
        <v>22.515000000000001</v>
      </c>
      <c r="F816" s="1">
        <v>2</v>
      </c>
      <c r="G816" s="7">
        <f t="shared" si="69"/>
        <v>0</v>
      </c>
      <c r="H816" s="7">
        <f t="shared" si="72"/>
        <v>0</v>
      </c>
      <c r="I816" s="7">
        <f t="shared" si="73"/>
        <v>0</v>
      </c>
      <c r="J816" s="7">
        <f t="shared" si="73"/>
        <v>0</v>
      </c>
      <c r="K816" s="7">
        <f t="shared" si="73"/>
        <v>1</v>
      </c>
      <c r="L816" s="11">
        <v>4428.8878500000001</v>
      </c>
      <c r="M816" s="12" cm="1">
        <f t="array" ref="M816">IF(($R$34+SUMPRODUCT(TRANSPOSE(D816:K816),$R$35:$R$42))&lt;0,"-",$R$34+SUMPRODUCT(TRANSPOSE(D816:K816),$R$35:$R$42))</f>
        <v>3710.066633829756</v>
      </c>
      <c r="N816" s="13" t="str">
        <f t="shared" si="70"/>
        <v>-</v>
      </c>
      <c r="O816" s="13">
        <f t="shared" si="71"/>
        <v>15834.271210864879</v>
      </c>
    </row>
    <row r="817" spans="1:15" x14ac:dyDescent="0.25">
      <c r="A817" s="1" t="s">
        <v>3</v>
      </c>
      <c r="B817" s="1" t="s">
        <v>4</v>
      </c>
      <c r="C817" s="1" t="s">
        <v>5</v>
      </c>
      <c r="D817" s="1">
        <v>36</v>
      </c>
      <c r="E817" s="1">
        <v>34.43</v>
      </c>
      <c r="F817" s="1">
        <v>2</v>
      </c>
      <c r="G817" s="7">
        <f t="shared" si="69"/>
        <v>0</v>
      </c>
      <c r="H817" s="7">
        <f t="shared" si="72"/>
        <v>0</v>
      </c>
      <c r="I817" s="7">
        <f t="shared" si="73"/>
        <v>1</v>
      </c>
      <c r="J817" s="7">
        <f t="shared" si="73"/>
        <v>0</v>
      </c>
      <c r="K817" s="7">
        <f t="shared" si="73"/>
        <v>0</v>
      </c>
      <c r="L817" s="11">
        <v>5584.3056999999999</v>
      </c>
      <c r="M817" s="12" cm="1">
        <f t="array" ref="M817">IF(($R$34+SUMPRODUCT(TRANSPOSE(D817:K817),$R$35:$R$42))&lt;0,"-",$R$34+SUMPRODUCT(TRANSPOSE(D817:K817),$R$35:$R$42))</f>
        <v>8771.3854045138833</v>
      </c>
      <c r="N817" s="13" t="str">
        <f t="shared" si="70"/>
        <v>-</v>
      </c>
      <c r="O817" s="13">
        <f t="shared" si="71"/>
        <v>20895.589981549005</v>
      </c>
    </row>
    <row r="818" spans="1:15" x14ac:dyDescent="0.25">
      <c r="A818" s="1" t="s">
        <v>0</v>
      </c>
      <c r="B818" s="1" t="s">
        <v>4</v>
      </c>
      <c r="C818" s="1" t="s">
        <v>5</v>
      </c>
      <c r="D818" s="1">
        <v>20</v>
      </c>
      <c r="E818" s="1">
        <v>31.46</v>
      </c>
      <c r="F818" s="1">
        <v>0</v>
      </c>
      <c r="G818" s="7">
        <f t="shared" si="69"/>
        <v>1</v>
      </c>
      <c r="H818" s="7">
        <f t="shared" si="72"/>
        <v>0</v>
      </c>
      <c r="I818" s="7">
        <f t="shared" si="73"/>
        <v>1</v>
      </c>
      <c r="J818" s="7">
        <f t="shared" si="73"/>
        <v>0</v>
      </c>
      <c r="K818" s="7">
        <f t="shared" si="73"/>
        <v>0</v>
      </c>
      <c r="L818" s="11">
        <v>1877.9294</v>
      </c>
      <c r="M818" s="12" cm="1">
        <f t="array" ref="M818">IF(($R$34+SUMPRODUCT(TRANSPOSE(D818:K818),$R$35:$R$42))&lt;0,"-",$R$34+SUMPRODUCT(TRANSPOSE(D818:K818),$R$35:$R$42))</f>
        <v>2834.5924757889588</v>
      </c>
      <c r="N818" s="13" t="str">
        <f t="shared" si="70"/>
        <v>-</v>
      </c>
      <c r="O818" s="13">
        <f t="shared" si="71"/>
        <v>14958.797052824082</v>
      </c>
    </row>
    <row r="819" spans="1:15" x14ac:dyDescent="0.25">
      <c r="A819" s="1" t="s">
        <v>0</v>
      </c>
      <c r="B819" s="1" t="s">
        <v>4</v>
      </c>
      <c r="C819" s="1" t="s">
        <v>6</v>
      </c>
      <c r="D819" s="1">
        <v>24</v>
      </c>
      <c r="E819" s="1">
        <v>24.225000000000001</v>
      </c>
      <c r="F819" s="1">
        <v>0</v>
      </c>
      <c r="G819" s="7">
        <f t="shared" si="69"/>
        <v>1</v>
      </c>
      <c r="H819" s="7">
        <f t="shared" si="72"/>
        <v>0</v>
      </c>
      <c r="I819" s="7">
        <f t="shared" si="73"/>
        <v>0</v>
      </c>
      <c r="J819" s="7">
        <f t="shared" si="73"/>
        <v>1</v>
      </c>
      <c r="K819" s="7">
        <f t="shared" si="73"/>
        <v>0</v>
      </c>
      <c r="L819" s="11">
        <v>2842.7607499999999</v>
      </c>
      <c r="M819" s="12" cm="1">
        <f t="array" ref="M819">IF(($R$34+SUMPRODUCT(TRANSPOSE(D819:K819),$R$35:$R$42))&lt;0,"-",$R$34+SUMPRODUCT(TRANSPOSE(D819:K819),$R$35:$R$42))</f>
        <v>2090.011399027102</v>
      </c>
      <c r="N819" s="13" t="str">
        <f t="shared" si="70"/>
        <v>-</v>
      </c>
      <c r="O819" s="13">
        <f t="shared" si="71"/>
        <v>14214.215976062225</v>
      </c>
    </row>
    <row r="820" spans="1:15" x14ac:dyDescent="0.25">
      <c r="A820" s="1" t="s">
        <v>3</v>
      </c>
      <c r="B820" s="1" t="s">
        <v>4</v>
      </c>
      <c r="C820" s="1" t="s">
        <v>2</v>
      </c>
      <c r="D820" s="1">
        <v>23</v>
      </c>
      <c r="E820" s="1">
        <v>37.1</v>
      </c>
      <c r="F820" s="1">
        <v>3</v>
      </c>
      <c r="G820" s="7">
        <f t="shared" si="69"/>
        <v>0</v>
      </c>
      <c r="H820" s="7">
        <f t="shared" si="72"/>
        <v>0</v>
      </c>
      <c r="I820" s="7">
        <f t="shared" si="73"/>
        <v>0</v>
      </c>
      <c r="J820" s="7">
        <f t="shared" si="73"/>
        <v>0</v>
      </c>
      <c r="K820" s="7">
        <f t="shared" si="73"/>
        <v>0</v>
      </c>
      <c r="L820" s="11">
        <v>3597.596</v>
      </c>
      <c r="M820" s="12" cm="1">
        <f t="array" ref="M820">IF(($R$34+SUMPRODUCT(TRANSPOSE(D820:K820),$R$35:$R$42))&lt;0,"-",$R$34+SUMPRODUCT(TRANSPOSE(D820:K820),$R$35:$R$42))</f>
        <v>6888.3709459054226</v>
      </c>
      <c r="N820" s="13" t="str">
        <f t="shared" si="70"/>
        <v>-</v>
      </c>
      <c r="O820" s="13">
        <f t="shared" si="71"/>
        <v>19012.575522940548</v>
      </c>
    </row>
    <row r="821" spans="1:15" x14ac:dyDescent="0.25">
      <c r="A821" s="1" t="s">
        <v>0</v>
      </c>
      <c r="B821" s="1" t="s">
        <v>1</v>
      </c>
      <c r="C821" s="1" t="s">
        <v>7</v>
      </c>
      <c r="D821" s="1">
        <v>47</v>
      </c>
      <c r="E821" s="1">
        <v>26.125</v>
      </c>
      <c r="F821" s="1">
        <v>1</v>
      </c>
      <c r="G821" s="7">
        <f t="shared" si="69"/>
        <v>1</v>
      </c>
      <c r="H821" s="7">
        <f t="shared" si="72"/>
        <v>1</v>
      </c>
      <c r="I821" s="7">
        <f t="shared" si="73"/>
        <v>0</v>
      </c>
      <c r="J821" s="7">
        <f t="shared" si="73"/>
        <v>0</v>
      </c>
      <c r="K821" s="7">
        <f t="shared" si="73"/>
        <v>1</v>
      </c>
      <c r="L821" s="11">
        <v>23401.30575</v>
      </c>
      <c r="M821" s="12" cm="1">
        <f t="array" ref="M821">IF(($R$34+SUMPRODUCT(TRANSPOSE(D821:K821),$R$35:$R$42))&lt;0,"-",$R$34+SUMPRODUCT(TRANSPOSE(D821:K821),$R$35:$R$42))</f>
        <v>33319.174055733267</v>
      </c>
      <c r="N821" s="13">
        <f t="shared" si="70"/>
        <v>21194.969478698142</v>
      </c>
      <c r="O821" s="13">
        <f t="shared" si="71"/>
        <v>45443.378632768392</v>
      </c>
    </row>
    <row r="822" spans="1:15" x14ac:dyDescent="0.25">
      <c r="A822" s="1" t="s">
        <v>0</v>
      </c>
      <c r="B822" s="1" t="s">
        <v>1</v>
      </c>
      <c r="C822" s="1" t="s">
        <v>6</v>
      </c>
      <c r="D822" s="1">
        <v>33</v>
      </c>
      <c r="E822" s="1">
        <v>35.53</v>
      </c>
      <c r="F822" s="1">
        <v>0</v>
      </c>
      <c r="G822" s="7">
        <f t="shared" si="69"/>
        <v>1</v>
      </c>
      <c r="H822" s="7">
        <f t="shared" si="72"/>
        <v>1</v>
      </c>
      <c r="I822" s="7">
        <f t="shared" si="73"/>
        <v>0</v>
      </c>
      <c r="J822" s="7">
        <f t="shared" si="73"/>
        <v>1</v>
      </c>
      <c r="K822" s="7">
        <f t="shared" si="73"/>
        <v>0</v>
      </c>
      <c r="L822" s="11">
        <v>55135.402090000003</v>
      </c>
      <c r="M822" s="12" cm="1">
        <f t="array" ref="M822">IF(($R$34+SUMPRODUCT(TRANSPOSE(D822:K822),$R$35:$R$42))&lt;0,"-",$R$34+SUMPRODUCT(TRANSPOSE(D822:K822),$R$35:$R$42))</f>
        <v>32084.835106846571</v>
      </c>
      <c r="N822" s="13">
        <f t="shared" si="70"/>
        <v>19960.630529811446</v>
      </c>
      <c r="O822" s="13">
        <f t="shared" si="71"/>
        <v>44209.039683881696</v>
      </c>
    </row>
    <row r="823" spans="1:15" x14ac:dyDescent="0.25">
      <c r="A823" s="1" t="s">
        <v>3</v>
      </c>
      <c r="B823" s="1" t="s">
        <v>4</v>
      </c>
      <c r="C823" s="1" t="s">
        <v>2</v>
      </c>
      <c r="D823" s="1">
        <v>45</v>
      </c>
      <c r="E823" s="1">
        <v>33.700000000000003</v>
      </c>
      <c r="F823" s="1">
        <v>1</v>
      </c>
      <c r="G823" s="7">
        <f t="shared" si="69"/>
        <v>0</v>
      </c>
      <c r="H823" s="7">
        <f t="shared" si="72"/>
        <v>0</v>
      </c>
      <c r="I823" s="7">
        <f t="shared" si="73"/>
        <v>0</v>
      </c>
      <c r="J823" s="7">
        <f t="shared" si="73"/>
        <v>0</v>
      </c>
      <c r="K823" s="7">
        <f t="shared" si="73"/>
        <v>0</v>
      </c>
      <c r="L823" s="11">
        <v>7445.9179999999997</v>
      </c>
      <c r="M823" s="12" cm="1">
        <f t="array" ref="M823">IF(($R$34+SUMPRODUCT(TRANSPOSE(D823:K823),$R$35:$R$42))&lt;0,"-",$R$34+SUMPRODUCT(TRANSPOSE(D823:K823),$R$35:$R$42))</f>
        <v>10434.951869151959</v>
      </c>
      <c r="N823" s="13" t="str">
        <f t="shared" si="70"/>
        <v>-</v>
      </c>
      <c r="O823" s="13">
        <f t="shared" si="71"/>
        <v>22559.15644618708</v>
      </c>
    </row>
    <row r="824" spans="1:15" x14ac:dyDescent="0.25">
      <c r="A824" s="1" t="s">
        <v>3</v>
      </c>
      <c r="B824" s="1" t="s">
        <v>4</v>
      </c>
      <c r="C824" s="1" t="s">
        <v>6</v>
      </c>
      <c r="D824" s="1">
        <v>26</v>
      </c>
      <c r="E824" s="1">
        <v>17.670000000000002</v>
      </c>
      <c r="F824" s="1">
        <v>0</v>
      </c>
      <c r="G824" s="7">
        <f t="shared" si="69"/>
        <v>0</v>
      </c>
      <c r="H824" s="7">
        <f t="shared" si="72"/>
        <v>0</v>
      </c>
      <c r="I824" s="7">
        <f t="shared" si="73"/>
        <v>0</v>
      </c>
      <c r="J824" s="7">
        <f t="shared" si="73"/>
        <v>1</v>
      </c>
      <c r="K824" s="7">
        <f t="shared" si="73"/>
        <v>0</v>
      </c>
      <c r="L824" s="11">
        <v>2680.9493000000002</v>
      </c>
      <c r="M824" s="12" cm="1">
        <f t="array" ref="M824">IF(($R$34+SUMPRODUCT(TRANSPOSE(D824:K824),$R$35:$R$42))&lt;0,"-",$R$34+SUMPRODUCT(TRANSPOSE(D824:K824),$R$35:$R$42))</f>
        <v>248.99665628763614</v>
      </c>
      <c r="N824" s="13" t="str">
        <f t="shared" si="70"/>
        <v>-</v>
      </c>
      <c r="O824" s="13">
        <f t="shared" si="71"/>
        <v>12373.201233322759</v>
      </c>
    </row>
    <row r="825" spans="1:15" x14ac:dyDescent="0.25">
      <c r="A825" s="1" t="s">
        <v>0</v>
      </c>
      <c r="B825" s="1" t="s">
        <v>4</v>
      </c>
      <c r="C825" s="1" t="s">
        <v>5</v>
      </c>
      <c r="D825" s="1">
        <v>18</v>
      </c>
      <c r="E825" s="1">
        <v>31.13</v>
      </c>
      <c r="F825" s="1">
        <v>0</v>
      </c>
      <c r="G825" s="7">
        <f t="shared" si="69"/>
        <v>1</v>
      </c>
      <c r="H825" s="7">
        <f t="shared" si="72"/>
        <v>0</v>
      </c>
      <c r="I825" s="7">
        <f t="shared" si="73"/>
        <v>1</v>
      </c>
      <c r="J825" s="7">
        <f t="shared" si="73"/>
        <v>0</v>
      </c>
      <c r="K825" s="7">
        <f t="shared" si="73"/>
        <v>0</v>
      </c>
      <c r="L825" s="11">
        <v>1621.8827000000001</v>
      </c>
      <c r="M825" s="12" cm="1">
        <f t="array" ref="M825">IF(($R$34+SUMPRODUCT(TRANSPOSE(D825:K825),$R$35:$R$42))&lt;0,"-",$R$34+SUMPRODUCT(TRANSPOSE(D825:K825),$R$35:$R$42))</f>
        <v>2208.9459310226866</v>
      </c>
      <c r="N825" s="13" t="str">
        <f t="shared" si="70"/>
        <v>-</v>
      </c>
      <c r="O825" s="13">
        <f t="shared" si="71"/>
        <v>14333.15050805781</v>
      </c>
    </row>
    <row r="826" spans="1:15" x14ac:dyDescent="0.25">
      <c r="A826" s="1" t="s">
        <v>0</v>
      </c>
      <c r="B826" s="1" t="s">
        <v>4</v>
      </c>
      <c r="C826" s="1" t="s">
        <v>5</v>
      </c>
      <c r="D826" s="1">
        <v>44</v>
      </c>
      <c r="E826" s="1">
        <v>29.81</v>
      </c>
      <c r="F826" s="1">
        <v>2</v>
      </c>
      <c r="G826" s="7">
        <f t="shared" si="69"/>
        <v>1</v>
      </c>
      <c r="H826" s="7">
        <f t="shared" si="72"/>
        <v>0</v>
      </c>
      <c r="I826" s="7">
        <f t="shared" si="73"/>
        <v>1</v>
      </c>
      <c r="J826" s="7">
        <f t="shared" si="73"/>
        <v>0</v>
      </c>
      <c r="K826" s="7">
        <f t="shared" si="73"/>
        <v>0</v>
      </c>
      <c r="L826" s="11">
        <v>8219.2039000000004</v>
      </c>
      <c r="M826" s="12" cm="1">
        <f t="array" ref="M826">IF(($R$34+SUMPRODUCT(TRANSPOSE(D826:K826),$R$35:$R$42))&lt;0,"-",$R$34+SUMPRODUCT(TRANSPOSE(D826:K826),$R$35:$R$42))</f>
        <v>9390.4768285256869</v>
      </c>
      <c r="N826" s="13" t="str">
        <f t="shared" si="70"/>
        <v>-</v>
      </c>
      <c r="O826" s="13">
        <f t="shared" si="71"/>
        <v>21514.681405560812</v>
      </c>
    </row>
    <row r="827" spans="1:15" x14ac:dyDescent="0.25">
      <c r="A827" s="1" t="s">
        <v>3</v>
      </c>
      <c r="B827" s="1" t="s">
        <v>4</v>
      </c>
      <c r="C827" s="1" t="s">
        <v>6</v>
      </c>
      <c r="D827" s="1">
        <v>60</v>
      </c>
      <c r="E827" s="1">
        <v>24.32</v>
      </c>
      <c r="F827" s="1">
        <v>0</v>
      </c>
      <c r="G827" s="7">
        <f t="shared" si="69"/>
        <v>0</v>
      </c>
      <c r="H827" s="7">
        <f t="shared" si="72"/>
        <v>0</v>
      </c>
      <c r="I827" s="7">
        <f t="shared" si="73"/>
        <v>0</v>
      </c>
      <c r="J827" s="7">
        <f t="shared" si="73"/>
        <v>1</v>
      </c>
      <c r="K827" s="7">
        <f t="shared" si="73"/>
        <v>0</v>
      </c>
      <c r="L827" s="11">
        <v>12523.604799999999</v>
      </c>
      <c r="M827" s="12" cm="1">
        <f t="array" ref="M827">IF(($R$34+SUMPRODUCT(TRANSPOSE(D827:K827),$R$35:$R$42))&lt;0,"-",$R$34+SUMPRODUCT(TRANSPOSE(D827:K827),$R$35:$R$42))</f>
        <v>11237.749109069551</v>
      </c>
      <c r="N827" s="13" t="str">
        <f t="shared" si="70"/>
        <v>-</v>
      </c>
      <c r="O827" s="13">
        <f t="shared" si="71"/>
        <v>23361.953686104673</v>
      </c>
    </row>
    <row r="828" spans="1:15" x14ac:dyDescent="0.25">
      <c r="A828" s="1" t="s">
        <v>0</v>
      </c>
      <c r="B828" s="1" t="s">
        <v>4</v>
      </c>
      <c r="C828" s="1" t="s">
        <v>7</v>
      </c>
      <c r="D828" s="1">
        <v>64</v>
      </c>
      <c r="E828" s="1">
        <v>31.824999999999999</v>
      </c>
      <c r="F828" s="1">
        <v>2</v>
      </c>
      <c r="G828" s="7">
        <f t="shared" si="69"/>
        <v>1</v>
      </c>
      <c r="H828" s="7">
        <f t="shared" si="72"/>
        <v>0</v>
      </c>
      <c r="I828" s="7">
        <f t="shared" si="73"/>
        <v>0</v>
      </c>
      <c r="J828" s="7">
        <f t="shared" si="73"/>
        <v>0</v>
      </c>
      <c r="K828" s="7">
        <f t="shared" si="73"/>
        <v>1</v>
      </c>
      <c r="L828" s="11">
        <v>16069.08475</v>
      </c>
      <c r="M828" s="12" cm="1">
        <f t="array" ref="M828">IF(($R$34+SUMPRODUCT(TRANSPOSE(D828:K828),$R$35:$R$42))&lt;0,"-",$R$34+SUMPRODUCT(TRANSPOSE(D828:K828),$R$35:$R$42))</f>
        <v>16246.100737686309</v>
      </c>
      <c r="N828" s="13">
        <f t="shared" si="70"/>
        <v>4121.8961606511857</v>
      </c>
      <c r="O828" s="13">
        <f t="shared" si="71"/>
        <v>28370.30531472143</v>
      </c>
    </row>
    <row r="829" spans="1:15" x14ac:dyDescent="0.25">
      <c r="A829" s="1" t="s">
        <v>3</v>
      </c>
      <c r="B829" s="1" t="s">
        <v>1</v>
      </c>
      <c r="C829" s="1" t="s">
        <v>5</v>
      </c>
      <c r="D829" s="1">
        <v>56</v>
      </c>
      <c r="E829" s="1">
        <v>31.79</v>
      </c>
      <c r="F829" s="1">
        <v>2</v>
      </c>
      <c r="G829" s="7">
        <f t="shared" si="69"/>
        <v>0</v>
      </c>
      <c r="H829" s="7">
        <f t="shared" si="72"/>
        <v>1</v>
      </c>
      <c r="I829" s="7">
        <f t="shared" si="73"/>
        <v>1</v>
      </c>
      <c r="J829" s="7">
        <f t="shared" si="73"/>
        <v>0</v>
      </c>
      <c r="K829" s="7">
        <f t="shared" si="73"/>
        <v>0</v>
      </c>
      <c r="L829" s="11">
        <v>43813.866099999999</v>
      </c>
      <c r="M829" s="12" cm="1">
        <f t="array" ref="M829">IF(($R$34+SUMPRODUCT(TRANSPOSE(D829:K829),$R$35:$R$42))&lt;0,"-",$R$34+SUMPRODUCT(TRANSPOSE(D829:K829),$R$35:$R$42))</f>
        <v>36861.57627964102</v>
      </c>
      <c r="N829" s="13">
        <f t="shared" si="70"/>
        <v>24737.371702605895</v>
      </c>
      <c r="O829" s="13">
        <f t="shared" si="71"/>
        <v>48985.780856676145</v>
      </c>
    </row>
    <row r="830" spans="1:15" x14ac:dyDescent="0.25">
      <c r="A830" s="1" t="s">
        <v>3</v>
      </c>
      <c r="B830" s="1" t="s">
        <v>1</v>
      </c>
      <c r="C830" s="1" t="s">
        <v>7</v>
      </c>
      <c r="D830" s="1">
        <v>36</v>
      </c>
      <c r="E830" s="1">
        <v>28.024999999999999</v>
      </c>
      <c r="F830" s="1">
        <v>1</v>
      </c>
      <c r="G830" s="7">
        <f t="shared" si="69"/>
        <v>0</v>
      </c>
      <c r="H830" s="7">
        <f t="shared" si="72"/>
        <v>1</v>
      </c>
      <c r="I830" s="7">
        <f t="shared" si="73"/>
        <v>0</v>
      </c>
      <c r="J830" s="7">
        <f t="shared" si="73"/>
        <v>0</v>
      </c>
      <c r="K830" s="7">
        <f t="shared" si="73"/>
        <v>1</v>
      </c>
      <c r="L830" s="11">
        <v>20773.62775</v>
      </c>
      <c r="M830" s="12" cm="1">
        <f t="array" ref="M830">IF(($R$34+SUMPRODUCT(TRANSPOSE(D830:K830),$R$35:$R$42))&lt;0,"-",$R$34+SUMPRODUCT(TRANSPOSE(D830:K830),$R$35:$R$42))</f>
        <v>31006.907380287928</v>
      </c>
      <c r="N830" s="13">
        <f t="shared" si="70"/>
        <v>18882.702803252803</v>
      </c>
      <c r="O830" s="13">
        <f t="shared" si="71"/>
        <v>43131.111957323054</v>
      </c>
    </row>
    <row r="831" spans="1:15" x14ac:dyDescent="0.25">
      <c r="A831" s="1" t="s">
        <v>3</v>
      </c>
      <c r="B831" s="1" t="s">
        <v>1</v>
      </c>
      <c r="C831" s="1" t="s">
        <v>7</v>
      </c>
      <c r="D831" s="1">
        <v>41</v>
      </c>
      <c r="E831" s="1">
        <v>30.78</v>
      </c>
      <c r="F831" s="1">
        <v>3</v>
      </c>
      <c r="G831" s="7">
        <f t="shared" si="69"/>
        <v>0</v>
      </c>
      <c r="H831" s="7">
        <f t="shared" si="72"/>
        <v>1</v>
      </c>
      <c r="I831" s="7">
        <f t="shared" si="73"/>
        <v>0</v>
      </c>
      <c r="J831" s="7">
        <f t="shared" si="73"/>
        <v>0</v>
      </c>
      <c r="K831" s="7">
        <f t="shared" si="73"/>
        <v>1</v>
      </c>
      <c r="L831" s="11">
        <v>39597.407200000001</v>
      </c>
      <c r="M831" s="12" cm="1">
        <f t="array" ref="M831">IF(($R$34+SUMPRODUCT(TRANSPOSE(D831:K831),$R$35:$R$42))&lt;0,"-",$R$34+SUMPRODUCT(TRANSPOSE(D831:K831),$R$35:$R$42))</f>
        <v>34176.668197970794</v>
      </c>
      <c r="N831" s="13">
        <f t="shared" si="70"/>
        <v>22052.463620935669</v>
      </c>
      <c r="O831" s="13">
        <f t="shared" si="71"/>
        <v>46300.872775005919</v>
      </c>
    </row>
    <row r="832" spans="1:15" x14ac:dyDescent="0.25">
      <c r="A832" s="1" t="s">
        <v>3</v>
      </c>
      <c r="B832" s="1" t="s">
        <v>4</v>
      </c>
      <c r="C832" s="1" t="s">
        <v>6</v>
      </c>
      <c r="D832" s="1">
        <v>39</v>
      </c>
      <c r="E832" s="1">
        <v>21.85</v>
      </c>
      <c r="F832" s="1">
        <v>1</v>
      </c>
      <c r="G832" s="7">
        <f t="shared" si="69"/>
        <v>0</v>
      </c>
      <c r="H832" s="7">
        <f t="shared" si="72"/>
        <v>0</v>
      </c>
      <c r="I832" s="7">
        <f t="shared" si="73"/>
        <v>0</v>
      </c>
      <c r="J832" s="7">
        <f t="shared" si="73"/>
        <v>1</v>
      </c>
      <c r="K832" s="7">
        <f t="shared" si="73"/>
        <v>0</v>
      </c>
      <c r="L832" s="11">
        <v>6117.4944999999998</v>
      </c>
      <c r="M832" s="12" cm="1">
        <f t="array" ref="M832">IF(($R$34+SUMPRODUCT(TRANSPOSE(D832:K832),$R$35:$R$42))&lt;0,"-",$R$34+SUMPRODUCT(TRANSPOSE(D832:K832),$R$35:$R$42))</f>
        <v>5481.4584205156025</v>
      </c>
      <c r="N832" s="13" t="str">
        <f t="shared" si="70"/>
        <v>-</v>
      </c>
      <c r="O832" s="13">
        <f t="shared" si="71"/>
        <v>17605.662997550724</v>
      </c>
    </row>
    <row r="833" spans="1:15" x14ac:dyDescent="0.25">
      <c r="A833" s="1" t="s">
        <v>3</v>
      </c>
      <c r="B833" s="1" t="s">
        <v>4</v>
      </c>
      <c r="C833" s="1" t="s">
        <v>2</v>
      </c>
      <c r="D833" s="1">
        <v>63</v>
      </c>
      <c r="E833" s="1">
        <v>33.1</v>
      </c>
      <c r="F833" s="1">
        <v>0</v>
      </c>
      <c r="G833" s="7">
        <f t="shared" si="69"/>
        <v>0</v>
      </c>
      <c r="H833" s="7">
        <f t="shared" si="72"/>
        <v>0</v>
      </c>
      <c r="I833" s="7">
        <f t="shared" si="73"/>
        <v>0</v>
      </c>
      <c r="J833" s="7">
        <f t="shared" si="73"/>
        <v>0</v>
      </c>
      <c r="K833" s="7">
        <f t="shared" si="73"/>
        <v>0</v>
      </c>
      <c r="L833" s="11">
        <v>13393.755999999999</v>
      </c>
      <c r="M833" s="12" cm="1">
        <f t="array" ref="M833">IF(($R$34+SUMPRODUCT(TRANSPOSE(D833:K833),$R$35:$R$42))&lt;0,"-",$R$34+SUMPRODUCT(TRANSPOSE(D833:K833),$R$35:$R$42))</f>
        <v>14379.349597508583</v>
      </c>
      <c r="N833" s="13">
        <f t="shared" si="70"/>
        <v>2255.1450204734592</v>
      </c>
      <c r="O833" s="13">
        <f t="shared" si="71"/>
        <v>26503.554174543708</v>
      </c>
    </row>
    <row r="834" spans="1:15" x14ac:dyDescent="0.25">
      <c r="A834" s="1" t="s">
        <v>0</v>
      </c>
      <c r="B834" s="1" t="s">
        <v>4</v>
      </c>
      <c r="C834" s="1" t="s">
        <v>6</v>
      </c>
      <c r="D834" s="1">
        <v>36</v>
      </c>
      <c r="E834" s="1">
        <v>25.84</v>
      </c>
      <c r="F834" s="1">
        <v>0</v>
      </c>
      <c r="G834" s="7">
        <f t="shared" si="69"/>
        <v>1</v>
      </c>
      <c r="H834" s="7">
        <f t="shared" si="72"/>
        <v>0</v>
      </c>
      <c r="I834" s="7">
        <f t="shared" si="73"/>
        <v>0</v>
      </c>
      <c r="J834" s="7">
        <f t="shared" si="73"/>
        <v>1</v>
      </c>
      <c r="K834" s="7">
        <f t="shared" si="73"/>
        <v>0</v>
      </c>
      <c r="L834" s="11">
        <v>5266.3656000000001</v>
      </c>
      <c r="M834" s="12" cm="1">
        <f t="array" ref="M834">IF(($R$34+SUMPRODUCT(TRANSPOSE(D834:K834),$R$35:$R$42))&lt;0,"-",$R$34+SUMPRODUCT(TRANSPOSE(D834:K834),$R$35:$R$42))</f>
        <v>5720.0850570567854</v>
      </c>
      <c r="N834" s="13" t="str">
        <f t="shared" si="70"/>
        <v>-</v>
      </c>
      <c r="O834" s="13">
        <f t="shared" si="71"/>
        <v>17844.289634091911</v>
      </c>
    </row>
    <row r="835" spans="1:15" x14ac:dyDescent="0.25">
      <c r="A835" s="1" t="s">
        <v>0</v>
      </c>
      <c r="B835" s="1" t="s">
        <v>4</v>
      </c>
      <c r="C835" s="1" t="s">
        <v>6</v>
      </c>
      <c r="D835" s="1">
        <v>28</v>
      </c>
      <c r="E835" s="1">
        <v>23.844999999999999</v>
      </c>
      <c r="F835" s="1">
        <v>2</v>
      </c>
      <c r="G835" s="7">
        <f t="shared" ref="G835:G898" si="74">IF($A835=G$2,1,0)</f>
        <v>1</v>
      </c>
      <c r="H835" s="7">
        <f t="shared" si="72"/>
        <v>0</v>
      </c>
      <c r="I835" s="7">
        <f t="shared" si="73"/>
        <v>0</v>
      </c>
      <c r="J835" s="7">
        <f t="shared" si="73"/>
        <v>1</v>
      </c>
      <c r="K835" s="7">
        <f t="shared" si="73"/>
        <v>0</v>
      </c>
      <c r="L835" s="11">
        <v>4719.7365499999996</v>
      </c>
      <c r="M835" s="12" cm="1">
        <f t="array" ref="M835">IF(($R$34+SUMPRODUCT(TRANSPOSE(D835:K835),$R$35:$R$42))&lt;0,"-",$R$34+SUMPRODUCT(TRANSPOSE(D835:K835),$R$35:$R$42))</f>
        <v>3939.54438710264</v>
      </c>
      <c r="N835" s="13" t="str">
        <f t="shared" ref="N835:N898" si="75">IFERROR(IF($M835-(2*$R$24)&lt;0,"-",($M835-(2*$R$24))),"-")</f>
        <v>-</v>
      </c>
      <c r="O835" s="13">
        <f t="shared" ref="O835:O898" si="76">IFERROR(IF($L835+(2*$R$24)&lt;0,"-",($M835+(2*$R$24))),"-")</f>
        <v>16063.748964137763</v>
      </c>
    </row>
    <row r="836" spans="1:15" x14ac:dyDescent="0.25">
      <c r="A836" s="1" t="s">
        <v>3</v>
      </c>
      <c r="B836" s="1" t="s">
        <v>4</v>
      </c>
      <c r="C836" s="1" t="s">
        <v>6</v>
      </c>
      <c r="D836" s="1">
        <v>58</v>
      </c>
      <c r="E836" s="1">
        <v>34.39</v>
      </c>
      <c r="F836" s="1">
        <v>0</v>
      </c>
      <c r="G836" s="7">
        <f t="shared" si="74"/>
        <v>0</v>
      </c>
      <c r="H836" s="7">
        <f t="shared" ref="H836:H899" si="77">IF(B836="yes",1,0)</f>
        <v>0</v>
      </c>
      <c r="I836" s="7">
        <f t="shared" ref="I836:K899" si="78">IF($C836=I$2,1,0)</f>
        <v>0</v>
      </c>
      <c r="J836" s="7">
        <f t="shared" si="78"/>
        <v>1</v>
      </c>
      <c r="K836" s="7">
        <f t="shared" si="78"/>
        <v>0</v>
      </c>
      <c r="L836" s="11">
        <v>11743.9341</v>
      </c>
      <c r="M836" s="12" cm="1">
        <f t="array" ref="M836">IF(($R$34+SUMPRODUCT(TRANSPOSE(D836:K836),$R$35:$R$42))&lt;0,"-",$R$34+SUMPRODUCT(TRANSPOSE(D836:K836),$R$35:$R$42))</f>
        <v>14139.714481856015</v>
      </c>
      <c r="N836" s="13">
        <f t="shared" si="75"/>
        <v>2015.5099048208922</v>
      </c>
      <c r="O836" s="13">
        <f t="shared" si="76"/>
        <v>26263.919058891137</v>
      </c>
    </row>
    <row r="837" spans="1:15" x14ac:dyDescent="0.25">
      <c r="A837" s="1" t="s">
        <v>3</v>
      </c>
      <c r="B837" s="1" t="s">
        <v>4</v>
      </c>
      <c r="C837" s="1" t="s">
        <v>6</v>
      </c>
      <c r="D837" s="1">
        <v>36</v>
      </c>
      <c r="E837" s="1">
        <v>33.82</v>
      </c>
      <c r="F837" s="1">
        <v>1</v>
      </c>
      <c r="G837" s="7">
        <f t="shared" si="74"/>
        <v>0</v>
      </c>
      <c r="H837" s="7">
        <f t="shared" si="77"/>
        <v>0</v>
      </c>
      <c r="I837" s="7">
        <f t="shared" si="78"/>
        <v>0</v>
      </c>
      <c r="J837" s="7">
        <f t="shared" si="78"/>
        <v>1</v>
      </c>
      <c r="K837" s="7">
        <f t="shared" si="78"/>
        <v>0</v>
      </c>
      <c r="L837" s="11">
        <v>5377.4578000000001</v>
      </c>
      <c r="M837" s="12" cm="1">
        <f t="array" ref="M837">IF(($R$34+SUMPRODUCT(TRANSPOSE(D837:K837),$R$35:$R$42))&lt;0,"-",$R$34+SUMPRODUCT(TRANSPOSE(D837:K837),$R$35:$R$42))</f>
        <v>8771.0350026253145</v>
      </c>
      <c r="N837" s="13" t="str">
        <f t="shared" si="75"/>
        <v>-</v>
      </c>
      <c r="O837" s="13">
        <f t="shared" si="76"/>
        <v>20895.23957966044</v>
      </c>
    </row>
    <row r="838" spans="1:15" x14ac:dyDescent="0.25">
      <c r="A838" s="1" t="s">
        <v>3</v>
      </c>
      <c r="B838" s="1" t="s">
        <v>4</v>
      </c>
      <c r="C838" s="1" t="s">
        <v>5</v>
      </c>
      <c r="D838" s="1">
        <v>42</v>
      </c>
      <c r="E838" s="1">
        <v>35.97</v>
      </c>
      <c r="F838" s="1">
        <v>2</v>
      </c>
      <c r="G838" s="7">
        <f t="shared" si="74"/>
        <v>0</v>
      </c>
      <c r="H838" s="7">
        <f t="shared" si="77"/>
        <v>0</v>
      </c>
      <c r="I838" s="7">
        <f t="shared" si="78"/>
        <v>1</v>
      </c>
      <c r="J838" s="7">
        <f t="shared" si="78"/>
        <v>0</v>
      </c>
      <c r="K838" s="7">
        <f t="shared" si="78"/>
        <v>0</v>
      </c>
      <c r="L838" s="11">
        <v>7160.3302999999996</v>
      </c>
      <c r="M838" s="12" cm="1">
        <f t="array" ref="M838">IF(($R$34+SUMPRODUCT(TRANSPOSE(D838:K838),$R$35:$R$42))&lt;0,"-",$R$34+SUMPRODUCT(TRANSPOSE(D838:K838),$R$35:$R$42))</f>
        <v>10834.881438298664</v>
      </c>
      <c r="N838" s="13" t="str">
        <f t="shared" si="75"/>
        <v>-</v>
      </c>
      <c r="O838" s="13">
        <f t="shared" si="76"/>
        <v>22959.086015333785</v>
      </c>
    </row>
    <row r="839" spans="1:15" x14ac:dyDescent="0.25">
      <c r="A839" s="1" t="s">
        <v>3</v>
      </c>
      <c r="B839" s="1" t="s">
        <v>4</v>
      </c>
      <c r="C839" s="1" t="s">
        <v>2</v>
      </c>
      <c r="D839" s="1">
        <v>36</v>
      </c>
      <c r="E839" s="1">
        <v>31.5</v>
      </c>
      <c r="F839" s="1">
        <v>0</v>
      </c>
      <c r="G839" s="7">
        <f t="shared" si="74"/>
        <v>0</v>
      </c>
      <c r="H839" s="7">
        <f t="shared" si="77"/>
        <v>0</v>
      </c>
      <c r="I839" s="7">
        <f t="shared" si="78"/>
        <v>0</v>
      </c>
      <c r="J839" s="7">
        <f t="shared" si="78"/>
        <v>0</v>
      </c>
      <c r="K839" s="7">
        <f t="shared" si="78"/>
        <v>0</v>
      </c>
      <c r="L839" s="11">
        <v>4402.2330000000002</v>
      </c>
      <c r="M839" s="12" cm="1">
        <f t="array" ref="M839">IF(($R$34+SUMPRODUCT(TRANSPOSE(D839:K839),$R$35:$R$42))&lt;0,"-",$R$34+SUMPRODUCT(TRANSPOSE(D839:K839),$R$35:$R$42))</f>
        <v>6901.5185532228425</v>
      </c>
      <c r="N839" s="13" t="str">
        <f t="shared" si="75"/>
        <v>-</v>
      </c>
      <c r="O839" s="13">
        <f t="shared" si="76"/>
        <v>19025.723130257968</v>
      </c>
    </row>
    <row r="840" spans="1:15" x14ac:dyDescent="0.25">
      <c r="A840" s="1" t="s">
        <v>0</v>
      </c>
      <c r="B840" s="1" t="s">
        <v>4</v>
      </c>
      <c r="C840" s="1" t="s">
        <v>7</v>
      </c>
      <c r="D840" s="1">
        <v>56</v>
      </c>
      <c r="E840" s="1">
        <v>28.31</v>
      </c>
      <c r="F840" s="1">
        <v>0</v>
      </c>
      <c r="G840" s="7">
        <f t="shared" si="74"/>
        <v>1</v>
      </c>
      <c r="H840" s="7">
        <f t="shared" si="77"/>
        <v>0</v>
      </c>
      <c r="I840" s="7">
        <f t="shared" si="78"/>
        <v>0</v>
      </c>
      <c r="J840" s="7">
        <f t="shared" si="78"/>
        <v>0</v>
      </c>
      <c r="K840" s="7">
        <f t="shared" si="78"/>
        <v>1</v>
      </c>
      <c r="L840" s="11">
        <v>11657.7189</v>
      </c>
      <c r="M840" s="12" cm="1">
        <f t="array" ref="M840">IF(($R$34+SUMPRODUCT(TRANSPOSE(D840:K840),$R$35:$R$42))&lt;0,"-",$R$34+SUMPRODUCT(TRANSPOSE(D840:K840),$R$35:$R$42))</f>
        <v>12047.98383764716</v>
      </c>
      <c r="N840" s="13" t="str">
        <f t="shared" si="75"/>
        <v>-</v>
      </c>
      <c r="O840" s="13">
        <f t="shared" si="76"/>
        <v>24172.188414682285</v>
      </c>
    </row>
    <row r="841" spans="1:15" x14ac:dyDescent="0.25">
      <c r="A841" s="1" t="s">
        <v>0</v>
      </c>
      <c r="B841" s="1" t="s">
        <v>4</v>
      </c>
      <c r="C841" s="1" t="s">
        <v>7</v>
      </c>
      <c r="D841" s="1">
        <v>35</v>
      </c>
      <c r="E841" s="1">
        <v>23.465</v>
      </c>
      <c r="F841" s="1">
        <v>2</v>
      </c>
      <c r="G841" s="7">
        <f t="shared" si="74"/>
        <v>1</v>
      </c>
      <c r="H841" s="7">
        <f t="shared" si="77"/>
        <v>0</v>
      </c>
      <c r="I841" s="7">
        <f t="shared" si="78"/>
        <v>0</v>
      </c>
      <c r="J841" s="7">
        <f t="shared" si="78"/>
        <v>0</v>
      </c>
      <c r="K841" s="7">
        <f t="shared" si="78"/>
        <v>1</v>
      </c>
      <c r="L841" s="11">
        <v>6402.2913500000004</v>
      </c>
      <c r="M841" s="12" cm="1">
        <f t="array" ref="M841">IF(($R$34+SUMPRODUCT(TRANSPOSE(D841:K841),$R$35:$R$42))&lt;0,"-",$R$34+SUMPRODUCT(TRANSPOSE(D841:K841),$R$35:$R$42))</f>
        <v>5961.609241916598</v>
      </c>
      <c r="N841" s="13" t="str">
        <f t="shared" si="75"/>
        <v>-</v>
      </c>
      <c r="O841" s="13">
        <f t="shared" si="76"/>
        <v>18085.813818951719</v>
      </c>
    </row>
    <row r="842" spans="1:15" x14ac:dyDescent="0.25">
      <c r="A842" s="1" t="s">
        <v>0</v>
      </c>
      <c r="B842" s="1" t="s">
        <v>4</v>
      </c>
      <c r="C842" s="1" t="s">
        <v>6</v>
      </c>
      <c r="D842" s="1">
        <v>59</v>
      </c>
      <c r="E842" s="1">
        <v>31.35</v>
      </c>
      <c r="F842" s="1">
        <v>0</v>
      </c>
      <c r="G842" s="7">
        <f t="shared" si="74"/>
        <v>1</v>
      </c>
      <c r="H842" s="7">
        <f t="shared" si="77"/>
        <v>0</v>
      </c>
      <c r="I842" s="7">
        <f t="shared" si="78"/>
        <v>0</v>
      </c>
      <c r="J842" s="7">
        <f t="shared" si="78"/>
        <v>1</v>
      </c>
      <c r="K842" s="7">
        <f t="shared" si="78"/>
        <v>0</v>
      </c>
      <c r="L842" s="11">
        <v>12622.1795</v>
      </c>
      <c r="M842" s="12" cm="1">
        <f t="array" ref="M842">IF(($R$34+SUMPRODUCT(TRANSPOSE(D842:K842),$R$35:$R$42))&lt;0,"-",$R$34+SUMPRODUCT(TRANSPOSE(D842:K842),$R$35:$R$42))</f>
        <v>13496.737094811513</v>
      </c>
      <c r="N842" s="13">
        <f t="shared" si="75"/>
        <v>1372.5325177763898</v>
      </c>
      <c r="O842" s="13">
        <f t="shared" si="76"/>
        <v>25620.941671846638</v>
      </c>
    </row>
    <row r="843" spans="1:15" x14ac:dyDescent="0.25">
      <c r="A843" s="1" t="s">
        <v>3</v>
      </c>
      <c r="B843" s="1" t="s">
        <v>4</v>
      </c>
      <c r="C843" s="1" t="s">
        <v>2</v>
      </c>
      <c r="D843" s="1">
        <v>21</v>
      </c>
      <c r="E843" s="1">
        <v>31.1</v>
      </c>
      <c r="F843" s="1">
        <v>0</v>
      </c>
      <c r="G843" s="7">
        <f t="shared" si="74"/>
        <v>0</v>
      </c>
      <c r="H843" s="7">
        <f t="shared" si="77"/>
        <v>0</v>
      </c>
      <c r="I843" s="7">
        <f t="shared" si="78"/>
        <v>0</v>
      </c>
      <c r="J843" s="7">
        <f t="shared" si="78"/>
        <v>0</v>
      </c>
      <c r="K843" s="7">
        <f t="shared" si="78"/>
        <v>0</v>
      </c>
      <c r="L843" s="11">
        <v>1526.3119999999999</v>
      </c>
      <c r="M843" s="12" cm="1">
        <f t="array" ref="M843">IF(($R$34+SUMPRODUCT(TRANSPOSE(D843:K843),$R$35:$R$42))&lt;0,"-",$R$34+SUMPRODUCT(TRANSPOSE(D843:K843),$R$35:$R$42))</f>
        <v>2912.9958837182858</v>
      </c>
      <c r="N843" s="13" t="str">
        <f t="shared" si="75"/>
        <v>-</v>
      </c>
      <c r="O843" s="13">
        <f t="shared" si="76"/>
        <v>15037.200460753409</v>
      </c>
    </row>
    <row r="844" spans="1:15" x14ac:dyDescent="0.25">
      <c r="A844" s="1" t="s">
        <v>3</v>
      </c>
      <c r="B844" s="1" t="s">
        <v>4</v>
      </c>
      <c r="C844" s="1" t="s">
        <v>7</v>
      </c>
      <c r="D844" s="1">
        <v>59</v>
      </c>
      <c r="E844" s="1">
        <v>24.7</v>
      </c>
      <c r="F844" s="1">
        <v>0</v>
      </c>
      <c r="G844" s="7">
        <f t="shared" si="74"/>
        <v>0</v>
      </c>
      <c r="H844" s="7">
        <f t="shared" si="77"/>
        <v>0</v>
      </c>
      <c r="I844" s="7">
        <f t="shared" si="78"/>
        <v>0</v>
      </c>
      <c r="J844" s="7">
        <f t="shared" si="78"/>
        <v>0</v>
      </c>
      <c r="K844" s="7">
        <f t="shared" si="78"/>
        <v>1</v>
      </c>
      <c r="L844" s="11">
        <v>12323.936</v>
      </c>
      <c r="M844" s="12" cm="1">
        <f t="array" ref="M844">IF(($R$34+SUMPRODUCT(TRANSPOSE(D844:K844),$R$35:$R$42))&lt;0,"-",$R$34+SUMPRODUCT(TRANSPOSE(D844:K844),$R$35:$R$42))</f>
        <v>11462.750168328963</v>
      </c>
      <c r="N844" s="13" t="str">
        <f t="shared" si="75"/>
        <v>-</v>
      </c>
      <c r="O844" s="13">
        <f t="shared" si="76"/>
        <v>23586.954745364084</v>
      </c>
    </row>
    <row r="845" spans="1:15" x14ac:dyDescent="0.25">
      <c r="A845" s="1" t="s">
        <v>0</v>
      </c>
      <c r="B845" s="1" t="s">
        <v>1</v>
      </c>
      <c r="C845" s="1" t="s">
        <v>5</v>
      </c>
      <c r="D845" s="1">
        <v>23</v>
      </c>
      <c r="E845" s="1">
        <v>32.78</v>
      </c>
      <c r="F845" s="1">
        <v>2</v>
      </c>
      <c r="G845" s="7">
        <f t="shared" si="74"/>
        <v>1</v>
      </c>
      <c r="H845" s="7">
        <f t="shared" si="77"/>
        <v>1</v>
      </c>
      <c r="I845" s="7">
        <f t="shared" si="78"/>
        <v>1</v>
      </c>
      <c r="J845" s="7">
        <f t="shared" si="78"/>
        <v>0</v>
      </c>
      <c r="K845" s="7">
        <f t="shared" si="78"/>
        <v>0</v>
      </c>
      <c r="L845" s="11">
        <v>36021.011200000001</v>
      </c>
      <c r="M845" s="12" cm="1">
        <f t="array" ref="M845">IF(($R$34+SUMPRODUCT(TRANSPOSE(D845:K845),$R$35:$R$42))&lt;0,"-",$R$34+SUMPRODUCT(TRANSPOSE(D845:K845),$R$35:$R$42))</f>
        <v>28852.432524378368</v>
      </c>
      <c r="N845" s="13">
        <f t="shared" si="75"/>
        <v>16728.227947343243</v>
      </c>
      <c r="O845" s="13">
        <f t="shared" si="76"/>
        <v>40976.637101413493</v>
      </c>
    </row>
    <row r="846" spans="1:15" x14ac:dyDescent="0.25">
      <c r="A846" s="1" t="s">
        <v>0</v>
      </c>
      <c r="B846" s="1" t="s">
        <v>1</v>
      </c>
      <c r="C846" s="1" t="s">
        <v>5</v>
      </c>
      <c r="D846" s="1">
        <v>57</v>
      </c>
      <c r="E846" s="1">
        <v>29.81</v>
      </c>
      <c r="F846" s="1">
        <v>0</v>
      </c>
      <c r="G846" s="7">
        <f t="shared" si="74"/>
        <v>1</v>
      </c>
      <c r="H846" s="7">
        <f t="shared" si="77"/>
        <v>1</v>
      </c>
      <c r="I846" s="7">
        <f t="shared" si="78"/>
        <v>1</v>
      </c>
      <c r="J846" s="7">
        <f t="shared" si="78"/>
        <v>0</v>
      </c>
      <c r="K846" s="7">
        <f t="shared" si="78"/>
        <v>0</v>
      </c>
      <c r="L846" s="11">
        <v>27533.912899999999</v>
      </c>
      <c r="M846" s="12" cm="1">
        <f t="array" ref="M846">IF(($R$34+SUMPRODUCT(TRANSPOSE(D846:K846),$R$35:$R$42))&lt;0,"-",$R$34+SUMPRODUCT(TRANSPOSE(D846:K846),$R$35:$R$42))</f>
        <v>35627.142863125744</v>
      </c>
      <c r="N846" s="13">
        <f t="shared" si="75"/>
        <v>23502.938286090619</v>
      </c>
      <c r="O846" s="13">
        <f t="shared" si="76"/>
        <v>47751.347440160869</v>
      </c>
    </row>
    <row r="847" spans="1:15" x14ac:dyDescent="0.25">
      <c r="A847" s="1" t="s">
        <v>3</v>
      </c>
      <c r="B847" s="1" t="s">
        <v>4</v>
      </c>
      <c r="C847" s="1" t="s">
        <v>7</v>
      </c>
      <c r="D847" s="1">
        <v>53</v>
      </c>
      <c r="E847" s="1">
        <v>30.495000000000001</v>
      </c>
      <c r="F847" s="1">
        <v>0</v>
      </c>
      <c r="G847" s="7">
        <f t="shared" si="74"/>
        <v>0</v>
      </c>
      <c r="H847" s="7">
        <f t="shared" si="77"/>
        <v>0</v>
      </c>
      <c r="I847" s="7">
        <f t="shared" si="78"/>
        <v>0</v>
      </c>
      <c r="J847" s="7">
        <f t="shared" si="78"/>
        <v>0</v>
      </c>
      <c r="K847" s="7">
        <f t="shared" si="78"/>
        <v>1</v>
      </c>
      <c r="L847" s="11">
        <v>10072.055050000001</v>
      </c>
      <c r="M847" s="12" cm="1">
        <f t="array" ref="M847">IF(($R$34+SUMPRODUCT(TRANSPOSE(D847:K847),$R$35:$R$42))&lt;0,"-",$R$34+SUMPRODUCT(TRANSPOSE(D847:K847),$R$35:$R$42))</f>
        <v>11887.238116779696</v>
      </c>
      <c r="N847" s="13" t="str">
        <f t="shared" si="75"/>
        <v>-</v>
      </c>
      <c r="O847" s="13">
        <f t="shared" si="76"/>
        <v>24011.442693814817</v>
      </c>
    </row>
    <row r="848" spans="1:15" x14ac:dyDescent="0.25">
      <c r="A848" s="1" t="s">
        <v>0</v>
      </c>
      <c r="B848" s="1" t="s">
        <v>1</v>
      </c>
      <c r="C848" s="1" t="s">
        <v>5</v>
      </c>
      <c r="D848" s="1">
        <v>60</v>
      </c>
      <c r="E848" s="1">
        <v>32.450000000000003</v>
      </c>
      <c r="F848" s="1">
        <v>0</v>
      </c>
      <c r="G848" s="7">
        <f t="shared" si="74"/>
        <v>1</v>
      </c>
      <c r="H848" s="7">
        <f t="shared" si="77"/>
        <v>1</v>
      </c>
      <c r="I848" s="7">
        <f t="shared" si="78"/>
        <v>1</v>
      </c>
      <c r="J848" s="7">
        <f t="shared" si="78"/>
        <v>0</v>
      </c>
      <c r="K848" s="7">
        <f t="shared" si="78"/>
        <v>0</v>
      </c>
      <c r="L848" s="11">
        <v>45008.955499999996</v>
      </c>
      <c r="M848" s="12" cm="1">
        <f t="array" ref="M848">IF(($R$34+SUMPRODUCT(TRANSPOSE(D848:K848),$R$35:$R$42))&lt;0,"-",$R$34+SUMPRODUCT(TRANSPOSE(D848:K848),$R$35:$R$42))</f>
        <v>37293.182638270409</v>
      </c>
      <c r="N848" s="13">
        <f t="shared" si="75"/>
        <v>25168.978061235284</v>
      </c>
      <c r="O848" s="13">
        <f t="shared" si="76"/>
        <v>49417.387215305534</v>
      </c>
    </row>
    <row r="849" spans="1:15" x14ac:dyDescent="0.25">
      <c r="A849" s="1" t="s">
        <v>0</v>
      </c>
      <c r="B849" s="1" t="s">
        <v>4</v>
      </c>
      <c r="C849" s="1" t="s">
        <v>2</v>
      </c>
      <c r="D849" s="1">
        <v>51</v>
      </c>
      <c r="E849" s="1">
        <v>34.200000000000003</v>
      </c>
      <c r="F849" s="1">
        <v>1</v>
      </c>
      <c r="G849" s="7">
        <f t="shared" si="74"/>
        <v>1</v>
      </c>
      <c r="H849" s="7">
        <f t="shared" si="77"/>
        <v>0</v>
      </c>
      <c r="I849" s="7">
        <f t="shared" si="78"/>
        <v>0</v>
      </c>
      <c r="J849" s="7">
        <f t="shared" si="78"/>
        <v>0</v>
      </c>
      <c r="K849" s="7">
        <f t="shared" si="78"/>
        <v>0</v>
      </c>
      <c r="L849" s="11">
        <v>9872.7009999999991</v>
      </c>
      <c r="M849" s="12" cm="1">
        <f t="array" ref="M849">IF(($R$34+SUMPRODUCT(TRANSPOSE(D849:K849),$R$35:$R$42))&lt;0,"-",$R$34+SUMPRODUCT(TRANSPOSE(D849:K849),$R$35:$R$42))</f>
        <v>12277.001070576571</v>
      </c>
      <c r="N849" s="13">
        <f t="shared" si="75"/>
        <v>152.79649354144749</v>
      </c>
      <c r="O849" s="13">
        <f t="shared" si="76"/>
        <v>24401.205647611692</v>
      </c>
    </row>
    <row r="850" spans="1:15" x14ac:dyDescent="0.25">
      <c r="A850" s="1" t="s">
        <v>3</v>
      </c>
      <c r="B850" s="1" t="s">
        <v>4</v>
      </c>
      <c r="C850" s="1" t="s">
        <v>5</v>
      </c>
      <c r="D850" s="1">
        <v>23</v>
      </c>
      <c r="E850" s="1">
        <v>50.38</v>
      </c>
      <c r="F850" s="1">
        <v>1</v>
      </c>
      <c r="G850" s="7">
        <f t="shared" si="74"/>
        <v>0</v>
      </c>
      <c r="H850" s="7">
        <f t="shared" si="77"/>
        <v>0</v>
      </c>
      <c r="I850" s="7">
        <f t="shared" si="78"/>
        <v>1</v>
      </c>
      <c r="J850" s="7">
        <f t="shared" si="78"/>
        <v>0</v>
      </c>
      <c r="K850" s="7">
        <f t="shared" si="78"/>
        <v>0</v>
      </c>
      <c r="L850" s="11">
        <v>2438.0551999999998</v>
      </c>
      <c r="M850" s="12" cm="1">
        <f t="array" ref="M850">IF(($R$34+SUMPRODUCT(TRANSPOSE(D850:K850),$R$35:$R$42))&lt;0,"-",$R$34+SUMPRODUCT(TRANSPOSE(D850:K850),$R$35:$R$42))</f>
        <v>10366.887861472125</v>
      </c>
      <c r="N850" s="13" t="str">
        <f t="shared" si="75"/>
        <v>-</v>
      </c>
      <c r="O850" s="13">
        <f t="shared" si="76"/>
        <v>22491.09243850725</v>
      </c>
    </row>
    <row r="851" spans="1:15" x14ac:dyDescent="0.25">
      <c r="A851" s="1" t="s">
        <v>0</v>
      </c>
      <c r="B851" s="1" t="s">
        <v>4</v>
      </c>
      <c r="C851" s="1" t="s">
        <v>2</v>
      </c>
      <c r="D851" s="1">
        <v>27</v>
      </c>
      <c r="E851" s="1">
        <v>24.1</v>
      </c>
      <c r="F851" s="1">
        <v>0</v>
      </c>
      <c r="G851" s="7">
        <f t="shared" si="74"/>
        <v>1</v>
      </c>
      <c r="H851" s="7">
        <f t="shared" si="77"/>
        <v>0</v>
      </c>
      <c r="I851" s="7">
        <f t="shared" si="78"/>
        <v>0</v>
      </c>
      <c r="J851" s="7">
        <f t="shared" si="78"/>
        <v>0</v>
      </c>
      <c r="K851" s="7">
        <f t="shared" si="78"/>
        <v>0</v>
      </c>
      <c r="L851" s="11">
        <v>2974.1260000000002</v>
      </c>
      <c r="M851" s="12" cm="1">
        <f t="array" ref="M851">IF(($R$34+SUMPRODUCT(TRANSPOSE(D851:K851),$R$35:$R$42))&lt;0,"-",$R$34+SUMPRODUCT(TRANSPOSE(D851:K851),$R$35:$R$42))</f>
        <v>2211.0941830615993</v>
      </c>
      <c r="N851" s="13" t="str">
        <f t="shared" si="75"/>
        <v>-</v>
      </c>
      <c r="O851" s="13">
        <f t="shared" si="76"/>
        <v>14335.298760096723</v>
      </c>
    </row>
    <row r="852" spans="1:15" x14ac:dyDescent="0.25">
      <c r="A852" s="1" t="s">
        <v>3</v>
      </c>
      <c r="B852" s="1" t="s">
        <v>4</v>
      </c>
      <c r="C852" s="1" t="s">
        <v>6</v>
      </c>
      <c r="D852" s="1">
        <v>55</v>
      </c>
      <c r="E852" s="1">
        <v>32.774999999999999</v>
      </c>
      <c r="F852" s="1">
        <v>0</v>
      </c>
      <c r="G852" s="7">
        <f t="shared" si="74"/>
        <v>0</v>
      </c>
      <c r="H852" s="7">
        <f t="shared" si="77"/>
        <v>0</v>
      </c>
      <c r="I852" s="7">
        <f t="shared" si="78"/>
        <v>0</v>
      </c>
      <c r="J852" s="7">
        <f t="shared" si="78"/>
        <v>1</v>
      </c>
      <c r="K852" s="7">
        <f t="shared" si="78"/>
        <v>0</v>
      </c>
      <c r="L852" s="11">
        <v>10601.632250000001</v>
      </c>
      <c r="M852" s="12" cm="1">
        <f t="array" ref="M852">IF(($R$34+SUMPRODUCT(TRANSPOSE(D852:K852),$R$35:$R$42))&lt;0,"-",$R$34+SUMPRODUCT(TRANSPOSE(D852:K852),$R$35:$R$42))</f>
        <v>12821.347996662462</v>
      </c>
      <c r="N852" s="13">
        <f t="shared" si="75"/>
        <v>697.14341962733852</v>
      </c>
      <c r="O852" s="13">
        <f t="shared" si="76"/>
        <v>24945.552573697583</v>
      </c>
    </row>
    <row r="853" spans="1:15" x14ac:dyDescent="0.25">
      <c r="A853" s="1" t="s">
        <v>0</v>
      </c>
      <c r="B853" s="1" t="s">
        <v>1</v>
      </c>
      <c r="C853" s="1" t="s">
        <v>7</v>
      </c>
      <c r="D853" s="1">
        <v>37</v>
      </c>
      <c r="E853" s="1">
        <v>30.78</v>
      </c>
      <c r="F853" s="1">
        <v>0</v>
      </c>
      <c r="G853" s="7">
        <f t="shared" si="74"/>
        <v>1</v>
      </c>
      <c r="H853" s="7">
        <f t="shared" si="77"/>
        <v>1</v>
      </c>
      <c r="I853" s="7">
        <f t="shared" si="78"/>
        <v>0</v>
      </c>
      <c r="J853" s="7">
        <f t="shared" si="78"/>
        <v>0</v>
      </c>
      <c r="K853" s="7">
        <f t="shared" si="78"/>
        <v>1</v>
      </c>
      <c r="L853" s="11">
        <v>37270.1512</v>
      </c>
      <c r="M853" s="12" cm="1">
        <f t="array" ref="M853">IF(($R$34+SUMPRODUCT(TRANSPOSE(D853:K853),$R$35:$R$42))&lt;0,"-",$R$34+SUMPRODUCT(TRANSPOSE(D853:K853),$R$35:$R$42))</f>
        <v>31854.055511769111</v>
      </c>
      <c r="N853" s="13">
        <f t="shared" si="75"/>
        <v>19729.850934733986</v>
      </c>
      <c r="O853" s="13">
        <f t="shared" si="76"/>
        <v>43978.260088804236</v>
      </c>
    </row>
    <row r="854" spans="1:15" x14ac:dyDescent="0.25">
      <c r="A854" s="1" t="s">
        <v>3</v>
      </c>
      <c r="B854" s="1" t="s">
        <v>4</v>
      </c>
      <c r="C854" s="1" t="s">
        <v>6</v>
      </c>
      <c r="D854" s="1">
        <v>61</v>
      </c>
      <c r="E854" s="1">
        <v>32.299999999999997</v>
      </c>
      <c r="F854" s="1">
        <v>2</v>
      </c>
      <c r="G854" s="7">
        <f t="shared" si="74"/>
        <v>0</v>
      </c>
      <c r="H854" s="7">
        <f t="shared" si="77"/>
        <v>0</v>
      </c>
      <c r="I854" s="7">
        <f t="shared" si="78"/>
        <v>0</v>
      </c>
      <c r="J854" s="7">
        <f t="shared" si="78"/>
        <v>1</v>
      </c>
      <c r="K854" s="7">
        <f t="shared" si="78"/>
        <v>0</v>
      </c>
      <c r="L854" s="11">
        <v>14119.62</v>
      </c>
      <c r="M854" s="12" cm="1">
        <f t="array" ref="M854">IF(($R$34+SUMPRODUCT(TRANSPOSE(D854:K854),$R$35:$R$42))&lt;0,"-",$R$34+SUMPRODUCT(TRANSPOSE(D854:K854),$R$35:$R$42))</f>
        <v>15152.370311719667</v>
      </c>
      <c r="N854" s="13">
        <f t="shared" si="75"/>
        <v>3028.1657346845441</v>
      </c>
      <c r="O854" s="13">
        <f t="shared" si="76"/>
        <v>27276.574888754789</v>
      </c>
    </row>
    <row r="855" spans="1:15" x14ac:dyDescent="0.25">
      <c r="A855" s="1" t="s">
        <v>0</v>
      </c>
      <c r="B855" s="1" t="s">
        <v>1</v>
      </c>
      <c r="C855" s="1" t="s">
        <v>7</v>
      </c>
      <c r="D855" s="1">
        <v>46</v>
      </c>
      <c r="E855" s="1">
        <v>35.53</v>
      </c>
      <c r="F855" s="1">
        <v>0</v>
      </c>
      <c r="G855" s="7">
        <f t="shared" si="74"/>
        <v>1</v>
      </c>
      <c r="H855" s="7">
        <f t="shared" si="77"/>
        <v>1</v>
      </c>
      <c r="I855" s="7">
        <f t="shared" si="78"/>
        <v>0</v>
      </c>
      <c r="J855" s="7">
        <f t="shared" si="78"/>
        <v>0</v>
      </c>
      <c r="K855" s="7">
        <f t="shared" si="78"/>
        <v>1</v>
      </c>
      <c r="L855" s="11">
        <v>42111.664700000001</v>
      </c>
      <c r="M855" s="12" cm="1">
        <f t="array" ref="M855">IF(($R$34+SUMPRODUCT(TRANSPOSE(D855:K855),$R$35:$R$42))&lt;0,"-",$R$34+SUMPRODUCT(TRANSPOSE(D855:K855),$R$35:$R$42))</f>
        <v>35776.931589256739</v>
      </c>
      <c r="N855" s="13">
        <f t="shared" si="75"/>
        <v>23652.727012221614</v>
      </c>
      <c r="O855" s="13">
        <f t="shared" si="76"/>
        <v>47901.136166291864</v>
      </c>
    </row>
    <row r="856" spans="1:15" x14ac:dyDescent="0.25">
      <c r="A856" s="1" t="s">
        <v>0</v>
      </c>
      <c r="B856" s="1" t="s">
        <v>4</v>
      </c>
      <c r="C856" s="1" t="s">
        <v>7</v>
      </c>
      <c r="D856" s="1">
        <v>53</v>
      </c>
      <c r="E856" s="1">
        <v>23.75</v>
      </c>
      <c r="F856" s="1">
        <v>2</v>
      </c>
      <c r="G856" s="7">
        <f t="shared" si="74"/>
        <v>1</v>
      </c>
      <c r="H856" s="7">
        <f t="shared" si="77"/>
        <v>0</v>
      </c>
      <c r="I856" s="7">
        <f t="shared" si="78"/>
        <v>0</v>
      </c>
      <c r="J856" s="7">
        <f t="shared" si="78"/>
        <v>0</v>
      </c>
      <c r="K856" s="7">
        <f t="shared" si="78"/>
        <v>1</v>
      </c>
      <c r="L856" s="11">
        <v>11729.6795</v>
      </c>
      <c r="M856" s="12" cm="1">
        <f t="array" ref="M856">IF(($R$34+SUMPRODUCT(TRANSPOSE(D856:K856),$R$35:$R$42))&lt;0,"-",$R$34+SUMPRODUCT(TRANSPOSE(D856:K856),$R$35:$R$42))</f>
        <v>10681.693721867949</v>
      </c>
      <c r="N856" s="13" t="str">
        <f t="shared" si="75"/>
        <v>-</v>
      </c>
      <c r="O856" s="13">
        <f t="shared" si="76"/>
        <v>22805.89829890307</v>
      </c>
    </row>
    <row r="857" spans="1:15" x14ac:dyDescent="0.25">
      <c r="A857" s="1" t="s">
        <v>0</v>
      </c>
      <c r="B857" s="1" t="s">
        <v>1</v>
      </c>
      <c r="C857" s="1" t="s">
        <v>7</v>
      </c>
      <c r="D857" s="1">
        <v>49</v>
      </c>
      <c r="E857" s="1">
        <v>23.844999999999999</v>
      </c>
      <c r="F857" s="1">
        <v>3</v>
      </c>
      <c r="G857" s="7">
        <f t="shared" si="74"/>
        <v>1</v>
      </c>
      <c r="H857" s="7">
        <f t="shared" si="77"/>
        <v>1</v>
      </c>
      <c r="I857" s="7">
        <f t="shared" si="78"/>
        <v>0</v>
      </c>
      <c r="J857" s="7">
        <f t="shared" si="78"/>
        <v>0</v>
      </c>
      <c r="K857" s="7">
        <f t="shared" si="78"/>
        <v>1</v>
      </c>
      <c r="L857" s="11">
        <v>24106.912550000001</v>
      </c>
      <c r="M857" s="12" cm="1">
        <f t="array" ref="M857">IF(($R$34+SUMPRODUCT(TRANSPOSE(D857:K857),$R$35:$R$42))&lt;0,"-",$R$34+SUMPRODUCT(TRANSPOSE(D857:K857),$R$35:$R$42))</f>
        <v>34010.526776873514</v>
      </c>
      <c r="N857" s="13">
        <f t="shared" si="75"/>
        <v>21886.322199838389</v>
      </c>
      <c r="O857" s="13">
        <f t="shared" si="76"/>
        <v>46134.731353908639</v>
      </c>
    </row>
    <row r="858" spans="1:15" x14ac:dyDescent="0.25">
      <c r="A858" s="1" t="s">
        <v>0</v>
      </c>
      <c r="B858" s="1" t="s">
        <v>4</v>
      </c>
      <c r="C858" s="1" t="s">
        <v>2</v>
      </c>
      <c r="D858" s="1">
        <v>20</v>
      </c>
      <c r="E858" s="1">
        <v>29.6</v>
      </c>
      <c r="F858" s="1">
        <v>0</v>
      </c>
      <c r="G858" s="7">
        <f t="shared" si="74"/>
        <v>1</v>
      </c>
      <c r="H858" s="7">
        <f t="shared" si="77"/>
        <v>0</v>
      </c>
      <c r="I858" s="7">
        <f t="shared" si="78"/>
        <v>0</v>
      </c>
      <c r="J858" s="7">
        <f t="shared" si="78"/>
        <v>0</v>
      </c>
      <c r="K858" s="7">
        <f t="shared" si="78"/>
        <v>0</v>
      </c>
      <c r="L858" s="11">
        <v>1875.3440000000001</v>
      </c>
      <c r="M858" s="12" cm="1">
        <f t="array" ref="M858">IF(($R$34+SUMPRODUCT(TRANSPOSE(D858:K858),$R$35:$R$42))&lt;0,"-",$R$34+SUMPRODUCT(TRANSPOSE(D858:K858),$R$35:$R$42))</f>
        <v>2278.6637101597844</v>
      </c>
      <c r="N858" s="13" t="str">
        <f t="shared" si="75"/>
        <v>-</v>
      </c>
      <c r="O858" s="13">
        <f t="shared" si="76"/>
        <v>14402.868287194908</v>
      </c>
    </row>
    <row r="859" spans="1:15" x14ac:dyDescent="0.25">
      <c r="A859" s="1" t="s">
        <v>0</v>
      </c>
      <c r="B859" s="1" t="s">
        <v>1</v>
      </c>
      <c r="C859" s="1" t="s">
        <v>5</v>
      </c>
      <c r="D859" s="1">
        <v>48</v>
      </c>
      <c r="E859" s="1">
        <v>33.11</v>
      </c>
      <c r="F859" s="1">
        <v>0</v>
      </c>
      <c r="G859" s="7">
        <f t="shared" si="74"/>
        <v>1</v>
      </c>
      <c r="H859" s="7">
        <f t="shared" si="77"/>
        <v>1</v>
      </c>
      <c r="I859" s="7">
        <f t="shared" si="78"/>
        <v>1</v>
      </c>
      <c r="J859" s="7">
        <f t="shared" si="78"/>
        <v>0</v>
      </c>
      <c r="K859" s="7">
        <f t="shared" si="78"/>
        <v>0</v>
      </c>
      <c r="L859" s="11">
        <v>40974.164900000003</v>
      </c>
      <c r="M859" s="12" cm="1">
        <f t="array" ref="M859">IF(($R$34+SUMPRODUCT(TRANSPOSE(D859:K859),$R$35:$R$42))&lt;0,"-",$R$34+SUMPRODUCT(TRANSPOSE(D859:K859),$R$35:$R$42))</f>
        <v>34434.774087205384</v>
      </c>
      <c r="N859" s="13">
        <f t="shared" si="75"/>
        <v>22310.569510170259</v>
      </c>
      <c r="O859" s="13">
        <f t="shared" si="76"/>
        <v>46558.978664240509</v>
      </c>
    </row>
    <row r="860" spans="1:15" x14ac:dyDescent="0.25">
      <c r="A860" s="1" t="s">
        <v>3</v>
      </c>
      <c r="B860" s="1" t="s">
        <v>1</v>
      </c>
      <c r="C860" s="1" t="s">
        <v>6</v>
      </c>
      <c r="D860" s="1">
        <v>25</v>
      </c>
      <c r="E860" s="1">
        <v>24.13</v>
      </c>
      <c r="F860" s="1">
        <v>0</v>
      </c>
      <c r="G860" s="7">
        <f t="shared" si="74"/>
        <v>0</v>
      </c>
      <c r="H860" s="7">
        <f t="shared" si="77"/>
        <v>1</v>
      </c>
      <c r="I860" s="7">
        <f t="shared" si="78"/>
        <v>0</v>
      </c>
      <c r="J860" s="7">
        <f t="shared" si="78"/>
        <v>1</v>
      </c>
      <c r="K860" s="7">
        <f t="shared" si="78"/>
        <v>0</v>
      </c>
      <c r="L860" s="11">
        <v>15817.985699999999</v>
      </c>
      <c r="M860" s="12" cm="1">
        <f t="array" ref="M860">IF(($R$34+SUMPRODUCT(TRANSPOSE(D860:K860),$R$35:$R$42))&lt;0,"-",$R$34+SUMPRODUCT(TRANSPOSE(D860:K860),$R$35:$R$42))</f>
        <v>26031.864555989108</v>
      </c>
      <c r="N860" s="13">
        <f t="shared" si="75"/>
        <v>13907.659978953985</v>
      </c>
      <c r="O860" s="13">
        <f t="shared" si="76"/>
        <v>38156.069133024233</v>
      </c>
    </row>
    <row r="861" spans="1:15" x14ac:dyDescent="0.25">
      <c r="A861" s="1" t="s">
        <v>0</v>
      </c>
      <c r="B861" s="1" t="s">
        <v>4</v>
      </c>
      <c r="C861" s="1" t="s">
        <v>5</v>
      </c>
      <c r="D861" s="1">
        <v>25</v>
      </c>
      <c r="E861" s="1">
        <v>32.229999999999997</v>
      </c>
      <c r="F861" s="1">
        <v>1</v>
      </c>
      <c r="G861" s="7">
        <f t="shared" si="74"/>
        <v>1</v>
      </c>
      <c r="H861" s="7">
        <f t="shared" si="77"/>
        <v>0</v>
      </c>
      <c r="I861" s="7">
        <f t="shared" si="78"/>
        <v>1</v>
      </c>
      <c r="J861" s="7">
        <f t="shared" si="78"/>
        <v>0</v>
      </c>
      <c r="K861" s="7">
        <f t="shared" si="78"/>
        <v>0</v>
      </c>
      <c r="L861" s="11">
        <v>18218.161390000001</v>
      </c>
      <c r="M861" s="12" cm="1">
        <f t="array" ref="M861">IF(($R$34+SUMPRODUCT(TRANSPOSE(D861:K861),$R$35:$R$42))&lt;0,"-",$R$34+SUMPRODUCT(TRANSPOSE(D861:K861),$R$35:$R$42))</f>
        <v>4855.5537429051801</v>
      </c>
      <c r="N861" s="13" t="str">
        <f t="shared" si="75"/>
        <v>-</v>
      </c>
      <c r="O861" s="13">
        <f t="shared" si="76"/>
        <v>16979.758319940302</v>
      </c>
    </row>
    <row r="862" spans="1:15" x14ac:dyDescent="0.25">
      <c r="A862" s="1" t="s">
        <v>3</v>
      </c>
      <c r="B862" s="1" t="s">
        <v>4</v>
      </c>
      <c r="C862" s="1" t="s">
        <v>2</v>
      </c>
      <c r="D862" s="1">
        <v>57</v>
      </c>
      <c r="E862" s="1">
        <v>28.1</v>
      </c>
      <c r="F862" s="1">
        <v>0</v>
      </c>
      <c r="G862" s="7">
        <f t="shared" si="74"/>
        <v>0</v>
      </c>
      <c r="H862" s="7">
        <f t="shared" si="77"/>
        <v>0</v>
      </c>
      <c r="I862" s="7">
        <f t="shared" si="78"/>
        <v>0</v>
      </c>
      <c r="J862" s="7">
        <f t="shared" si="78"/>
        <v>0</v>
      </c>
      <c r="K862" s="7">
        <f t="shared" si="78"/>
        <v>0</v>
      </c>
      <c r="L862" s="11">
        <v>10965.446</v>
      </c>
      <c r="M862" s="12" cm="1">
        <f t="array" ref="M862">IF(($R$34+SUMPRODUCT(TRANSPOSE(D862:K862),$R$35:$R$42))&lt;0,"-",$R$34+SUMPRODUCT(TRANSPOSE(D862:K862),$R$35:$R$42))</f>
        <v>11142.244214230293</v>
      </c>
      <c r="N862" s="13" t="str">
        <f t="shared" si="75"/>
        <v>-</v>
      </c>
      <c r="O862" s="13">
        <f t="shared" si="76"/>
        <v>23266.448791265415</v>
      </c>
    </row>
    <row r="863" spans="1:15" x14ac:dyDescent="0.25">
      <c r="A863" s="1" t="s">
        <v>0</v>
      </c>
      <c r="B863" s="1" t="s">
        <v>1</v>
      </c>
      <c r="C863" s="1" t="s">
        <v>2</v>
      </c>
      <c r="D863" s="1">
        <v>37</v>
      </c>
      <c r="E863" s="1">
        <v>47.6</v>
      </c>
      <c r="F863" s="1">
        <v>2</v>
      </c>
      <c r="G863" s="7">
        <f t="shared" si="74"/>
        <v>1</v>
      </c>
      <c r="H863" s="7">
        <f t="shared" si="77"/>
        <v>1</v>
      </c>
      <c r="I863" s="7">
        <f t="shared" si="78"/>
        <v>0</v>
      </c>
      <c r="J863" s="7">
        <f t="shared" si="78"/>
        <v>0</v>
      </c>
      <c r="K863" s="7">
        <f t="shared" si="78"/>
        <v>0</v>
      </c>
      <c r="L863" s="11">
        <v>46113.510999999999</v>
      </c>
      <c r="M863" s="12" cm="1">
        <f t="array" ref="M863">IF(($R$34+SUMPRODUCT(TRANSPOSE(D863:K863),$R$35:$R$42))&lt;0,"-",$R$34+SUMPRODUCT(TRANSPOSE(D863:K863),$R$35:$R$42))</f>
        <v>37550.239500500888</v>
      </c>
      <c r="N863" s="13">
        <f t="shared" si="75"/>
        <v>25426.034923465762</v>
      </c>
      <c r="O863" s="13">
        <f t="shared" si="76"/>
        <v>49674.444077536013</v>
      </c>
    </row>
    <row r="864" spans="1:15" x14ac:dyDescent="0.25">
      <c r="A864" s="1" t="s">
        <v>0</v>
      </c>
      <c r="B864" s="1" t="s">
        <v>4</v>
      </c>
      <c r="C864" s="1" t="s">
        <v>2</v>
      </c>
      <c r="D864" s="1">
        <v>38</v>
      </c>
      <c r="E864" s="1">
        <v>28</v>
      </c>
      <c r="F864" s="1">
        <v>3</v>
      </c>
      <c r="G864" s="7">
        <f t="shared" si="74"/>
        <v>1</v>
      </c>
      <c r="H864" s="7">
        <f t="shared" si="77"/>
        <v>0</v>
      </c>
      <c r="I864" s="7">
        <f t="shared" si="78"/>
        <v>0</v>
      </c>
      <c r="J864" s="7">
        <f t="shared" si="78"/>
        <v>0</v>
      </c>
      <c r="K864" s="7">
        <f t="shared" si="78"/>
        <v>0</v>
      </c>
      <c r="L864" s="11">
        <v>7151.0919999999996</v>
      </c>
      <c r="M864" s="12" cm="1">
        <f t="array" ref="M864">IF(($R$34+SUMPRODUCT(TRANSPOSE(D864:K864),$R$35:$R$42))&lt;0,"-",$R$34+SUMPRODUCT(TRANSPOSE(D864:K864),$R$35:$R$42))</f>
        <v>7785.8701655021032</v>
      </c>
      <c r="N864" s="13" t="str">
        <f t="shared" si="75"/>
        <v>-</v>
      </c>
      <c r="O864" s="13">
        <f t="shared" si="76"/>
        <v>19910.074742537225</v>
      </c>
    </row>
    <row r="865" spans="1:15" x14ac:dyDescent="0.25">
      <c r="A865" s="1" t="s">
        <v>0</v>
      </c>
      <c r="B865" s="1" t="s">
        <v>4</v>
      </c>
      <c r="C865" s="1" t="s">
        <v>6</v>
      </c>
      <c r="D865" s="1">
        <v>55</v>
      </c>
      <c r="E865" s="1">
        <v>33.534999999999997</v>
      </c>
      <c r="F865" s="1">
        <v>2</v>
      </c>
      <c r="G865" s="7">
        <f t="shared" si="74"/>
        <v>1</v>
      </c>
      <c r="H865" s="7">
        <f t="shared" si="77"/>
        <v>0</v>
      </c>
      <c r="I865" s="7">
        <f t="shared" si="78"/>
        <v>0</v>
      </c>
      <c r="J865" s="7">
        <f t="shared" si="78"/>
        <v>1</v>
      </c>
      <c r="K865" s="7">
        <f t="shared" si="78"/>
        <v>0</v>
      </c>
      <c r="L865" s="11">
        <v>12269.68865</v>
      </c>
      <c r="M865" s="12" cm="1">
        <f t="array" ref="M865">IF(($R$34+SUMPRODUCT(TRANSPOSE(D865:K865),$R$35:$R$42))&lt;0,"-",$R$34+SUMPRODUCT(TRANSPOSE(D865:K865),$R$35:$R$42))</f>
        <v>14161.450471100074</v>
      </c>
      <c r="N865" s="13">
        <f t="shared" si="75"/>
        <v>2037.2458940649503</v>
      </c>
      <c r="O865" s="13">
        <f t="shared" si="76"/>
        <v>26285.655048135195</v>
      </c>
    </row>
    <row r="866" spans="1:15" x14ac:dyDescent="0.25">
      <c r="A866" s="1" t="s">
        <v>0</v>
      </c>
      <c r="B866" s="1" t="s">
        <v>4</v>
      </c>
      <c r="C866" s="1" t="s">
        <v>7</v>
      </c>
      <c r="D866" s="1">
        <v>36</v>
      </c>
      <c r="E866" s="1">
        <v>19.855</v>
      </c>
      <c r="F866" s="1">
        <v>0</v>
      </c>
      <c r="G866" s="7">
        <f t="shared" si="74"/>
        <v>1</v>
      </c>
      <c r="H866" s="7">
        <f t="shared" si="77"/>
        <v>0</v>
      </c>
      <c r="I866" s="7">
        <f t="shared" si="78"/>
        <v>0</v>
      </c>
      <c r="J866" s="7">
        <f t="shared" si="78"/>
        <v>0</v>
      </c>
      <c r="K866" s="7">
        <f t="shared" si="78"/>
        <v>1</v>
      </c>
      <c r="L866" s="11">
        <v>5458.0464499999998</v>
      </c>
      <c r="M866" s="12" cm="1">
        <f t="array" ref="M866">IF(($R$34+SUMPRODUCT(TRANSPOSE(D866:K866),$R$35:$R$42))&lt;0,"-",$R$34+SUMPRODUCT(TRANSPOSE(D866:K866),$R$35:$R$42))</f>
        <v>4042.9761366205457</v>
      </c>
      <c r="N866" s="13" t="str">
        <f t="shared" si="75"/>
        <v>-</v>
      </c>
      <c r="O866" s="13">
        <f t="shared" si="76"/>
        <v>16167.180713655669</v>
      </c>
    </row>
    <row r="867" spans="1:15" x14ac:dyDescent="0.25">
      <c r="A867" s="1" t="s">
        <v>3</v>
      </c>
      <c r="B867" s="1" t="s">
        <v>4</v>
      </c>
      <c r="C867" s="1" t="s">
        <v>2</v>
      </c>
      <c r="D867" s="1">
        <v>51</v>
      </c>
      <c r="E867" s="1">
        <v>25.4</v>
      </c>
      <c r="F867" s="1">
        <v>0</v>
      </c>
      <c r="G867" s="7">
        <f t="shared" si="74"/>
        <v>0</v>
      </c>
      <c r="H867" s="7">
        <f t="shared" si="77"/>
        <v>0</v>
      </c>
      <c r="I867" s="7">
        <f t="shared" si="78"/>
        <v>0</v>
      </c>
      <c r="J867" s="7">
        <f t="shared" si="78"/>
        <v>0</v>
      </c>
      <c r="K867" s="7">
        <f t="shared" si="78"/>
        <v>0</v>
      </c>
      <c r="L867" s="11">
        <v>8782.4689999999991</v>
      </c>
      <c r="M867" s="12" cm="1">
        <f t="array" ref="M867">IF(($R$34+SUMPRODUCT(TRANSPOSE(D867:K867),$R$35:$R$42))&lt;0,"-",$R$34+SUMPRODUCT(TRANSPOSE(D867:K867),$R$35:$R$42))</f>
        <v>8685.2837742569391</v>
      </c>
      <c r="N867" s="13" t="str">
        <f t="shared" si="75"/>
        <v>-</v>
      </c>
      <c r="O867" s="13">
        <f t="shared" si="76"/>
        <v>20809.488351292064</v>
      </c>
    </row>
    <row r="868" spans="1:15" x14ac:dyDescent="0.25">
      <c r="A868" s="1" t="s">
        <v>3</v>
      </c>
      <c r="B868" s="1" t="s">
        <v>4</v>
      </c>
      <c r="C868" s="1" t="s">
        <v>2</v>
      </c>
      <c r="D868" s="1">
        <v>40</v>
      </c>
      <c r="E868" s="1">
        <v>29.9</v>
      </c>
      <c r="F868" s="1">
        <v>2</v>
      </c>
      <c r="G868" s="7">
        <f t="shared" si="74"/>
        <v>0</v>
      </c>
      <c r="H868" s="7">
        <f t="shared" si="77"/>
        <v>0</v>
      </c>
      <c r="I868" s="7">
        <f t="shared" si="78"/>
        <v>0</v>
      </c>
      <c r="J868" s="7">
        <f t="shared" si="78"/>
        <v>0</v>
      </c>
      <c r="K868" s="7">
        <f t="shared" si="78"/>
        <v>0</v>
      </c>
      <c r="L868" s="11">
        <v>6600.3609999999999</v>
      </c>
      <c r="M868" s="12" cm="1">
        <f t="array" ref="M868">IF(($R$34+SUMPRODUCT(TRANSPOSE(D868:K868),$R$35:$R$42))&lt;0,"-",$R$34+SUMPRODUCT(TRANSPOSE(D868:K868),$R$35:$R$42))</f>
        <v>8337.2355278931536</v>
      </c>
      <c r="N868" s="13" t="str">
        <f t="shared" si="75"/>
        <v>-</v>
      </c>
      <c r="O868" s="13">
        <f t="shared" si="76"/>
        <v>20461.440104928275</v>
      </c>
    </row>
    <row r="869" spans="1:15" x14ac:dyDescent="0.25">
      <c r="A869" s="1" t="s">
        <v>3</v>
      </c>
      <c r="B869" s="1" t="s">
        <v>4</v>
      </c>
      <c r="C869" s="1" t="s">
        <v>5</v>
      </c>
      <c r="D869" s="1">
        <v>18</v>
      </c>
      <c r="E869" s="1">
        <v>37.29</v>
      </c>
      <c r="F869" s="1">
        <v>0</v>
      </c>
      <c r="G869" s="7">
        <f t="shared" si="74"/>
        <v>0</v>
      </c>
      <c r="H869" s="7">
        <f t="shared" si="77"/>
        <v>0</v>
      </c>
      <c r="I869" s="7">
        <f t="shared" si="78"/>
        <v>1</v>
      </c>
      <c r="J869" s="7">
        <f t="shared" si="78"/>
        <v>0</v>
      </c>
      <c r="K869" s="7">
        <f t="shared" si="78"/>
        <v>0</v>
      </c>
      <c r="L869" s="11">
        <v>1141.4450999999999</v>
      </c>
      <c r="M869" s="12" cm="1">
        <f t="array" ref="M869">IF(($R$34+SUMPRODUCT(TRANSPOSE(D869:K869),$R$35:$R$42))&lt;0,"-",$R$34+SUMPRODUCT(TRANSPOSE(D869:K869),$R$35:$R$42))</f>
        <v>4167.0632458703549</v>
      </c>
      <c r="N869" s="13" t="str">
        <f t="shared" si="75"/>
        <v>-</v>
      </c>
      <c r="O869" s="13">
        <f t="shared" si="76"/>
        <v>16291.267822905478</v>
      </c>
    </row>
    <row r="870" spans="1:15" x14ac:dyDescent="0.25">
      <c r="A870" s="1" t="s">
        <v>3</v>
      </c>
      <c r="B870" s="1" t="s">
        <v>4</v>
      </c>
      <c r="C870" s="1" t="s">
        <v>2</v>
      </c>
      <c r="D870" s="1">
        <v>57</v>
      </c>
      <c r="E870" s="1">
        <v>43.7</v>
      </c>
      <c r="F870" s="1">
        <v>1</v>
      </c>
      <c r="G870" s="7">
        <f t="shared" si="74"/>
        <v>0</v>
      </c>
      <c r="H870" s="7">
        <f t="shared" si="77"/>
        <v>0</v>
      </c>
      <c r="I870" s="7">
        <f t="shared" si="78"/>
        <v>0</v>
      </c>
      <c r="J870" s="7">
        <f t="shared" si="78"/>
        <v>0</v>
      </c>
      <c r="K870" s="7">
        <f t="shared" si="78"/>
        <v>0</v>
      </c>
      <c r="L870" s="11">
        <v>11576.13</v>
      </c>
      <c r="M870" s="12" cm="1">
        <f t="array" ref="M870">IF(($R$34+SUMPRODUCT(TRANSPOSE(D870:K870),$R$35:$R$42))&lt;0,"-",$R$34+SUMPRODUCT(TRANSPOSE(D870:K870),$R$35:$R$42))</f>
        <v>16909.162635708533</v>
      </c>
      <c r="N870" s="13">
        <f t="shared" si="75"/>
        <v>4784.9580586734101</v>
      </c>
      <c r="O870" s="13">
        <f t="shared" si="76"/>
        <v>29033.367212743658</v>
      </c>
    </row>
    <row r="871" spans="1:15" x14ac:dyDescent="0.25">
      <c r="A871" s="1" t="s">
        <v>3</v>
      </c>
      <c r="B871" s="1" t="s">
        <v>4</v>
      </c>
      <c r="C871" s="1" t="s">
        <v>7</v>
      </c>
      <c r="D871" s="1">
        <v>61</v>
      </c>
      <c r="E871" s="1">
        <v>23.655000000000001</v>
      </c>
      <c r="F871" s="1">
        <v>0</v>
      </c>
      <c r="G871" s="7">
        <f t="shared" si="74"/>
        <v>0</v>
      </c>
      <c r="H871" s="7">
        <f t="shared" si="77"/>
        <v>0</v>
      </c>
      <c r="I871" s="7">
        <f t="shared" si="78"/>
        <v>0</v>
      </c>
      <c r="J871" s="7">
        <f t="shared" si="78"/>
        <v>0</v>
      </c>
      <c r="K871" s="7">
        <f t="shared" si="78"/>
        <v>1</v>
      </c>
      <c r="L871" s="11">
        <v>13129.603450000001</v>
      </c>
      <c r="M871" s="12" cm="1">
        <f t="array" ref="M871">IF(($R$34+SUMPRODUCT(TRANSPOSE(D871:K871),$R$35:$R$42))&lt;0,"-",$R$34+SUMPRODUCT(TRANSPOSE(D871:K871),$R$35:$R$42))</f>
        <v>11622.005714380331</v>
      </c>
      <c r="N871" s="13" t="str">
        <f t="shared" si="75"/>
        <v>-</v>
      </c>
      <c r="O871" s="13">
        <f t="shared" si="76"/>
        <v>23746.210291415453</v>
      </c>
    </row>
    <row r="872" spans="1:15" x14ac:dyDescent="0.25">
      <c r="A872" s="1" t="s">
        <v>0</v>
      </c>
      <c r="B872" s="1" t="s">
        <v>4</v>
      </c>
      <c r="C872" s="1" t="s">
        <v>2</v>
      </c>
      <c r="D872" s="1">
        <v>25</v>
      </c>
      <c r="E872" s="1">
        <v>24.3</v>
      </c>
      <c r="F872" s="1">
        <v>3</v>
      </c>
      <c r="G872" s="7">
        <f t="shared" si="74"/>
        <v>1</v>
      </c>
      <c r="H872" s="7">
        <f t="shared" si="77"/>
        <v>0</v>
      </c>
      <c r="I872" s="7">
        <f t="shared" si="78"/>
        <v>0</v>
      </c>
      <c r="J872" s="7">
        <f t="shared" si="78"/>
        <v>0</v>
      </c>
      <c r="K872" s="7">
        <f t="shared" si="78"/>
        <v>0</v>
      </c>
      <c r="L872" s="11">
        <v>4391.652</v>
      </c>
      <c r="M872" s="12" cm="1">
        <f t="array" ref="M872">IF(($R$34+SUMPRODUCT(TRANSPOSE(D872:K872),$R$35:$R$42))&lt;0,"-",$R$34+SUMPRODUCT(TRANSPOSE(D872:K872),$R$35:$R$42))</f>
        <v>3191.7218041564702</v>
      </c>
      <c r="N872" s="13" t="str">
        <f t="shared" si="75"/>
        <v>-</v>
      </c>
      <c r="O872" s="13">
        <f t="shared" si="76"/>
        <v>15315.926381191593</v>
      </c>
    </row>
    <row r="873" spans="1:15" x14ac:dyDescent="0.25">
      <c r="A873" s="1" t="s">
        <v>3</v>
      </c>
      <c r="B873" s="1" t="s">
        <v>4</v>
      </c>
      <c r="C873" s="1" t="s">
        <v>2</v>
      </c>
      <c r="D873" s="1">
        <v>50</v>
      </c>
      <c r="E873" s="1">
        <v>36.200000000000003</v>
      </c>
      <c r="F873" s="1">
        <v>0</v>
      </c>
      <c r="G873" s="7">
        <f t="shared" si="74"/>
        <v>0</v>
      </c>
      <c r="H873" s="7">
        <f t="shared" si="77"/>
        <v>0</v>
      </c>
      <c r="I873" s="7">
        <f t="shared" si="78"/>
        <v>0</v>
      </c>
      <c r="J873" s="7">
        <f t="shared" si="78"/>
        <v>0</v>
      </c>
      <c r="K873" s="7">
        <f t="shared" si="78"/>
        <v>0</v>
      </c>
      <c r="L873" s="11">
        <v>8457.8179999999993</v>
      </c>
      <c r="M873" s="12" cm="1">
        <f t="array" ref="M873">IF(($R$34+SUMPRODUCT(TRANSPOSE(D873:K873),$R$35:$R$42))&lt;0,"-",$R$34+SUMPRODUCT(TRANSPOSE(D873:K873),$R$35:$R$42))</f>
        <v>12091.716720716664</v>
      </c>
      <c r="N873" s="13" t="str">
        <f t="shared" si="75"/>
        <v>-</v>
      </c>
      <c r="O873" s="13">
        <f t="shared" si="76"/>
        <v>24215.921297751789</v>
      </c>
    </row>
    <row r="874" spans="1:15" x14ac:dyDescent="0.25">
      <c r="A874" s="1" t="s">
        <v>0</v>
      </c>
      <c r="B874" s="1" t="s">
        <v>4</v>
      </c>
      <c r="C874" s="1" t="s">
        <v>5</v>
      </c>
      <c r="D874" s="1">
        <v>26</v>
      </c>
      <c r="E874" s="1">
        <v>29.48</v>
      </c>
      <c r="F874" s="1">
        <v>1</v>
      </c>
      <c r="G874" s="7">
        <f t="shared" si="74"/>
        <v>1</v>
      </c>
      <c r="H874" s="7">
        <f t="shared" si="77"/>
        <v>0</v>
      </c>
      <c r="I874" s="7">
        <f t="shared" si="78"/>
        <v>1</v>
      </c>
      <c r="J874" s="7">
        <f t="shared" si="78"/>
        <v>0</v>
      </c>
      <c r="K874" s="7">
        <f t="shared" si="78"/>
        <v>0</v>
      </c>
      <c r="L874" s="11">
        <v>3392.3652000000002</v>
      </c>
      <c r="M874" s="12" cm="1">
        <f t="array" ref="M874">IF(($R$34+SUMPRODUCT(TRANSPOSE(D874:K874),$R$35:$R$42))&lt;0,"-",$R$34+SUMPRODUCT(TRANSPOSE(D874:K874),$R$35:$R$42))</f>
        <v>4179.6280980127194</v>
      </c>
      <c r="N874" s="13" t="str">
        <f t="shared" si="75"/>
        <v>-</v>
      </c>
      <c r="O874" s="13">
        <f t="shared" si="76"/>
        <v>16303.832675047843</v>
      </c>
    </row>
    <row r="875" spans="1:15" x14ac:dyDescent="0.25">
      <c r="A875" s="1" t="s">
        <v>3</v>
      </c>
      <c r="B875" s="1" t="s">
        <v>4</v>
      </c>
      <c r="C875" s="1" t="s">
        <v>5</v>
      </c>
      <c r="D875" s="1">
        <v>42</v>
      </c>
      <c r="E875" s="1">
        <v>24.86</v>
      </c>
      <c r="F875" s="1">
        <v>0</v>
      </c>
      <c r="G875" s="7">
        <f t="shared" si="74"/>
        <v>0</v>
      </c>
      <c r="H875" s="7">
        <f t="shared" si="77"/>
        <v>0</v>
      </c>
      <c r="I875" s="7">
        <f t="shared" si="78"/>
        <v>1</v>
      </c>
      <c r="J875" s="7">
        <f t="shared" si="78"/>
        <v>0</v>
      </c>
      <c r="K875" s="7">
        <f t="shared" si="78"/>
        <v>0</v>
      </c>
      <c r="L875" s="11">
        <v>5966.8873999999996</v>
      </c>
      <c r="M875" s="12" cm="1">
        <f t="array" ref="M875">IF(($R$34+SUMPRODUCT(TRANSPOSE(D875:K875),$R$35:$R$42))&lt;0,"-",$R$34+SUMPRODUCT(TRANSPOSE(D875:K875),$R$35:$R$42))</f>
        <v>6115.441078383963</v>
      </c>
      <c r="N875" s="13" t="str">
        <f t="shared" si="75"/>
        <v>-</v>
      </c>
      <c r="O875" s="13">
        <f t="shared" si="76"/>
        <v>18239.645655419088</v>
      </c>
    </row>
    <row r="876" spans="1:15" x14ac:dyDescent="0.25">
      <c r="A876" s="1" t="s">
        <v>3</v>
      </c>
      <c r="B876" s="1" t="s">
        <v>4</v>
      </c>
      <c r="C876" s="1" t="s">
        <v>2</v>
      </c>
      <c r="D876" s="1">
        <v>43</v>
      </c>
      <c r="E876" s="1">
        <v>30.1</v>
      </c>
      <c r="F876" s="1">
        <v>1</v>
      </c>
      <c r="G876" s="7">
        <f t="shared" si="74"/>
        <v>0</v>
      </c>
      <c r="H876" s="7">
        <f t="shared" si="77"/>
        <v>0</v>
      </c>
      <c r="I876" s="7">
        <f t="shared" si="78"/>
        <v>0</v>
      </c>
      <c r="J876" s="7">
        <f t="shared" si="78"/>
        <v>0</v>
      </c>
      <c r="K876" s="7">
        <f t="shared" si="78"/>
        <v>0</v>
      </c>
      <c r="L876" s="11">
        <v>6849.0259999999998</v>
      </c>
      <c r="M876" s="12" cm="1">
        <f t="array" ref="M876">IF(($R$34+SUMPRODUCT(TRANSPOSE(D876:K876),$R$35:$R$42))&lt;0,"-",$R$34+SUMPRODUCT(TRANSPOSE(D876:K876),$R$35:$R$42))</f>
        <v>8700.1427310782346</v>
      </c>
      <c r="N876" s="13" t="str">
        <f t="shared" si="75"/>
        <v>-</v>
      </c>
      <c r="O876" s="13">
        <f t="shared" si="76"/>
        <v>20824.347308113356</v>
      </c>
    </row>
    <row r="877" spans="1:15" x14ac:dyDescent="0.25">
      <c r="A877" s="1" t="s">
        <v>3</v>
      </c>
      <c r="B877" s="1" t="s">
        <v>4</v>
      </c>
      <c r="C877" s="1" t="s">
        <v>7</v>
      </c>
      <c r="D877" s="1">
        <v>44</v>
      </c>
      <c r="E877" s="1">
        <v>21.85</v>
      </c>
      <c r="F877" s="1">
        <v>3</v>
      </c>
      <c r="G877" s="7">
        <f t="shared" si="74"/>
        <v>0</v>
      </c>
      <c r="H877" s="7">
        <f t="shared" si="77"/>
        <v>0</v>
      </c>
      <c r="I877" s="7">
        <f t="shared" si="78"/>
        <v>0</v>
      </c>
      <c r="J877" s="7">
        <f t="shared" si="78"/>
        <v>0</v>
      </c>
      <c r="K877" s="7">
        <f t="shared" si="78"/>
        <v>1</v>
      </c>
      <c r="L877" s="11">
        <v>8891.1394999999993</v>
      </c>
      <c r="M877" s="12" cm="1">
        <f t="array" ref="M877">IF(($R$34+SUMPRODUCT(TRANSPOSE(D877:K877),$R$35:$R$42))&lt;0,"-",$R$34+SUMPRODUCT(TRANSPOSE(D877:K877),$R$35:$R$42))</f>
        <v>8069.7051729252489</v>
      </c>
      <c r="N877" s="13" t="str">
        <f t="shared" si="75"/>
        <v>-</v>
      </c>
      <c r="O877" s="13">
        <f t="shared" si="76"/>
        <v>20193.909749960374</v>
      </c>
    </row>
    <row r="878" spans="1:15" x14ac:dyDescent="0.25">
      <c r="A878" s="1" t="s">
        <v>0</v>
      </c>
      <c r="B878" s="1" t="s">
        <v>4</v>
      </c>
      <c r="C878" s="1" t="s">
        <v>6</v>
      </c>
      <c r="D878" s="1">
        <v>23</v>
      </c>
      <c r="E878" s="1">
        <v>28.12</v>
      </c>
      <c r="F878" s="1">
        <v>0</v>
      </c>
      <c r="G878" s="7">
        <f t="shared" si="74"/>
        <v>1</v>
      </c>
      <c r="H878" s="7">
        <f t="shared" si="77"/>
        <v>0</v>
      </c>
      <c r="I878" s="7">
        <f t="shared" si="78"/>
        <v>0</v>
      </c>
      <c r="J878" s="7">
        <f t="shared" si="78"/>
        <v>1</v>
      </c>
      <c r="K878" s="7">
        <f t="shared" si="78"/>
        <v>0</v>
      </c>
      <c r="L878" s="11">
        <v>2690.1138000000001</v>
      </c>
      <c r="M878" s="12" cm="1">
        <f t="array" ref="M878">IF(($R$34+SUMPRODUCT(TRANSPOSE(D878:K878),$R$35:$R$42))&lt;0,"-",$R$34+SUMPRODUCT(TRANSPOSE(D878:K878),$R$35:$R$42))</f>
        <v>3154.3135483039769</v>
      </c>
      <c r="N878" s="13" t="str">
        <f t="shared" si="75"/>
        <v>-</v>
      </c>
      <c r="O878" s="13">
        <f t="shared" si="76"/>
        <v>15278.5181253391</v>
      </c>
    </row>
    <row r="879" spans="1:15" x14ac:dyDescent="0.25">
      <c r="A879" s="1" t="s">
        <v>0</v>
      </c>
      <c r="B879" s="1" t="s">
        <v>4</v>
      </c>
      <c r="C879" s="1" t="s">
        <v>2</v>
      </c>
      <c r="D879" s="1">
        <v>49</v>
      </c>
      <c r="E879" s="1">
        <v>27.1</v>
      </c>
      <c r="F879" s="1">
        <v>1</v>
      </c>
      <c r="G879" s="7">
        <f t="shared" si="74"/>
        <v>1</v>
      </c>
      <c r="H879" s="7">
        <f t="shared" si="77"/>
        <v>0</v>
      </c>
      <c r="I879" s="7">
        <f t="shared" si="78"/>
        <v>0</v>
      </c>
      <c r="J879" s="7">
        <f t="shared" si="78"/>
        <v>0</v>
      </c>
      <c r="K879" s="7">
        <f t="shared" si="78"/>
        <v>0</v>
      </c>
      <c r="L879" s="11">
        <v>26140.3603</v>
      </c>
      <c r="M879" s="12" cm="1">
        <f t="array" ref="M879">IF(($R$34+SUMPRODUCT(TRANSPOSE(D879:K879),$R$35:$R$42))&lt;0,"-",$R$34+SUMPRODUCT(TRANSPOSE(D879:K879),$R$35:$R$42))</f>
        <v>9355.0148448649088</v>
      </c>
      <c r="N879" s="13" t="str">
        <f t="shared" si="75"/>
        <v>-</v>
      </c>
      <c r="O879" s="13">
        <f t="shared" si="76"/>
        <v>21479.21942190003</v>
      </c>
    </row>
    <row r="880" spans="1:15" x14ac:dyDescent="0.25">
      <c r="A880" s="1" t="s">
        <v>3</v>
      </c>
      <c r="B880" s="1" t="s">
        <v>4</v>
      </c>
      <c r="C880" s="1" t="s">
        <v>5</v>
      </c>
      <c r="D880" s="1">
        <v>33</v>
      </c>
      <c r="E880" s="1">
        <v>33.44</v>
      </c>
      <c r="F880" s="1">
        <v>5</v>
      </c>
      <c r="G880" s="7">
        <f t="shared" si="74"/>
        <v>0</v>
      </c>
      <c r="H880" s="7">
        <f t="shared" si="77"/>
        <v>0</v>
      </c>
      <c r="I880" s="7">
        <f t="shared" si="78"/>
        <v>1</v>
      </c>
      <c r="J880" s="7">
        <f t="shared" si="78"/>
        <v>0</v>
      </c>
      <c r="K880" s="7">
        <f t="shared" si="78"/>
        <v>0</v>
      </c>
      <c r="L880" s="11">
        <v>6653.7885999999999</v>
      </c>
      <c r="M880" s="12" cm="1">
        <f t="array" ref="M880">IF(($R$34+SUMPRODUCT(TRANSPOSE(D880:K880),$R$35:$R$42))&lt;0,"-",$R$34+SUMPRODUCT(TRANSPOSE(D880:K880),$R$35:$R$42))</f>
        <v>9091.5164632745036</v>
      </c>
      <c r="N880" s="13" t="str">
        <f t="shared" si="75"/>
        <v>-</v>
      </c>
      <c r="O880" s="13">
        <f t="shared" si="76"/>
        <v>21215.721040309625</v>
      </c>
    </row>
    <row r="881" spans="1:15" x14ac:dyDescent="0.25">
      <c r="A881" s="1" t="s">
        <v>3</v>
      </c>
      <c r="B881" s="1" t="s">
        <v>4</v>
      </c>
      <c r="C881" s="1" t="s">
        <v>2</v>
      </c>
      <c r="D881" s="1">
        <v>41</v>
      </c>
      <c r="E881" s="1">
        <v>28.8</v>
      </c>
      <c r="F881" s="1">
        <v>1</v>
      </c>
      <c r="G881" s="7">
        <f t="shared" si="74"/>
        <v>0</v>
      </c>
      <c r="H881" s="7">
        <f t="shared" si="77"/>
        <v>0</v>
      </c>
      <c r="I881" s="7">
        <f t="shared" si="78"/>
        <v>0</v>
      </c>
      <c r="J881" s="7">
        <f t="shared" si="78"/>
        <v>0</v>
      </c>
      <c r="K881" s="7">
        <f t="shared" si="78"/>
        <v>0</v>
      </c>
      <c r="L881" s="11">
        <v>6282.2349999999997</v>
      </c>
      <c r="M881" s="12" cm="1">
        <f t="array" ref="M881">IF(($R$34+SUMPRODUCT(TRANSPOSE(D881:K881),$R$35:$R$42))&lt;0,"-",$R$34+SUMPRODUCT(TRANSPOSE(D881:K881),$R$35:$R$42))</f>
        <v>7745.4785363094488</v>
      </c>
      <c r="N881" s="13" t="str">
        <f t="shared" si="75"/>
        <v>-</v>
      </c>
      <c r="O881" s="13">
        <f t="shared" si="76"/>
        <v>19869.683113344574</v>
      </c>
    </row>
    <row r="882" spans="1:15" x14ac:dyDescent="0.25">
      <c r="A882" s="1" t="s">
        <v>0</v>
      </c>
      <c r="B882" s="1" t="s">
        <v>4</v>
      </c>
      <c r="C882" s="1" t="s">
        <v>2</v>
      </c>
      <c r="D882" s="1">
        <v>37</v>
      </c>
      <c r="E882" s="1">
        <v>29.5</v>
      </c>
      <c r="F882" s="1">
        <v>2</v>
      </c>
      <c r="G882" s="7">
        <f t="shared" si="74"/>
        <v>1</v>
      </c>
      <c r="H882" s="7">
        <f t="shared" si="77"/>
        <v>0</v>
      </c>
      <c r="I882" s="7">
        <f t="shared" si="78"/>
        <v>0</v>
      </c>
      <c r="J882" s="7">
        <f t="shared" si="78"/>
        <v>0</v>
      </c>
      <c r="K882" s="7">
        <f t="shared" si="78"/>
        <v>0</v>
      </c>
      <c r="L882" s="11">
        <v>6311.9520000000002</v>
      </c>
      <c r="M882" s="12" cm="1">
        <f t="array" ref="M882">IF(($R$34+SUMPRODUCT(TRANSPOSE(D882:K882),$R$35:$R$42))&lt;0,"-",$R$34+SUMPRODUCT(TRANSPOSE(D882:K882),$R$35:$R$42))</f>
        <v>7562.3034482318835</v>
      </c>
      <c r="N882" s="13" t="str">
        <f t="shared" si="75"/>
        <v>-</v>
      </c>
      <c r="O882" s="13">
        <f t="shared" si="76"/>
        <v>19686.508025267009</v>
      </c>
    </row>
    <row r="883" spans="1:15" x14ac:dyDescent="0.25">
      <c r="A883" s="1" t="s">
        <v>3</v>
      </c>
      <c r="B883" s="1" t="s">
        <v>4</v>
      </c>
      <c r="C883" s="1" t="s">
        <v>2</v>
      </c>
      <c r="D883" s="1">
        <v>22</v>
      </c>
      <c r="E883" s="1">
        <v>34.799999999999997</v>
      </c>
      <c r="F883" s="1">
        <v>3</v>
      </c>
      <c r="G883" s="7">
        <f t="shared" si="74"/>
        <v>0</v>
      </c>
      <c r="H883" s="7">
        <f t="shared" si="77"/>
        <v>0</v>
      </c>
      <c r="I883" s="7">
        <f t="shared" si="78"/>
        <v>0</v>
      </c>
      <c r="J883" s="7">
        <f t="shared" si="78"/>
        <v>0</v>
      </c>
      <c r="K883" s="7">
        <f t="shared" si="78"/>
        <v>0</v>
      </c>
      <c r="L883" s="11">
        <v>3443.0639999999999</v>
      </c>
      <c r="M883" s="12" cm="1">
        <f t="array" ref="M883">IF(($R$34+SUMPRODUCT(TRANSPOSE(D883:K883),$R$35:$R$42))&lt;0,"-",$R$34+SUMPRODUCT(TRANSPOSE(D883:K883),$R$35:$R$42))</f>
        <v>5851.3696500631413</v>
      </c>
      <c r="N883" s="13" t="str">
        <f t="shared" si="75"/>
        <v>-</v>
      </c>
      <c r="O883" s="13">
        <f t="shared" si="76"/>
        <v>17975.574227098266</v>
      </c>
    </row>
    <row r="884" spans="1:15" x14ac:dyDescent="0.25">
      <c r="A884" s="1" t="s">
        <v>3</v>
      </c>
      <c r="B884" s="1" t="s">
        <v>4</v>
      </c>
      <c r="C884" s="1" t="s">
        <v>6</v>
      </c>
      <c r="D884" s="1">
        <v>23</v>
      </c>
      <c r="E884" s="1">
        <v>27.36</v>
      </c>
      <c r="F884" s="1">
        <v>1</v>
      </c>
      <c r="G884" s="7">
        <f t="shared" si="74"/>
        <v>0</v>
      </c>
      <c r="H884" s="7">
        <f t="shared" si="77"/>
        <v>0</v>
      </c>
      <c r="I884" s="7">
        <f t="shared" si="78"/>
        <v>0</v>
      </c>
      <c r="J884" s="7">
        <f t="shared" si="78"/>
        <v>1</v>
      </c>
      <c r="K884" s="7">
        <f t="shared" si="78"/>
        <v>0</v>
      </c>
      <c r="L884" s="11">
        <v>2789.0574000000001</v>
      </c>
      <c r="M884" s="12" cm="1">
        <f t="array" ref="M884">IF(($R$34+SUMPRODUCT(TRANSPOSE(D884:K884),$R$35:$R$42))&lt;0,"-",$R$34+SUMPRODUCT(TRANSPOSE(D884:K884),$R$35:$R$42))</f>
        <v>3240.7127093137624</v>
      </c>
      <c r="N884" s="13" t="str">
        <f t="shared" si="75"/>
        <v>-</v>
      </c>
      <c r="O884" s="13">
        <f t="shared" si="76"/>
        <v>15364.917286348886</v>
      </c>
    </row>
    <row r="885" spans="1:15" x14ac:dyDescent="0.25">
      <c r="A885" s="1" t="s">
        <v>0</v>
      </c>
      <c r="B885" s="1" t="s">
        <v>4</v>
      </c>
      <c r="C885" s="1" t="s">
        <v>7</v>
      </c>
      <c r="D885" s="1">
        <v>21</v>
      </c>
      <c r="E885" s="1">
        <v>22.135000000000002</v>
      </c>
      <c r="F885" s="1">
        <v>0</v>
      </c>
      <c r="G885" s="7">
        <f t="shared" si="74"/>
        <v>1</v>
      </c>
      <c r="H885" s="7">
        <f t="shared" si="77"/>
        <v>0</v>
      </c>
      <c r="I885" s="7">
        <f t="shared" si="78"/>
        <v>0</v>
      </c>
      <c r="J885" s="7">
        <f t="shared" si="78"/>
        <v>0</v>
      </c>
      <c r="K885" s="7">
        <f t="shared" si="78"/>
        <v>1</v>
      </c>
      <c r="L885" s="11">
        <v>2585.8506499999999</v>
      </c>
      <c r="M885" s="12" cm="1">
        <f t="array" ref="M885">IF(($R$34+SUMPRODUCT(TRANSPOSE(D885:K885),$R$35:$R$42))&lt;0,"-",$R$34+SUMPRODUCT(TRANSPOSE(D885:K885),$R$35:$R$42))</f>
        <v>963.49192279304407</v>
      </c>
      <c r="N885" s="13" t="str">
        <f t="shared" si="75"/>
        <v>-</v>
      </c>
      <c r="O885" s="13">
        <f t="shared" si="76"/>
        <v>13087.696499828167</v>
      </c>
    </row>
    <row r="886" spans="1:15" x14ac:dyDescent="0.25">
      <c r="A886" s="1" t="s">
        <v>0</v>
      </c>
      <c r="B886" s="1" t="s">
        <v>1</v>
      </c>
      <c r="C886" s="1" t="s">
        <v>7</v>
      </c>
      <c r="D886" s="1">
        <v>51</v>
      </c>
      <c r="E886" s="1">
        <v>37.049999999999997</v>
      </c>
      <c r="F886" s="1">
        <v>3</v>
      </c>
      <c r="G886" s="7">
        <f t="shared" si="74"/>
        <v>1</v>
      </c>
      <c r="H886" s="7">
        <f t="shared" si="77"/>
        <v>1</v>
      </c>
      <c r="I886" s="7">
        <f t="shared" si="78"/>
        <v>0</v>
      </c>
      <c r="J886" s="7">
        <f t="shared" si="78"/>
        <v>0</v>
      </c>
      <c r="K886" s="7">
        <f t="shared" si="78"/>
        <v>1</v>
      </c>
      <c r="L886" s="11">
        <v>46255.112500000003</v>
      </c>
      <c r="M886" s="12" cm="1">
        <f t="array" ref="M886">IF(($R$34+SUMPRODUCT(TRANSPOSE(D886:K886),$R$35:$R$42))&lt;0,"-",$R$34+SUMPRODUCT(TRANSPOSE(D886:K886),$R$35:$R$42))</f>
        <v>39003.289036879352</v>
      </c>
      <c r="N886" s="13">
        <f t="shared" si="75"/>
        <v>26879.084459844227</v>
      </c>
      <c r="O886" s="13">
        <f t="shared" si="76"/>
        <v>51127.493613914477</v>
      </c>
    </row>
    <row r="887" spans="1:15" x14ac:dyDescent="0.25">
      <c r="A887" s="1" t="s">
        <v>3</v>
      </c>
      <c r="B887" s="1" t="s">
        <v>4</v>
      </c>
      <c r="C887" s="1" t="s">
        <v>6</v>
      </c>
      <c r="D887" s="1">
        <v>25</v>
      </c>
      <c r="E887" s="1">
        <v>26.695</v>
      </c>
      <c r="F887" s="1">
        <v>4</v>
      </c>
      <c r="G887" s="7">
        <f t="shared" si="74"/>
        <v>0</v>
      </c>
      <c r="H887" s="7">
        <f t="shared" si="77"/>
        <v>0</v>
      </c>
      <c r="I887" s="7">
        <f t="shared" si="78"/>
        <v>0</v>
      </c>
      <c r="J887" s="7">
        <f t="shared" si="78"/>
        <v>1</v>
      </c>
      <c r="K887" s="7">
        <f t="shared" si="78"/>
        <v>0</v>
      </c>
      <c r="L887" s="11">
        <v>4877.9810500000003</v>
      </c>
      <c r="M887" s="12" cm="1">
        <f t="array" ref="M887">IF(($R$34+SUMPRODUCT(TRANSPOSE(D887:K887),$R$35:$R$42))&lt;0,"-",$R$34+SUMPRODUCT(TRANSPOSE(D887:K887),$R$35:$R$42))</f>
        <v>4955.3634031846486</v>
      </c>
      <c r="N887" s="13" t="str">
        <f t="shared" si="75"/>
        <v>-</v>
      </c>
      <c r="O887" s="13">
        <f t="shared" si="76"/>
        <v>17079.56798021977</v>
      </c>
    </row>
    <row r="888" spans="1:15" x14ac:dyDescent="0.25">
      <c r="A888" s="1" t="s">
        <v>3</v>
      </c>
      <c r="B888" s="1" t="s">
        <v>1</v>
      </c>
      <c r="C888" s="1" t="s">
        <v>5</v>
      </c>
      <c r="D888" s="1">
        <v>32</v>
      </c>
      <c r="E888" s="1">
        <v>28.93</v>
      </c>
      <c r="F888" s="1">
        <v>1</v>
      </c>
      <c r="G888" s="7">
        <f t="shared" si="74"/>
        <v>0</v>
      </c>
      <c r="H888" s="7">
        <f t="shared" si="77"/>
        <v>1</v>
      </c>
      <c r="I888" s="7">
        <f t="shared" si="78"/>
        <v>1</v>
      </c>
      <c r="J888" s="7">
        <f t="shared" si="78"/>
        <v>0</v>
      </c>
      <c r="K888" s="7">
        <f t="shared" si="78"/>
        <v>0</v>
      </c>
      <c r="L888" s="11">
        <v>19719.6947</v>
      </c>
      <c r="M888" s="12" cm="1">
        <f t="array" ref="M888">IF(($R$34+SUMPRODUCT(TRANSPOSE(D888:K888),$R$35:$R$42))&lt;0,"-",$R$34+SUMPRODUCT(TRANSPOSE(D888:K888),$R$35:$R$42))</f>
        <v>29251.429996268533</v>
      </c>
      <c r="N888" s="13">
        <f t="shared" si="75"/>
        <v>17127.225419233408</v>
      </c>
      <c r="O888" s="13">
        <f t="shared" si="76"/>
        <v>41375.634573303658</v>
      </c>
    </row>
    <row r="889" spans="1:15" x14ac:dyDescent="0.25">
      <c r="A889" s="1" t="s">
        <v>3</v>
      </c>
      <c r="B889" s="1" t="s">
        <v>1</v>
      </c>
      <c r="C889" s="1" t="s">
        <v>7</v>
      </c>
      <c r="D889" s="1">
        <v>57</v>
      </c>
      <c r="E889" s="1">
        <v>28.975000000000001</v>
      </c>
      <c r="F889" s="1">
        <v>0</v>
      </c>
      <c r="G889" s="7">
        <f t="shared" si="74"/>
        <v>0</v>
      </c>
      <c r="H889" s="7">
        <f t="shared" si="77"/>
        <v>1</v>
      </c>
      <c r="I889" s="7">
        <f t="shared" si="78"/>
        <v>0</v>
      </c>
      <c r="J889" s="7">
        <f t="shared" si="78"/>
        <v>0</v>
      </c>
      <c r="K889" s="7">
        <f t="shared" si="78"/>
        <v>1</v>
      </c>
      <c r="L889" s="11">
        <v>27218.437249999999</v>
      </c>
      <c r="M889" s="12" cm="1">
        <f t="array" ref="M889">IF(($R$34+SUMPRODUCT(TRANSPOSE(D889:K889),$R$35:$R$42))&lt;0,"-",$R$34+SUMPRODUCT(TRANSPOSE(D889:K889),$R$35:$R$42))</f>
        <v>36247.624019353403</v>
      </c>
      <c r="N889" s="13">
        <f t="shared" si="75"/>
        <v>24123.419442318278</v>
      </c>
      <c r="O889" s="13">
        <f t="shared" si="76"/>
        <v>48371.828596388528</v>
      </c>
    </row>
    <row r="890" spans="1:15" x14ac:dyDescent="0.25">
      <c r="A890" s="1" t="s">
        <v>0</v>
      </c>
      <c r="B890" s="1" t="s">
        <v>4</v>
      </c>
      <c r="C890" s="1" t="s">
        <v>6</v>
      </c>
      <c r="D890" s="1">
        <v>36</v>
      </c>
      <c r="E890" s="1">
        <v>30.02</v>
      </c>
      <c r="F890" s="1">
        <v>0</v>
      </c>
      <c r="G890" s="7">
        <f t="shared" si="74"/>
        <v>1</v>
      </c>
      <c r="H890" s="7">
        <f t="shared" si="77"/>
        <v>0</v>
      </c>
      <c r="I890" s="7">
        <f t="shared" si="78"/>
        <v>0</v>
      </c>
      <c r="J890" s="7">
        <f t="shared" si="78"/>
        <v>1</v>
      </c>
      <c r="K890" s="7">
        <f t="shared" si="78"/>
        <v>0</v>
      </c>
      <c r="L890" s="11">
        <v>5272.1758</v>
      </c>
      <c r="M890" s="12" cm="1">
        <f t="array" ref="M890">IF(($R$34+SUMPRODUCT(TRANSPOSE(D890:K890),$R$35:$R$42))&lt;0,"-",$R$34+SUMPRODUCT(TRANSPOSE(D890:K890),$R$35:$R$42))</f>
        <v>7137.9136931500943</v>
      </c>
      <c r="N890" s="13" t="str">
        <f t="shared" si="75"/>
        <v>-</v>
      </c>
      <c r="O890" s="13">
        <f t="shared" si="76"/>
        <v>19262.118270185216</v>
      </c>
    </row>
    <row r="891" spans="1:15" x14ac:dyDescent="0.25">
      <c r="A891" s="1" t="s">
        <v>3</v>
      </c>
      <c r="B891" s="1" t="s">
        <v>4</v>
      </c>
      <c r="C891" s="1" t="s">
        <v>2</v>
      </c>
      <c r="D891" s="1">
        <v>22</v>
      </c>
      <c r="E891" s="1">
        <v>39.5</v>
      </c>
      <c r="F891" s="1">
        <v>0</v>
      </c>
      <c r="G891" s="7">
        <f t="shared" si="74"/>
        <v>0</v>
      </c>
      <c r="H891" s="7">
        <f t="shared" si="77"/>
        <v>0</v>
      </c>
      <c r="I891" s="7">
        <f t="shared" si="78"/>
        <v>0</v>
      </c>
      <c r="J891" s="7">
        <f t="shared" si="78"/>
        <v>0</v>
      </c>
      <c r="K891" s="7">
        <f t="shared" si="78"/>
        <v>0</v>
      </c>
      <c r="L891" s="11">
        <v>1682.597</v>
      </c>
      <c r="M891" s="12" cm="1">
        <f t="array" ref="M891">IF(($R$34+SUMPRODUCT(TRANSPOSE(D891:K891),$R$35:$R$42))&lt;0,"-",$R$34+SUMPRODUCT(TRANSPOSE(D891:K891),$R$35:$R$42))</f>
        <v>6019.0772465866903</v>
      </c>
      <c r="N891" s="13" t="str">
        <f t="shared" si="75"/>
        <v>-</v>
      </c>
      <c r="O891" s="13">
        <f t="shared" si="76"/>
        <v>18143.281823621815</v>
      </c>
    </row>
    <row r="892" spans="1:15" x14ac:dyDescent="0.25">
      <c r="A892" s="1" t="s">
        <v>3</v>
      </c>
      <c r="B892" s="1" t="s">
        <v>4</v>
      </c>
      <c r="C892" s="1" t="s">
        <v>6</v>
      </c>
      <c r="D892" s="1">
        <v>57</v>
      </c>
      <c r="E892" s="1">
        <v>33.630000000000003</v>
      </c>
      <c r="F892" s="1">
        <v>1</v>
      </c>
      <c r="G892" s="7">
        <f t="shared" si="74"/>
        <v>0</v>
      </c>
      <c r="H892" s="7">
        <f t="shared" si="77"/>
        <v>0</v>
      </c>
      <c r="I892" s="7">
        <f t="shared" si="78"/>
        <v>0</v>
      </c>
      <c r="J892" s="7">
        <f t="shared" si="78"/>
        <v>1</v>
      </c>
      <c r="K892" s="7">
        <f t="shared" si="78"/>
        <v>0</v>
      </c>
      <c r="L892" s="11">
        <v>11945.1327</v>
      </c>
      <c r="M892" s="12" cm="1">
        <f t="array" ref="M892">IF(($R$34+SUMPRODUCT(TRANSPOSE(D892:K892),$R$35:$R$42))&lt;0,"-",$R$34+SUMPRODUCT(TRANSPOSE(D892:K892),$R$35:$R$42))</f>
        <v>14100.571649723563</v>
      </c>
      <c r="N892" s="13">
        <f t="shared" si="75"/>
        <v>1976.3670726884393</v>
      </c>
      <c r="O892" s="13">
        <f t="shared" si="76"/>
        <v>26224.776226758688</v>
      </c>
    </row>
    <row r="893" spans="1:15" x14ac:dyDescent="0.25">
      <c r="A893" s="1" t="s">
        <v>0</v>
      </c>
      <c r="B893" s="1" t="s">
        <v>1</v>
      </c>
      <c r="C893" s="1" t="s">
        <v>6</v>
      </c>
      <c r="D893" s="1">
        <v>64</v>
      </c>
      <c r="E893" s="1">
        <v>26.885000000000002</v>
      </c>
      <c r="F893" s="1">
        <v>0</v>
      </c>
      <c r="G893" s="7">
        <f t="shared" si="74"/>
        <v>1</v>
      </c>
      <c r="H893" s="7">
        <f t="shared" si="77"/>
        <v>1</v>
      </c>
      <c r="I893" s="7">
        <f t="shared" si="78"/>
        <v>0</v>
      </c>
      <c r="J893" s="7">
        <f t="shared" si="78"/>
        <v>1</v>
      </c>
      <c r="K893" s="7">
        <f t="shared" si="78"/>
        <v>0</v>
      </c>
      <c r="L893" s="11">
        <v>29330.98315</v>
      </c>
      <c r="M893" s="12" cm="1">
        <f t="array" ref="M893">IF(($R$34+SUMPRODUCT(TRANSPOSE(D893:K893),$R$35:$R$42))&lt;0,"-",$R$34+SUMPRODUCT(TRANSPOSE(D893:K893),$R$35:$R$42))</f>
        <v>37115.054629038648</v>
      </c>
      <c r="N893" s="13">
        <f t="shared" si="75"/>
        <v>24990.850052003523</v>
      </c>
      <c r="O893" s="13">
        <f t="shared" si="76"/>
        <v>49239.259206073773</v>
      </c>
    </row>
    <row r="894" spans="1:15" x14ac:dyDescent="0.25">
      <c r="A894" s="1" t="s">
        <v>0</v>
      </c>
      <c r="B894" s="1" t="s">
        <v>4</v>
      </c>
      <c r="C894" s="1" t="s">
        <v>5</v>
      </c>
      <c r="D894" s="1">
        <v>36</v>
      </c>
      <c r="E894" s="1">
        <v>29.04</v>
      </c>
      <c r="F894" s="1">
        <v>4</v>
      </c>
      <c r="G894" s="7">
        <f t="shared" si="74"/>
        <v>1</v>
      </c>
      <c r="H894" s="7">
        <f t="shared" si="77"/>
        <v>0</v>
      </c>
      <c r="I894" s="7">
        <f t="shared" si="78"/>
        <v>1</v>
      </c>
      <c r="J894" s="7">
        <f t="shared" si="78"/>
        <v>0</v>
      </c>
      <c r="K894" s="7">
        <f t="shared" si="78"/>
        <v>0</v>
      </c>
      <c r="L894" s="11">
        <v>7243.8136000000004</v>
      </c>
      <c r="M894" s="12" cm="1">
        <f t="array" ref="M894">IF(($R$34+SUMPRODUCT(TRANSPOSE(D894:K894),$R$35:$R$42))&lt;0,"-",$R$34+SUMPRODUCT(TRANSPOSE(D894:K894),$R$35:$R$42))</f>
        <v>8025.4481392448251</v>
      </c>
      <c r="N894" s="13" t="str">
        <f t="shared" si="75"/>
        <v>-</v>
      </c>
      <c r="O894" s="13">
        <f t="shared" si="76"/>
        <v>20149.652716279947</v>
      </c>
    </row>
    <row r="895" spans="1:15" x14ac:dyDescent="0.25">
      <c r="A895" s="1" t="s">
        <v>3</v>
      </c>
      <c r="B895" s="1" t="s">
        <v>4</v>
      </c>
      <c r="C895" s="1" t="s">
        <v>7</v>
      </c>
      <c r="D895" s="1">
        <v>54</v>
      </c>
      <c r="E895" s="1">
        <v>24.035</v>
      </c>
      <c r="F895" s="1">
        <v>0</v>
      </c>
      <c r="G895" s="7">
        <f t="shared" si="74"/>
        <v>0</v>
      </c>
      <c r="H895" s="7">
        <f t="shared" si="77"/>
        <v>0</v>
      </c>
      <c r="I895" s="7">
        <f t="shared" si="78"/>
        <v>0</v>
      </c>
      <c r="J895" s="7">
        <f t="shared" si="78"/>
        <v>0</v>
      </c>
      <c r="K895" s="7">
        <f t="shared" si="78"/>
        <v>1</v>
      </c>
      <c r="L895" s="11">
        <v>10422.916649999999</v>
      </c>
      <c r="M895" s="12" cm="1">
        <f t="array" ref="M895">IF(($R$34+SUMPRODUCT(TRANSPOSE(D895:K895),$R$35:$R$42))&lt;0,"-",$R$34+SUMPRODUCT(TRANSPOSE(D895:K895),$R$35:$R$42))</f>
        <v>9952.9047589910151</v>
      </c>
      <c r="N895" s="13" t="str">
        <f t="shared" si="75"/>
        <v>-</v>
      </c>
      <c r="O895" s="13">
        <f t="shared" si="76"/>
        <v>22077.109336026137</v>
      </c>
    </row>
    <row r="896" spans="1:15" x14ac:dyDescent="0.25">
      <c r="A896" s="1" t="s">
        <v>3</v>
      </c>
      <c r="B896" s="1" t="s">
        <v>1</v>
      </c>
      <c r="C896" s="1" t="s">
        <v>5</v>
      </c>
      <c r="D896" s="1">
        <v>47</v>
      </c>
      <c r="E896" s="1">
        <v>38.94</v>
      </c>
      <c r="F896" s="1">
        <v>2</v>
      </c>
      <c r="G896" s="7">
        <f t="shared" si="74"/>
        <v>0</v>
      </c>
      <c r="H896" s="7">
        <f t="shared" si="77"/>
        <v>1</v>
      </c>
      <c r="I896" s="7">
        <f t="shared" si="78"/>
        <v>1</v>
      </c>
      <c r="J896" s="7">
        <f t="shared" si="78"/>
        <v>0</v>
      </c>
      <c r="K896" s="7">
        <f t="shared" si="78"/>
        <v>0</v>
      </c>
      <c r="L896" s="11">
        <v>44202.653599999998</v>
      </c>
      <c r="M896" s="12" cm="1">
        <f t="array" ref="M896">IF(($R$34+SUMPRODUCT(TRANSPOSE(D896:K896),$R$35:$R$42))&lt;0,"-",$R$34+SUMPRODUCT(TRANSPOSE(D896:K896),$R$35:$R$42))</f>
        <v>36975.102300122395</v>
      </c>
      <c r="N896" s="13">
        <f t="shared" si="75"/>
        <v>24850.89772308727</v>
      </c>
      <c r="O896" s="13">
        <f t="shared" si="76"/>
        <v>49099.30687715752</v>
      </c>
    </row>
    <row r="897" spans="1:15" x14ac:dyDescent="0.25">
      <c r="A897" s="1" t="s">
        <v>3</v>
      </c>
      <c r="B897" s="1" t="s">
        <v>4</v>
      </c>
      <c r="C897" s="1" t="s">
        <v>7</v>
      </c>
      <c r="D897" s="1">
        <v>62</v>
      </c>
      <c r="E897" s="1">
        <v>32.11</v>
      </c>
      <c r="F897" s="1">
        <v>0</v>
      </c>
      <c r="G897" s="7">
        <f t="shared" si="74"/>
        <v>0</v>
      </c>
      <c r="H897" s="7">
        <f t="shared" si="77"/>
        <v>0</v>
      </c>
      <c r="I897" s="7">
        <f t="shared" si="78"/>
        <v>0</v>
      </c>
      <c r="J897" s="7">
        <f t="shared" si="78"/>
        <v>0</v>
      </c>
      <c r="K897" s="7">
        <f t="shared" si="78"/>
        <v>1</v>
      </c>
      <c r="L897" s="11">
        <v>13555.0049</v>
      </c>
      <c r="M897" s="12" cm="1">
        <f t="array" ref="M897">IF(($R$34+SUMPRODUCT(TRANSPOSE(D897:K897),$R$35:$R$42))&lt;0,"-",$R$34+SUMPRODUCT(TRANSPOSE(D897:K897),$R$35:$R$42))</f>
        <v>14746.742717197332</v>
      </c>
      <c r="N897" s="13">
        <f t="shared" si="75"/>
        <v>2622.5381401622089</v>
      </c>
      <c r="O897" s="13">
        <f t="shared" si="76"/>
        <v>26870.947294232457</v>
      </c>
    </row>
    <row r="898" spans="1:15" x14ac:dyDescent="0.25">
      <c r="A898" s="1" t="s">
        <v>0</v>
      </c>
      <c r="B898" s="1" t="s">
        <v>4</v>
      </c>
      <c r="C898" s="1" t="s">
        <v>2</v>
      </c>
      <c r="D898" s="1">
        <v>61</v>
      </c>
      <c r="E898" s="1">
        <v>44</v>
      </c>
      <c r="F898" s="1">
        <v>0</v>
      </c>
      <c r="G898" s="7">
        <f t="shared" si="74"/>
        <v>1</v>
      </c>
      <c r="H898" s="7">
        <f t="shared" si="77"/>
        <v>0</v>
      </c>
      <c r="I898" s="7">
        <f t="shared" si="78"/>
        <v>0</v>
      </c>
      <c r="J898" s="7">
        <f t="shared" si="78"/>
        <v>0</v>
      </c>
      <c r="K898" s="7">
        <f t="shared" si="78"/>
        <v>0</v>
      </c>
      <c r="L898" s="11">
        <v>13063.883</v>
      </c>
      <c r="M898" s="12" cm="1">
        <f t="array" ref="M898">IF(($R$34+SUMPRODUCT(TRANSPOSE(D898:K898),$R$35:$R$42))&lt;0,"-",$R$34+SUMPRODUCT(TRANSPOSE(D898:K898),$R$35:$R$42))</f>
        <v>17694.159896187146</v>
      </c>
      <c r="N898" s="13">
        <f t="shared" si="75"/>
        <v>5569.9553191520226</v>
      </c>
      <c r="O898" s="13">
        <f t="shared" si="76"/>
        <v>29818.364473222267</v>
      </c>
    </row>
    <row r="899" spans="1:15" x14ac:dyDescent="0.25">
      <c r="A899" s="1" t="s">
        <v>0</v>
      </c>
      <c r="B899" s="1" t="s">
        <v>1</v>
      </c>
      <c r="C899" s="1" t="s">
        <v>7</v>
      </c>
      <c r="D899" s="1">
        <v>43</v>
      </c>
      <c r="E899" s="1">
        <v>20.045000000000002</v>
      </c>
      <c r="F899" s="1">
        <v>2</v>
      </c>
      <c r="G899" s="7">
        <f t="shared" ref="G899:G962" si="79">IF($A899=G$2,1,0)</f>
        <v>1</v>
      </c>
      <c r="H899" s="7">
        <f t="shared" si="77"/>
        <v>1</v>
      </c>
      <c r="I899" s="7">
        <f t="shared" si="78"/>
        <v>0</v>
      </c>
      <c r="J899" s="7">
        <f t="shared" si="78"/>
        <v>0</v>
      </c>
      <c r="K899" s="7">
        <f t="shared" si="78"/>
        <v>1</v>
      </c>
      <c r="L899" s="11">
        <v>19798.054550000001</v>
      </c>
      <c r="M899" s="12" cm="1">
        <f t="array" ref="M899">IF(($R$34+SUMPRODUCT(TRANSPOSE(D899:K899),$R$35:$R$42))&lt;0,"-",$R$34+SUMPRODUCT(TRANSPOSE(D899:K899),$R$35:$R$42))</f>
        <v>30704.952992779101</v>
      </c>
      <c r="N899" s="13">
        <f t="shared" ref="N899:N962" si="80">IFERROR(IF($M899-(2*$R$24)&lt;0,"-",($M899-(2*$R$24))),"-")</f>
        <v>18580.748415743976</v>
      </c>
      <c r="O899" s="13">
        <f t="shared" ref="O899:O962" si="81">IFERROR(IF($L899+(2*$R$24)&lt;0,"-",($M899+(2*$R$24))),"-")</f>
        <v>42829.157569814226</v>
      </c>
    </row>
    <row r="900" spans="1:15" x14ac:dyDescent="0.25">
      <c r="A900" s="1" t="s">
        <v>3</v>
      </c>
      <c r="B900" s="1" t="s">
        <v>4</v>
      </c>
      <c r="C900" s="1" t="s">
        <v>6</v>
      </c>
      <c r="D900" s="1">
        <v>19</v>
      </c>
      <c r="E900" s="1">
        <v>25.555</v>
      </c>
      <c r="F900" s="1">
        <v>1</v>
      </c>
      <c r="G900" s="7">
        <f t="shared" si="79"/>
        <v>0</v>
      </c>
      <c r="H900" s="7">
        <f t="shared" ref="H900:H963" si="82">IF(B900="yes",1,0)</f>
        <v>0</v>
      </c>
      <c r="I900" s="7">
        <f t="shared" ref="I900:K963" si="83">IF($C900=I$2,1,0)</f>
        <v>0</v>
      </c>
      <c r="J900" s="7">
        <f t="shared" si="83"/>
        <v>1</v>
      </c>
      <c r="K900" s="7">
        <f t="shared" si="83"/>
        <v>0</v>
      </c>
      <c r="L900" s="11">
        <v>2221.5644499999999</v>
      </c>
      <c r="M900" s="12" cm="1">
        <f t="array" ref="M900">IF(($R$34+SUMPRODUCT(TRANSPOSE(D900:K900),$R$35:$R$42))&lt;0,"-",$R$34+SUMPRODUCT(TRANSPOSE(D900:K900),$R$35:$R$42))</f>
        <v>1601.0431153968057</v>
      </c>
      <c r="N900" s="13" t="str">
        <f t="shared" si="80"/>
        <v>-</v>
      </c>
      <c r="O900" s="13">
        <f t="shared" si="81"/>
        <v>13725.247692431929</v>
      </c>
    </row>
    <row r="901" spans="1:15" x14ac:dyDescent="0.25">
      <c r="A901" s="1" t="s">
        <v>0</v>
      </c>
      <c r="B901" s="1" t="s">
        <v>4</v>
      </c>
      <c r="C901" s="1" t="s">
        <v>5</v>
      </c>
      <c r="D901" s="1">
        <v>18</v>
      </c>
      <c r="E901" s="1">
        <v>40.26</v>
      </c>
      <c r="F901" s="1">
        <v>0</v>
      </c>
      <c r="G901" s="7">
        <f t="shared" si="79"/>
        <v>1</v>
      </c>
      <c r="H901" s="7">
        <f t="shared" si="82"/>
        <v>0</v>
      </c>
      <c r="I901" s="7">
        <f t="shared" si="83"/>
        <v>1</v>
      </c>
      <c r="J901" s="7">
        <f t="shared" si="83"/>
        <v>0</v>
      </c>
      <c r="K901" s="7">
        <f t="shared" si="83"/>
        <v>0</v>
      </c>
      <c r="L901" s="11">
        <v>1634.5734</v>
      </c>
      <c r="M901" s="12" cm="1">
        <f t="array" ref="M901">IF(($R$34+SUMPRODUCT(TRANSPOSE(D901:K901),$R$35:$R$42))&lt;0,"-",$R$34+SUMPRODUCT(TRANSPOSE(D901:K901),$R$35:$R$42))</f>
        <v>5305.7821624896569</v>
      </c>
      <c r="N901" s="13" t="str">
        <f t="shared" si="80"/>
        <v>-</v>
      </c>
      <c r="O901" s="13">
        <f t="shared" si="81"/>
        <v>17429.986739524778</v>
      </c>
    </row>
    <row r="902" spans="1:15" x14ac:dyDescent="0.25">
      <c r="A902" s="1" t="s">
        <v>0</v>
      </c>
      <c r="B902" s="1" t="s">
        <v>4</v>
      </c>
      <c r="C902" s="1" t="s">
        <v>6</v>
      </c>
      <c r="D902" s="1">
        <v>19</v>
      </c>
      <c r="E902" s="1">
        <v>22.515000000000001</v>
      </c>
      <c r="F902" s="1">
        <v>0</v>
      </c>
      <c r="G902" s="7">
        <f t="shared" si="79"/>
        <v>1</v>
      </c>
      <c r="H902" s="7">
        <f t="shared" si="82"/>
        <v>0</v>
      </c>
      <c r="I902" s="7">
        <f t="shared" si="83"/>
        <v>0</v>
      </c>
      <c r="J902" s="7">
        <f t="shared" si="83"/>
        <v>1</v>
      </c>
      <c r="K902" s="7">
        <f t="shared" si="83"/>
        <v>0</v>
      </c>
      <c r="L902" s="11">
        <v>2117.3388500000001</v>
      </c>
      <c r="M902" s="12" cm="1">
        <f t="array" ref="M902">IF(($R$34+SUMPRODUCT(TRANSPOSE(D902:K902),$R$35:$R$42))&lt;0,"-",$R$34+SUMPRODUCT(TRANSPOSE(D902:K902),$R$35:$R$42))</f>
        <v>225.7088306658261</v>
      </c>
      <c r="N902" s="13" t="str">
        <f t="shared" si="80"/>
        <v>-</v>
      </c>
      <c r="O902" s="13">
        <f t="shared" si="81"/>
        <v>12349.913407700949</v>
      </c>
    </row>
    <row r="903" spans="1:15" x14ac:dyDescent="0.25">
      <c r="A903" s="1" t="s">
        <v>3</v>
      </c>
      <c r="B903" s="1" t="s">
        <v>4</v>
      </c>
      <c r="C903" s="1" t="s">
        <v>7</v>
      </c>
      <c r="D903" s="1">
        <v>49</v>
      </c>
      <c r="E903" s="1">
        <v>22.515000000000001</v>
      </c>
      <c r="F903" s="1">
        <v>0</v>
      </c>
      <c r="G903" s="7">
        <f t="shared" si="79"/>
        <v>0</v>
      </c>
      <c r="H903" s="7">
        <f t="shared" si="82"/>
        <v>0</v>
      </c>
      <c r="I903" s="7">
        <f t="shared" si="83"/>
        <v>0</v>
      </c>
      <c r="J903" s="7">
        <f t="shared" si="83"/>
        <v>0</v>
      </c>
      <c r="K903" s="7">
        <f t="shared" si="83"/>
        <v>1</v>
      </c>
      <c r="L903" s="11">
        <v>8688.8588500000005</v>
      </c>
      <c r="M903" s="12" cm="1">
        <f t="array" ref="M903">IF(($R$34+SUMPRODUCT(TRANSPOSE(D903:K903),$R$35:$R$42))&lt;0,"-",$R$34+SUMPRODUCT(TRANSPOSE(D903:K903),$R$35:$R$42))</f>
        <v>8153.0489468158012</v>
      </c>
      <c r="N903" s="13" t="str">
        <f t="shared" si="80"/>
        <v>-</v>
      </c>
      <c r="O903" s="13">
        <f t="shared" si="81"/>
        <v>20277.253523850923</v>
      </c>
    </row>
    <row r="904" spans="1:15" x14ac:dyDescent="0.25">
      <c r="A904" s="1" t="s">
        <v>3</v>
      </c>
      <c r="B904" s="1" t="s">
        <v>1</v>
      </c>
      <c r="C904" s="1" t="s">
        <v>5</v>
      </c>
      <c r="D904" s="1">
        <v>60</v>
      </c>
      <c r="E904" s="1">
        <v>40.92</v>
      </c>
      <c r="F904" s="1">
        <v>0</v>
      </c>
      <c r="G904" s="7">
        <f t="shared" si="79"/>
        <v>0</v>
      </c>
      <c r="H904" s="7">
        <f t="shared" si="82"/>
        <v>1</v>
      </c>
      <c r="I904" s="7">
        <f t="shared" si="83"/>
        <v>1</v>
      </c>
      <c r="J904" s="7">
        <f t="shared" si="83"/>
        <v>0</v>
      </c>
      <c r="K904" s="7">
        <f t="shared" si="83"/>
        <v>0</v>
      </c>
      <c r="L904" s="11">
        <v>48673.558799999999</v>
      </c>
      <c r="M904" s="12" cm="1">
        <f t="array" ref="M904">IF(($R$34+SUMPRODUCT(TRANSPOSE(D904:K904),$R$35:$R$42))&lt;0,"-",$R$34+SUMPRODUCT(TRANSPOSE(D904:K904),$R$35:$R$42))</f>
        <v>40034.836830959117</v>
      </c>
      <c r="N904" s="13">
        <f t="shared" si="80"/>
        <v>27910.632253923992</v>
      </c>
      <c r="O904" s="13">
        <f t="shared" si="81"/>
        <v>52159.041407994242</v>
      </c>
    </row>
    <row r="905" spans="1:15" x14ac:dyDescent="0.25">
      <c r="A905" s="1" t="s">
        <v>3</v>
      </c>
      <c r="B905" s="1" t="s">
        <v>4</v>
      </c>
      <c r="C905" s="1" t="s">
        <v>7</v>
      </c>
      <c r="D905" s="1">
        <v>26</v>
      </c>
      <c r="E905" s="1">
        <v>27.265000000000001</v>
      </c>
      <c r="F905" s="1">
        <v>3</v>
      </c>
      <c r="G905" s="7">
        <f t="shared" si="79"/>
        <v>0</v>
      </c>
      <c r="H905" s="7">
        <f t="shared" si="82"/>
        <v>0</v>
      </c>
      <c r="I905" s="7">
        <f t="shared" si="83"/>
        <v>0</v>
      </c>
      <c r="J905" s="7">
        <f t="shared" si="83"/>
        <v>0</v>
      </c>
      <c r="K905" s="7">
        <f t="shared" si="83"/>
        <v>1</v>
      </c>
      <c r="L905" s="11">
        <v>4661.2863500000003</v>
      </c>
      <c r="M905" s="12" cm="1">
        <f t="array" ref="M905">IF(($R$34+SUMPRODUCT(TRANSPOSE(D905:K905),$R$35:$R$42))&lt;0,"-",$R$34+SUMPRODUCT(TRANSPOSE(D905:K905),$R$35:$R$42))</f>
        <v>5283.0233785556848</v>
      </c>
      <c r="N905" s="13" t="str">
        <f t="shared" si="80"/>
        <v>-</v>
      </c>
      <c r="O905" s="13">
        <f t="shared" si="81"/>
        <v>17407.22795559081</v>
      </c>
    </row>
    <row r="906" spans="1:15" x14ac:dyDescent="0.25">
      <c r="A906" s="1" t="s">
        <v>3</v>
      </c>
      <c r="B906" s="1" t="s">
        <v>4</v>
      </c>
      <c r="C906" s="1" t="s">
        <v>5</v>
      </c>
      <c r="D906" s="1">
        <v>49</v>
      </c>
      <c r="E906" s="1">
        <v>36.85</v>
      </c>
      <c r="F906" s="1">
        <v>0</v>
      </c>
      <c r="G906" s="7">
        <f t="shared" si="79"/>
        <v>0</v>
      </c>
      <c r="H906" s="7">
        <f t="shared" si="82"/>
        <v>0</v>
      </c>
      <c r="I906" s="7">
        <f t="shared" si="83"/>
        <v>1</v>
      </c>
      <c r="J906" s="7">
        <f t="shared" si="83"/>
        <v>0</v>
      </c>
      <c r="K906" s="7">
        <f t="shared" si="83"/>
        <v>0</v>
      </c>
      <c r="L906" s="11">
        <v>8125.7844999999998</v>
      </c>
      <c r="M906" s="12" cm="1">
        <f t="array" ref="M906">IF(($R$34+SUMPRODUCT(TRANSPOSE(D906:K906),$R$35:$R$42))&lt;0,"-",$R$34+SUMPRODUCT(TRANSPOSE(D906:K906),$R$35:$R$42))</f>
        <v>11980.365054939371</v>
      </c>
      <c r="N906" s="13" t="str">
        <f t="shared" si="80"/>
        <v>-</v>
      </c>
      <c r="O906" s="13">
        <f t="shared" si="81"/>
        <v>24104.569631974497</v>
      </c>
    </row>
    <row r="907" spans="1:15" x14ac:dyDescent="0.25">
      <c r="A907" s="1" t="s">
        <v>0</v>
      </c>
      <c r="B907" s="1" t="s">
        <v>4</v>
      </c>
      <c r="C907" s="1" t="s">
        <v>2</v>
      </c>
      <c r="D907" s="1">
        <v>60</v>
      </c>
      <c r="E907" s="1">
        <v>35.1</v>
      </c>
      <c r="F907" s="1">
        <v>0</v>
      </c>
      <c r="G907" s="7">
        <f t="shared" si="79"/>
        <v>1</v>
      </c>
      <c r="H907" s="7">
        <f t="shared" si="82"/>
        <v>0</v>
      </c>
      <c r="I907" s="7">
        <f t="shared" si="83"/>
        <v>0</v>
      </c>
      <c r="J907" s="7">
        <f t="shared" si="83"/>
        <v>0</v>
      </c>
      <c r="K907" s="7">
        <f t="shared" si="83"/>
        <v>0</v>
      </c>
      <c r="L907" s="11">
        <v>12644.589</v>
      </c>
      <c r="M907" s="12" cm="1">
        <f t="array" ref="M907">IF(($R$34+SUMPRODUCT(TRANSPOSE(D907:K907),$R$35:$R$42))&lt;0,"-",$R$34+SUMPRODUCT(TRANSPOSE(D907:K907),$R$35:$R$42))</f>
        <v>14418.481806513326</v>
      </c>
      <c r="N907" s="13">
        <f t="shared" si="80"/>
        <v>2294.2772294782026</v>
      </c>
      <c r="O907" s="13">
        <f t="shared" si="81"/>
        <v>26542.686383548447</v>
      </c>
    </row>
    <row r="908" spans="1:15" x14ac:dyDescent="0.25">
      <c r="A908" s="1" t="s">
        <v>0</v>
      </c>
      <c r="B908" s="1" t="s">
        <v>4</v>
      </c>
      <c r="C908" s="1" t="s">
        <v>7</v>
      </c>
      <c r="D908" s="1">
        <v>26</v>
      </c>
      <c r="E908" s="1">
        <v>29.355</v>
      </c>
      <c r="F908" s="1">
        <v>2</v>
      </c>
      <c r="G908" s="7">
        <f t="shared" si="79"/>
        <v>1</v>
      </c>
      <c r="H908" s="7">
        <f t="shared" si="82"/>
        <v>0</v>
      </c>
      <c r="I908" s="7">
        <f t="shared" si="83"/>
        <v>0</v>
      </c>
      <c r="J908" s="7">
        <f t="shared" si="83"/>
        <v>0</v>
      </c>
      <c r="K908" s="7">
        <f t="shared" si="83"/>
        <v>1</v>
      </c>
      <c r="L908" s="11">
        <v>4564.1914500000003</v>
      </c>
      <c r="M908" s="12" cm="1">
        <f t="array" ref="M908">IF(($R$34+SUMPRODUCT(TRANSPOSE(D908:K908),$R$35:$R$42))&lt;0,"-",$R$34+SUMPRODUCT(TRANSPOSE(D908:K908),$R$35:$R$42))</f>
        <v>5647.751510848313</v>
      </c>
      <c r="N908" s="13" t="str">
        <f t="shared" si="80"/>
        <v>-</v>
      </c>
      <c r="O908" s="13">
        <f t="shared" si="81"/>
        <v>17771.956087883438</v>
      </c>
    </row>
    <row r="909" spans="1:15" x14ac:dyDescent="0.25">
      <c r="A909" s="1" t="s">
        <v>3</v>
      </c>
      <c r="B909" s="1" t="s">
        <v>4</v>
      </c>
      <c r="C909" s="1" t="s">
        <v>7</v>
      </c>
      <c r="D909" s="1">
        <v>27</v>
      </c>
      <c r="E909" s="1">
        <v>32.585000000000001</v>
      </c>
      <c r="F909" s="1">
        <v>3</v>
      </c>
      <c r="G909" s="7">
        <f t="shared" si="79"/>
        <v>0</v>
      </c>
      <c r="H909" s="7">
        <f t="shared" si="82"/>
        <v>0</v>
      </c>
      <c r="I909" s="7">
        <f t="shared" si="83"/>
        <v>0</v>
      </c>
      <c r="J909" s="7">
        <f t="shared" si="83"/>
        <v>0</v>
      </c>
      <c r="K909" s="7">
        <f t="shared" si="83"/>
        <v>1</v>
      </c>
      <c r="L909" s="11">
        <v>4846.9201499999999</v>
      </c>
      <c r="M909" s="12" cm="1">
        <f t="array" ref="M909">IF(($R$34+SUMPRODUCT(TRANSPOSE(D909:K909),$R$35:$R$42))&lt;0,"-",$R$34+SUMPRODUCT(TRANSPOSE(D909:K909),$R$35:$R$42))</f>
        <v>7344.3889043027048</v>
      </c>
      <c r="N909" s="13" t="str">
        <f t="shared" si="80"/>
        <v>-</v>
      </c>
      <c r="O909" s="13">
        <f t="shared" si="81"/>
        <v>19468.593481337826</v>
      </c>
    </row>
    <row r="910" spans="1:15" x14ac:dyDescent="0.25">
      <c r="A910" s="1" t="s">
        <v>0</v>
      </c>
      <c r="B910" s="1" t="s">
        <v>4</v>
      </c>
      <c r="C910" s="1" t="s">
        <v>5</v>
      </c>
      <c r="D910" s="1">
        <v>44</v>
      </c>
      <c r="E910" s="1">
        <v>32.340000000000003</v>
      </c>
      <c r="F910" s="1">
        <v>1</v>
      </c>
      <c r="G910" s="7">
        <f t="shared" si="79"/>
        <v>1</v>
      </c>
      <c r="H910" s="7">
        <f t="shared" si="82"/>
        <v>0</v>
      </c>
      <c r="I910" s="7">
        <f t="shared" si="83"/>
        <v>1</v>
      </c>
      <c r="J910" s="7">
        <f t="shared" si="83"/>
        <v>0</v>
      </c>
      <c r="K910" s="7">
        <f t="shared" si="83"/>
        <v>0</v>
      </c>
      <c r="L910" s="11">
        <v>7633.7205999999996</v>
      </c>
      <c r="M910" s="12" cm="1">
        <f t="array" ref="M910">IF(($R$34+SUMPRODUCT(TRANSPOSE(D910:K910),$R$35:$R$42))&lt;0,"-",$R$34+SUMPRODUCT(TRANSPOSE(D910:K910),$R$35:$R$42))</f>
        <v>9773.1357210119859</v>
      </c>
      <c r="N910" s="13" t="str">
        <f t="shared" si="80"/>
        <v>-</v>
      </c>
      <c r="O910" s="13">
        <f t="shared" si="81"/>
        <v>21897.340298047107</v>
      </c>
    </row>
    <row r="911" spans="1:15" x14ac:dyDescent="0.25">
      <c r="A911" s="1" t="s">
        <v>3</v>
      </c>
      <c r="B911" s="1" t="s">
        <v>4</v>
      </c>
      <c r="C911" s="1" t="s">
        <v>2</v>
      </c>
      <c r="D911" s="1">
        <v>63</v>
      </c>
      <c r="E911" s="1">
        <v>39.799999999999997</v>
      </c>
      <c r="F911" s="1">
        <v>3</v>
      </c>
      <c r="G911" s="7">
        <f t="shared" si="79"/>
        <v>0</v>
      </c>
      <c r="H911" s="7">
        <f t="shared" si="82"/>
        <v>0</v>
      </c>
      <c r="I911" s="7">
        <f t="shared" si="83"/>
        <v>0</v>
      </c>
      <c r="J911" s="7">
        <f t="shared" si="83"/>
        <v>0</v>
      </c>
      <c r="K911" s="7">
        <f t="shared" si="83"/>
        <v>0</v>
      </c>
      <c r="L911" s="11">
        <v>15170.069</v>
      </c>
      <c r="M911" s="12" cm="1">
        <f t="array" ref="M911">IF(($R$34+SUMPRODUCT(TRANSPOSE(D911:K911),$R$35:$R$42))&lt;0,"-",$R$34+SUMPRODUCT(TRANSPOSE(D911:K911),$R$35:$R$42))</f>
        <v>18078.447372148607</v>
      </c>
      <c r="N911" s="13">
        <f t="shared" si="80"/>
        <v>5954.2427951134832</v>
      </c>
      <c r="O911" s="13">
        <f t="shared" si="81"/>
        <v>30202.651949183732</v>
      </c>
    </row>
    <row r="912" spans="1:15" x14ac:dyDescent="0.25">
      <c r="A912" s="1" t="s">
        <v>0</v>
      </c>
      <c r="B912" s="1" t="s">
        <v>1</v>
      </c>
      <c r="C912" s="1" t="s">
        <v>2</v>
      </c>
      <c r="D912" s="1">
        <v>32</v>
      </c>
      <c r="E912" s="1">
        <v>24.6</v>
      </c>
      <c r="F912" s="1">
        <v>0</v>
      </c>
      <c r="G912" s="7">
        <f t="shared" si="79"/>
        <v>1</v>
      </c>
      <c r="H912" s="7">
        <f t="shared" si="82"/>
        <v>1</v>
      </c>
      <c r="I912" s="7">
        <f t="shared" si="83"/>
        <v>0</v>
      </c>
      <c r="J912" s="7">
        <f t="shared" si="83"/>
        <v>0</v>
      </c>
      <c r="K912" s="7">
        <f t="shared" si="83"/>
        <v>0</v>
      </c>
      <c r="L912" s="11">
        <v>17496.306</v>
      </c>
      <c r="M912" s="12" cm="1">
        <f t="array" ref="M912">IF(($R$34+SUMPRODUCT(TRANSPOSE(D912:K912),$R$35:$R$42))&lt;0,"-",$R$34+SUMPRODUCT(TRANSPOSE(D912:K912),$R$35:$R$42))</f>
        <v>27513.507214466554</v>
      </c>
      <c r="N912" s="13">
        <f t="shared" si="80"/>
        <v>15389.30263743143</v>
      </c>
      <c r="O912" s="13">
        <f t="shared" si="81"/>
        <v>39637.711791501679</v>
      </c>
    </row>
    <row r="913" spans="1:15" x14ac:dyDescent="0.25">
      <c r="A913" s="1" t="s">
        <v>3</v>
      </c>
      <c r="B913" s="1" t="s">
        <v>4</v>
      </c>
      <c r="C913" s="1" t="s">
        <v>6</v>
      </c>
      <c r="D913" s="1">
        <v>22</v>
      </c>
      <c r="E913" s="1">
        <v>28.31</v>
      </c>
      <c r="F913" s="1">
        <v>1</v>
      </c>
      <c r="G913" s="7">
        <f t="shared" si="79"/>
        <v>0</v>
      </c>
      <c r="H913" s="7">
        <f t="shared" si="82"/>
        <v>0</v>
      </c>
      <c r="I913" s="7">
        <f t="shared" si="83"/>
        <v>0</v>
      </c>
      <c r="J913" s="7">
        <f t="shared" si="83"/>
        <v>1</v>
      </c>
      <c r="K913" s="7">
        <f t="shared" si="83"/>
        <v>0</v>
      </c>
      <c r="L913" s="11">
        <v>2639.0428999999999</v>
      </c>
      <c r="M913" s="12" cm="1">
        <f t="array" ref="M913">IF(($R$34+SUMPRODUCT(TRANSPOSE(D913:K913),$R$35:$R$42))&lt;0,"-",$R$34+SUMPRODUCT(TRANSPOSE(D913:K913),$R$35:$R$42))</f>
        <v>3306.090137706713</v>
      </c>
      <c r="N913" s="13" t="str">
        <f t="shared" si="80"/>
        <v>-</v>
      </c>
      <c r="O913" s="13">
        <f t="shared" si="81"/>
        <v>15430.294714741836</v>
      </c>
    </row>
    <row r="914" spans="1:15" x14ac:dyDescent="0.25">
      <c r="A914" s="1" t="s">
        <v>3</v>
      </c>
      <c r="B914" s="1" t="s">
        <v>1</v>
      </c>
      <c r="C914" s="1" t="s">
        <v>7</v>
      </c>
      <c r="D914" s="1">
        <v>18</v>
      </c>
      <c r="E914" s="1">
        <v>31.73</v>
      </c>
      <c r="F914" s="1">
        <v>0</v>
      </c>
      <c r="G914" s="7">
        <f t="shared" si="79"/>
        <v>0</v>
      </c>
      <c r="H914" s="7">
        <f t="shared" si="82"/>
        <v>1</v>
      </c>
      <c r="I914" s="7">
        <f t="shared" si="83"/>
        <v>0</v>
      </c>
      <c r="J914" s="7">
        <f t="shared" si="83"/>
        <v>0</v>
      </c>
      <c r="K914" s="7">
        <f t="shared" si="83"/>
        <v>1</v>
      </c>
      <c r="L914" s="11">
        <v>33732.686699999998</v>
      </c>
      <c r="M914" s="12" cm="1">
        <f t="array" ref="M914">IF(($R$34+SUMPRODUCT(TRANSPOSE(D914:K914),$R$35:$R$42))&lt;0,"-",$R$34+SUMPRODUCT(TRANSPOSE(D914:K914),$R$35:$R$42))</f>
        <v>27164.704235094694</v>
      </c>
      <c r="N914" s="13">
        <f t="shared" si="80"/>
        <v>15040.499658059571</v>
      </c>
      <c r="O914" s="13">
        <f t="shared" si="81"/>
        <v>39288.908812129819</v>
      </c>
    </row>
    <row r="915" spans="1:15" x14ac:dyDescent="0.25">
      <c r="A915" s="1" t="s">
        <v>0</v>
      </c>
      <c r="B915" s="1" t="s">
        <v>4</v>
      </c>
      <c r="C915" s="1" t="s">
        <v>6</v>
      </c>
      <c r="D915" s="1">
        <v>59</v>
      </c>
      <c r="E915" s="1">
        <v>26.695</v>
      </c>
      <c r="F915" s="1">
        <v>3</v>
      </c>
      <c r="G915" s="7">
        <f t="shared" si="79"/>
        <v>1</v>
      </c>
      <c r="H915" s="7">
        <f t="shared" si="82"/>
        <v>0</v>
      </c>
      <c r="I915" s="7">
        <f t="shared" si="83"/>
        <v>0</v>
      </c>
      <c r="J915" s="7">
        <f t="shared" si="83"/>
        <v>1</v>
      </c>
      <c r="K915" s="7">
        <f t="shared" si="83"/>
        <v>0</v>
      </c>
      <c r="L915" s="11">
        <v>14382.709049999999</v>
      </c>
      <c r="M915" s="12" cm="1">
        <f t="array" ref="M915">IF(($R$34+SUMPRODUCT(TRANSPOSE(D915:K915),$R$35:$R$42))&lt;0,"-",$R$34+SUMPRODUCT(TRANSPOSE(D915:K915),$R$35:$R$42))</f>
        <v>13344.293203700454</v>
      </c>
      <c r="N915" s="13">
        <f t="shared" si="80"/>
        <v>1220.0886266653306</v>
      </c>
      <c r="O915" s="13">
        <f t="shared" si="81"/>
        <v>25468.497780735575</v>
      </c>
    </row>
    <row r="916" spans="1:15" x14ac:dyDescent="0.25">
      <c r="A916" s="1" t="s">
        <v>0</v>
      </c>
      <c r="B916" s="1" t="s">
        <v>4</v>
      </c>
      <c r="C916" s="1" t="s">
        <v>2</v>
      </c>
      <c r="D916" s="1">
        <v>44</v>
      </c>
      <c r="E916" s="1">
        <v>27.5</v>
      </c>
      <c r="F916" s="1">
        <v>1</v>
      </c>
      <c r="G916" s="7">
        <f t="shared" si="79"/>
        <v>1</v>
      </c>
      <c r="H916" s="7">
        <f t="shared" si="82"/>
        <v>0</v>
      </c>
      <c r="I916" s="7">
        <f t="shared" si="83"/>
        <v>0</v>
      </c>
      <c r="J916" s="7">
        <f t="shared" si="83"/>
        <v>0</v>
      </c>
      <c r="K916" s="7">
        <f t="shared" si="83"/>
        <v>0</v>
      </c>
      <c r="L916" s="11">
        <v>7626.9930000000004</v>
      </c>
      <c r="M916" s="12" cm="1">
        <f t="array" ref="M916">IF(($R$34+SUMPRODUCT(TRANSPOSE(D916:K916),$R$35:$R$42))&lt;0,"-",$R$34+SUMPRODUCT(TRANSPOSE(D916:K916),$R$35:$R$42))</f>
        <v>8206.4104636225056</v>
      </c>
      <c r="N916" s="13" t="str">
        <f t="shared" si="80"/>
        <v>-</v>
      </c>
      <c r="O916" s="13">
        <f t="shared" si="81"/>
        <v>20330.615040657627</v>
      </c>
    </row>
    <row r="917" spans="1:15" x14ac:dyDescent="0.25">
      <c r="A917" s="1" t="s">
        <v>3</v>
      </c>
      <c r="B917" s="1" t="s">
        <v>4</v>
      </c>
      <c r="C917" s="1" t="s">
        <v>6</v>
      </c>
      <c r="D917" s="1">
        <v>33</v>
      </c>
      <c r="E917" s="1">
        <v>24.605</v>
      </c>
      <c r="F917" s="1">
        <v>2</v>
      </c>
      <c r="G917" s="7">
        <f t="shared" si="79"/>
        <v>0</v>
      </c>
      <c r="H917" s="7">
        <f t="shared" si="82"/>
        <v>0</v>
      </c>
      <c r="I917" s="7">
        <f t="shared" si="83"/>
        <v>0</v>
      </c>
      <c r="J917" s="7">
        <f t="shared" si="83"/>
        <v>1</v>
      </c>
      <c r="K917" s="7">
        <f t="shared" si="83"/>
        <v>0</v>
      </c>
      <c r="L917" s="11">
        <v>5257.5079500000002</v>
      </c>
      <c r="M917" s="12" cm="1">
        <f t="array" ref="M917">IF(($R$34+SUMPRODUCT(TRANSPOSE(D917:K917),$R$35:$R$42))&lt;0,"-",$R$34+SUMPRODUCT(TRANSPOSE(D917:K917),$R$35:$R$42))</f>
        <v>5350.2988151385107</v>
      </c>
      <c r="N917" s="13" t="str">
        <f t="shared" si="80"/>
        <v>-</v>
      </c>
      <c r="O917" s="13">
        <f t="shared" si="81"/>
        <v>17474.503392173632</v>
      </c>
    </row>
    <row r="918" spans="1:15" x14ac:dyDescent="0.25">
      <c r="A918" s="1" t="s">
        <v>0</v>
      </c>
      <c r="B918" s="1" t="s">
        <v>4</v>
      </c>
      <c r="C918" s="1" t="s">
        <v>5</v>
      </c>
      <c r="D918" s="1">
        <v>24</v>
      </c>
      <c r="E918" s="1">
        <v>33.99</v>
      </c>
      <c r="F918" s="1">
        <v>0</v>
      </c>
      <c r="G918" s="7">
        <f t="shared" si="79"/>
        <v>1</v>
      </c>
      <c r="H918" s="7">
        <f t="shared" si="82"/>
        <v>0</v>
      </c>
      <c r="I918" s="7">
        <f t="shared" si="83"/>
        <v>1</v>
      </c>
      <c r="J918" s="7">
        <f t="shared" si="83"/>
        <v>0</v>
      </c>
      <c r="K918" s="7">
        <f t="shared" si="83"/>
        <v>0</v>
      </c>
      <c r="L918" s="11">
        <v>2473.3341</v>
      </c>
      <c r="M918" s="12" cm="1">
        <f t="array" ref="M918">IF(($R$34+SUMPRODUCT(TRANSPOSE(D918:K918),$R$35:$R$42))&lt;0,"-",$R$34+SUMPRODUCT(TRANSPOSE(D918:K918),$R$35:$R$42))</f>
        <v>4720.1773235737783</v>
      </c>
      <c r="N918" s="13" t="str">
        <f t="shared" si="80"/>
        <v>-</v>
      </c>
      <c r="O918" s="13">
        <f t="shared" si="81"/>
        <v>16844.381900608903</v>
      </c>
    </row>
    <row r="919" spans="1:15" x14ac:dyDescent="0.25">
      <c r="A919" s="1" t="s">
        <v>0</v>
      </c>
      <c r="B919" s="1" t="s">
        <v>1</v>
      </c>
      <c r="C919" s="1" t="s">
        <v>6</v>
      </c>
      <c r="D919" s="1">
        <v>43</v>
      </c>
      <c r="E919" s="1">
        <v>26.885000000000002</v>
      </c>
      <c r="F919" s="1">
        <v>0</v>
      </c>
      <c r="G919" s="7">
        <f t="shared" si="79"/>
        <v>1</v>
      </c>
      <c r="H919" s="7">
        <f t="shared" si="82"/>
        <v>1</v>
      </c>
      <c r="I919" s="7">
        <f t="shared" si="83"/>
        <v>0</v>
      </c>
      <c r="J919" s="7">
        <f t="shared" si="83"/>
        <v>1</v>
      </c>
      <c r="K919" s="7">
        <f t="shared" si="83"/>
        <v>0</v>
      </c>
      <c r="L919" s="11">
        <v>21774.32215</v>
      </c>
      <c r="M919" s="12" cm="1">
        <f t="array" ref="M919">IF(($R$34+SUMPRODUCT(TRANSPOSE(D919:K919),$R$35:$R$42))&lt;0,"-",$R$34+SUMPRODUCT(TRANSPOSE(D919:K919),$R$35:$R$42))</f>
        <v>31721.071225754342</v>
      </c>
      <c r="N919" s="13">
        <f t="shared" si="80"/>
        <v>19596.866648719217</v>
      </c>
      <c r="O919" s="13">
        <f t="shared" si="81"/>
        <v>43845.275802789467</v>
      </c>
    </row>
    <row r="920" spans="1:15" x14ac:dyDescent="0.25">
      <c r="A920" s="1" t="s">
        <v>3</v>
      </c>
      <c r="B920" s="1" t="s">
        <v>1</v>
      </c>
      <c r="C920" s="1" t="s">
        <v>7</v>
      </c>
      <c r="D920" s="1">
        <v>45</v>
      </c>
      <c r="E920" s="1">
        <v>22.895</v>
      </c>
      <c r="F920" s="1">
        <v>0</v>
      </c>
      <c r="G920" s="7">
        <f t="shared" si="79"/>
        <v>0</v>
      </c>
      <c r="H920" s="7">
        <f t="shared" si="82"/>
        <v>1</v>
      </c>
      <c r="I920" s="7">
        <f t="shared" si="83"/>
        <v>0</v>
      </c>
      <c r="J920" s="7">
        <f t="shared" si="83"/>
        <v>0</v>
      </c>
      <c r="K920" s="7">
        <f t="shared" si="83"/>
        <v>1</v>
      </c>
      <c r="L920" s="11">
        <v>35069.374519999998</v>
      </c>
      <c r="M920" s="12" cm="1">
        <f t="array" ref="M920">IF(($R$34+SUMPRODUCT(TRANSPOSE(D920:K920),$R$35:$R$42))&lt;0,"-",$R$34+SUMPRODUCT(TRANSPOSE(D920:K920),$R$35:$R$42))</f>
        <v>31103.05159095132</v>
      </c>
      <c r="N920" s="13">
        <f t="shared" si="80"/>
        <v>18978.847013916195</v>
      </c>
      <c r="O920" s="13">
        <f t="shared" si="81"/>
        <v>43227.256167986445</v>
      </c>
    </row>
    <row r="921" spans="1:15" x14ac:dyDescent="0.25">
      <c r="A921" s="1" t="s">
        <v>0</v>
      </c>
      <c r="B921" s="1" t="s">
        <v>4</v>
      </c>
      <c r="C921" s="1" t="s">
        <v>2</v>
      </c>
      <c r="D921" s="1">
        <v>61</v>
      </c>
      <c r="E921" s="1">
        <v>28.2</v>
      </c>
      <c r="F921" s="1">
        <v>0</v>
      </c>
      <c r="G921" s="7">
        <f t="shared" si="79"/>
        <v>1</v>
      </c>
      <c r="H921" s="7">
        <f t="shared" si="82"/>
        <v>0</v>
      </c>
      <c r="I921" s="7">
        <f t="shared" si="83"/>
        <v>0</v>
      </c>
      <c r="J921" s="7">
        <f t="shared" si="83"/>
        <v>0</v>
      </c>
      <c r="K921" s="7">
        <f t="shared" si="83"/>
        <v>0</v>
      </c>
      <c r="L921" s="11">
        <v>13041.921</v>
      </c>
      <c r="M921" s="12" cm="1">
        <f t="array" ref="M921">IF(($R$34+SUMPRODUCT(TRANSPOSE(D921:K921),$R$35:$R$42))&lt;0,"-",$R$34+SUMPRODUCT(TRANSPOSE(D921:K921),$R$35:$R$42))</f>
        <v>12334.903329135876</v>
      </c>
      <c r="N921" s="13">
        <f t="shared" si="80"/>
        <v>210.69875210075224</v>
      </c>
      <c r="O921" s="13">
        <f t="shared" si="81"/>
        <v>24459.107906170997</v>
      </c>
    </row>
    <row r="922" spans="1:15" x14ac:dyDescent="0.25">
      <c r="A922" s="1" t="s">
        <v>0</v>
      </c>
      <c r="B922" s="1" t="s">
        <v>4</v>
      </c>
      <c r="C922" s="1" t="s">
        <v>5</v>
      </c>
      <c r="D922" s="1">
        <v>35</v>
      </c>
      <c r="E922" s="1">
        <v>34.21</v>
      </c>
      <c r="F922" s="1">
        <v>1</v>
      </c>
      <c r="G922" s="7">
        <f t="shared" si="79"/>
        <v>1</v>
      </c>
      <c r="H922" s="7">
        <f t="shared" si="82"/>
        <v>0</v>
      </c>
      <c r="I922" s="7">
        <f t="shared" si="83"/>
        <v>1</v>
      </c>
      <c r="J922" s="7">
        <f t="shared" si="83"/>
        <v>0</v>
      </c>
      <c r="K922" s="7">
        <f t="shared" si="83"/>
        <v>0</v>
      </c>
      <c r="L922" s="11">
        <v>5245.2268999999997</v>
      </c>
      <c r="M922" s="12" cm="1">
        <f t="array" ref="M922">IF(($R$34+SUMPRODUCT(TRANSPOSE(D922:K922),$R$35:$R$42))&lt;0,"-",$R$34+SUMPRODUCT(TRANSPOSE(D922:K922),$R$35:$R$42))</f>
        <v>8095.7203064281239</v>
      </c>
      <c r="N922" s="13" t="str">
        <f t="shared" si="80"/>
        <v>-</v>
      </c>
      <c r="O922" s="13">
        <f t="shared" si="81"/>
        <v>20219.924883463245</v>
      </c>
    </row>
    <row r="923" spans="1:15" x14ac:dyDescent="0.25">
      <c r="A923" s="1" t="s">
        <v>0</v>
      </c>
      <c r="B923" s="1" t="s">
        <v>4</v>
      </c>
      <c r="C923" s="1" t="s">
        <v>2</v>
      </c>
      <c r="D923" s="1">
        <v>62</v>
      </c>
      <c r="E923" s="1">
        <v>25</v>
      </c>
      <c r="F923" s="1">
        <v>0</v>
      </c>
      <c r="G923" s="7">
        <f t="shared" si="79"/>
        <v>1</v>
      </c>
      <c r="H923" s="7">
        <f t="shared" si="82"/>
        <v>0</v>
      </c>
      <c r="I923" s="7">
        <f t="shared" si="83"/>
        <v>0</v>
      </c>
      <c r="J923" s="7">
        <f t="shared" si="83"/>
        <v>0</v>
      </c>
      <c r="K923" s="7">
        <f t="shared" si="83"/>
        <v>0</v>
      </c>
      <c r="L923" s="11">
        <v>13451.121999999999</v>
      </c>
      <c r="M923" s="12" cm="1">
        <f t="array" ref="M923">IF(($R$34+SUMPRODUCT(TRANSPOSE(D923:K923),$R$35:$R$42))&lt;0,"-",$R$34+SUMPRODUCT(TRANSPOSE(D923:K923),$R$35:$R$42))</f>
        <v>11506.340630118535</v>
      </c>
      <c r="N923" s="13" t="str">
        <f t="shared" si="80"/>
        <v>-</v>
      </c>
      <c r="O923" s="13">
        <f t="shared" si="81"/>
        <v>23630.545207153657</v>
      </c>
    </row>
    <row r="924" spans="1:15" x14ac:dyDescent="0.25">
      <c r="A924" s="1" t="s">
        <v>0</v>
      </c>
      <c r="B924" s="1" t="s">
        <v>4</v>
      </c>
      <c r="C924" s="1" t="s">
        <v>2</v>
      </c>
      <c r="D924" s="1">
        <v>62</v>
      </c>
      <c r="E924" s="1">
        <v>33.200000000000003</v>
      </c>
      <c r="F924" s="1">
        <v>0</v>
      </c>
      <c r="G924" s="7">
        <f t="shared" si="79"/>
        <v>1</v>
      </c>
      <c r="H924" s="7">
        <f t="shared" si="82"/>
        <v>0</v>
      </c>
      <c r="I924" s="7">
        <f t="shared" si="83"/>
        <v>0</v>
      </c>
      <c r="J924" s="7">
        <f t="shared" si="83"/>
        <v>0</v>
      </c>
      <c r="K924" s="7">
        <f t="shared" si="83"/>
        <v>0</v>
      </c>
      <c r="L924" s="11">
        <v>13462.52</v>
      </c>
      <c r="M924" s="12" cm="1">
        <f t="array" ref="M924">IF(($R$34+SUMPRODUCT(TRANSPOSE(D924:K924),$R$35:$R$42))&lt;0,"-",$R$34+SUMPRODUCT(TRANSPOSE(D924:K924),$R$35:$R$42))</f>
        <v>14287.726949727421</v>
      </c>
      <c r="N924" s="13">
        <f t="shared" si="80"/>
        <v>2163.5223726922977</v>
      </c>
      <c r="O924" s="13">
        <f t="shared" si="81"/>
        <v>26411.931526762542</v>
      </c>
    </row>
    <row r="925" spans="1:15" x14ac:dyDescent="0.25">
      <c r="A925" s="1" t="s">
        <v>3</v>
      </c>
      <c r="B925" s="1" t="s">
        <v>4</v>
      </c>
      <c r="C925" s="1" t="s">
        <v>2</v>
      </c>
      <c r="D925" s="1">
        <v>38</v>
      </c>
      <c r="E925" s="1">
        <v>31</v>
      </c>
      <c r="F925" s="1">
        <v>1</v>
      </c>
      <c r="G925" s="7">
        <f t="shared" si="79"/>
        <v>0</v>
      </c>
      <c r="H925" s="7">
        <f t="shared" si="82"/>
        <v>0</v>
      </c>
      <c r="I925" s="7">
        <f t="shared" si="83"/>
        <v>0</v>
      </c>
      <c r="J925" s="7">
        <f t="shared" si="83"/>
        <v>0</v>
      </c>
      <c r="K925" s="7">
        <f t="shared" si="83"/>
        <v>0</v>
      </c>
      <c r="L925" s="11">
        <v>5488.2619999999997</v>
      </c>
      <c r="M925" s="12" cm="1">
        <f t="array" ref="M925">IF(($R$34+SUMPRODUCT(TRANSPOSE(D925:K925),$R$35:$R$42))&lt;0,"-",$R$34+SUMPRODUCT(TRANSPOSE(D925:K925),$R$35:$R$42))</f>
        <v>7721.1350766412543</v>
      </c>
      <c r="N925" s="13" t="str">
        <f t="shared" si="80"/>
        <v>-</v>
      </c>
      <c r="O925" s="13">
        <f t="shared" si="81"/>
        <v>19845.339653676376</v>
      </c>
    </row>
    <row r="926" spans="1:15" x14ac:dyDescent="0.25">
      <c r="A926" s="1" t="s">
        <v>3</v>
      </c>
      <c r="B926" s="1" t="s">
        <v>4</v>
      </c>
      <c r="C926" s="1" t="s">
        <v>6</v>
      </c>
      <c r="D926" s="1">
        <v>34</v>
      </c>
      <c r="E926" s="1">
        <v>35.814999999999998</v>
      </c>
      <c r="F926" s="1">
        <v>0</v>
      </c>
      <c r="G926" s="7">
        <f t="shared" si="79"/>
        <v>0</v>
      </c>
      <c r="H926" s="7">
        <f t="shared" si="82"/>
        <v>0</v>
      </c>
      <c r="I926" s="7">
        <f t="shared" si="83"/>
        <v>0</v>
      </c>
      <c r="J926" s="7">
        <f t="shared" si="83"/>
        <v>1</v>
      </c>
      <c r="K926" s="7">
        <f t="shared" si="83"/>
        <v>0</v>
      </c>
      <c r="L926" s="11">
        <v>4320.4108500000002</v>
      </c>
      <c r="M926" s="12" cm="1">
        <f t="array" ref="M926">IF(($R$34+SUMPRODUCT(TRANSPOSE(D926:K926),$R$35:$R$42))&lt;0,"-",$R$34+SUMPRODUCT(TRANSPOSE(D926:K926),$R$35:$R$42))</f>
        <v>8458.5126923551106</v>
      </c>
      <c r="N926" s="13" t="str">
        <f t="shared" si="80"/>
        <v>-</v>
      </c>
      <c r="O926" s="13">
        <f t="shared" si="81"/>
        <v>20582.717269390232</v>
      </c>
    </row>
    <row r="927" spans="1:15" x14ac:dyDescent="0.25">
      <c r="A927" s="1" t="s">
        <v>3</v>
      </c>
      <c r="B927" s="1" t="s">
        <v>4</v>
      </c>
      <c r="C927" s="1" t="s">
        <v>2</v>
      </c>
      <c r="D927" s="1">
        <v>43</v>
      </c>
      <c r="E927" s="1">
        <v>23.2</v>
      </c>
      <c r="F927" s="1">
        <v>0</v>
      </c>
      <c r="G927" s="7">
        <f t="shared" si="79"/>
        <v>0</v>
      </c>
      <c r="H927" s="7">
        <f t="shared" si="82"/>
        <v>0</v>
      </c>
      <c r="I927" s="7">
        <f t="shared" si="83"/>
        <v>0</v>
      </c>
      <c r="J927" s="7">
        <f t="shared" si="83"/>
        <v>0</v>
      </c>
      <c r="K927" s="7">
        <f t="shared" si="83"/>
        <v>0</v>
      </c>
      <c r="L927" s="11">
        <v>6250.4350000000004</v>
      </c>
      <c r="M927" s="12" cm="1">
        <f t="array" ref="M927">IF(($R$34+SUMPRODUCT(TRANSPOSE(D927:K927),$R$35:$R$42))&lt;0,"-",$R$34+SUMPRODUCT(TRANSPOSE(D927:K927),$R$35:$R$42))</f>
        <v>5884.2073560143035</v>
      </c>
      <c r="N927" s="13" t="str">
        <f t="shared" si="80"/>
        <v>-</v>
      </c>
      <c r="O927" s="13">
        <f t="shared" si="81"/>
        <v>18008.411933049429</v>
      </c>
    </row>
    <row r="928" spans="1:15" x14ac:dyDescent="0.25">
      <c r="A928" s="1" t="s">
        <v>3</v>
      </c>
      <c r="B928" s="1" t="s">
        <v>4</v>
      </c>
      <c r="C928" s="1" t="s">
        <v>7</v>
      </c>
      <c r="D928" s="1">
        <v>50</v>
      </c>
      <c r="E928" s="1">
        <v>32.11</v>
      </c>
      <c r="F928" s="1">
        <v>2</v>
      </c>
      <c r="G928" s="7">
        <f t="shared" si="79"/>
        <v>0</v>
      </c>
      <c r="H928" s="7">
        <f t="shared" si="82"/>
        <v>0</v>
      </c>
      <c r="I928" s="7">
        <f t="shared" si="83"/>
        <v>0</v>
      </c>
      <c r="J928" s="7">
        <f t="shared" si="83"/>
        <v>0</v>
      </c>
      <c r="K928" s="7">
        <f t="shared" si="83"/>
        <v>1</v>
      </c>
      <c r="L928" s="11">
        <v>25333.332839999999</v>
      </c>
      <c r="M928" s="12" cm="1">
        <f t="array" ref="M928">IF(($R$34+SUMPRODUCT(TRANSPOSE(D928:K928),$R$35:$R$42))&lt;0,"-",$R$34+SUMPRODUCT(TRANSPOSE(D928:K928),$R$35:$R$42))</f>
        <v>12615.46757704742</v>
      </c>
      <c r="N928" s="13">
        <f t="shared" si="80"/>
        <v>491.2630000122972</v>
      </c>
      <c r="O928" s="13">
        <f t="shared" si="81"/>
        <v>24739.672154082546</v>
      </c>
    </row>
    <row r="929" spans="1:15" x14ac:dyDescent="0.25">
      <c r="A929" s="1" t="s">
        <v>0</v>
      </c>
      <c r="B929" s="1" t="s">
        <v>4</v>
      </c>
      <c r="C929" s="1" t="s">
        <v>2</v>
      </c>
      <c r="D929" s="1">
        <v>19</v>
      </c>
      <c r="E929" s="1">
        <v>23.4</v>
      </c>
      <c r="F929" s="1">
        <v>2</v>
      </c>
      <c r="G929" s="7">
        <f t="shared" si="79"/>
        <v>1</v>
      </c>
      <c r="H929" s="7">
        <f t="shared" si="82"/>
        <v>0</v>
      </c>
      <c r="I929" s="7">
        <f t="shared" si="83"/>
        <v>0</v>
      </c>
      <c r="J929" s="7">
        <f t="shared" si="83"/>
        <v>0</v>
      </c>
      <c r="K929" s="7">
        <f t="shared" si="83"/>
        <v>0</v>
      </c>
      <c r="L929" s="11">
        <v>2913.569</v>
      </c>
      <c r="M929" s="12" cm="1">
        <f t="array" ref="M929">IF(($R$34+SUMPRODUCT(TRANSPOSE(D929:K929),$R$35:$R$42))&lt;0,"-",$R$34+SUMPRODUCT(TRANSPOSE(D929:K929),$R$35:$R$42))</f>
        <v>869.80903553349344</v>
      </c>
      <c r="N929" s="13" t="str">
        <f t="shared" si="80"/>
        <v>-</v>
      </c>
      <c r="O929" s="13">
        <f t="shared" si="81"/>
        <v>12994.013612568617</v>
      </c>
    </row>
    <row r="930" spans="1:15" x14ac:dyDescent="0.25">
      <c r="A930" s="1" t="s">
        <v>0</v>
      </c>
      <c r="B930" s="1" t="s">
        <v>4</v>
      </c>
      <c r="C930" s="1" t="s">
        <v>2</v>
      </c>
      <c r="D930" s="1">
        <v>57</v>
      </c>
      <c r="E930" s="1">
        <v>20.100000000000001</v>
      </c>
      <c r="F930" s="1">
        <v>1</v>
      </c>
      <c r="G930" s="7">
        <f t="shared" si="79"/>
        <v>1</v>
      </c>
      <c r="H930" s="7">
        <f t="shared" si="82"/>
        <v>0</v>
      </c>
      <c r="I930" s="7">
        <f t="shared" si="83"/>
        <v>0</v>
      </c>
      <c r="J930" s="7">
        <f t="shared" si="83"/>
        <v>0</v>
      </c>
      <c r="K930" s="7">
        <f t="shared" si="83"/>
        <v>0</v>
      </c>
      <c r="L930" s="11">
        <v>12032.325999999999</v>
      </c>
      <c r="M930" s="12" cm="1">
        <f t="array" ref="M930">IF(($R$34+SUMPRODUCT(TRANSPOSE(D930:K930),$R$35:$R$42))&lt;0,"-",$R$34+SUMPRODUCT(TRANSPOSE(D930:K930),$R$35:$R$42))</f>
        <v>9035.5114898878164</v>
      </c>
      <c r="N930" s="13" t="str">
        <f t="shared" si="80"/>
        <v>-</v>
      </c>
      <c r="O930" s="13">
        <f t="shared" si="81"/>
        <v>21159.716066922942</v>
      </c>
    </row>
    <row r="931" spans="1:15" x14ac:dyDescent="0.25">
      <c r="A931" s="1" t="s">
        <v>0</v>
      </c>
      <c r="B931" s="1" t="s">
        <v>4</v>
      </c>
      <c r="C931" s="1" t="s">
        <v>5</v>
      </c>
      <c r="D931" s="1">
        <v>62</v>
      </c>
      <c r="E931" s="1">
        <v>39.159999999999997</v>
      </c>
      <c r="F931" s="1">
        <v>0</v>
      </c>
      <c r="G931" s="7">
        <f t="shared" si="79"/>
        <v>1</v>
      </c>
      <c r="H931" s="7">
        <f t="shared" si="82"/>
        <v>0</v>
      </c>
      <c r="I931" s="7">
        <f t="shared" si="83"/>
        <v>1</v>
      </c>
      <c r="J931" s="7">
        <f t="shared" si="83"/>
        <v>0</v>
      </c>
      <c r="K931" s="7">
        <f t="shared" si="83"/>
        <v>0</v>
      </c>
      <c r="L931" s="11">
        <v>13470.804400000001</v>
      </c>
      <c r="M931" s="12" cm="1">
        <f t="array" ref="M931">IF(($R$34+SUMPRODUCT(TRANSPOSE(D931:K931),$R$35:$R$42))&lt;0,"-",$R$34+SUMPRODUCT(TRANSPOSE(D931:K931),$R$35:$R$42))</f>
        <v>16234.348875161038</v>
      </c>
      <c r="N931" s="13">
        <f t="shared" si="80"/>
        <v>4110.1442981259152</v>
      </c>
      <c r="O931" s="13">
        <f t="shared" si="81"/>
        <v>28358.55345219616</v>
      </c>
    </row>
    <row r="932" spans="1:15" x14ac:dyDescent="0.25">
      <c r="A932" s="1" t="s">
        <v>3</v>
      </c>
      <c r="B932" s="1" t="s">
        <v>4</v>
      </c>
      <c r="C932" s="1" t="s">
        <v>5</v>
      </c>
      <c r="D932" s="1">
        <v>41</v>
      </c>
      <c r="E932" s="1">
        <v>34.21</v>
      </c>
      <c r="F932" s="1">
        <v>1</v>
      </c>
      <c r="G932" s="7">
        <f t="shared" si="79"/>
        <v>0</v>
      </c>
      <c r="H932" s="7">
        <f t="shared" si="82"/>
        <v>0</v>
      </c>
      <c r="I932" s="7">
        <f t="shared" si="83"/>
        <v>1</v>
      </c>
      <c r="J932" s="7">
        <f t="shared" si="83"/>
        <v>0</v>
      </c>
      <c r="K932" s="7">
        <f t="shared" si="83"/>
        <v>0</v>
      </c>
      <c r="L932" s="11">
        <v>6289.7548999999999</v>
      </c>
      <c r="M932" s="12" cm="1">
        <f t="array" ref="M932">IF(($R$34+SUMPRODUCT(TRANSPOSE(D932:K932),$R$35:$R$42))&lt;0,"-",$R$34+SUMPRODUCT(TRANSPOSE(D932:K932),$R$35:$R$42))</f>
        <v>9505.5440622571077</v>
      </c>
      <c r="N932" s="13" t="str">
        <f t="shared" si="80"/>
        <v>-</v>
      </c>
      <c r="O932" s="13">
        <f t="shared" si="81"/>
        <v>21629.748639292229</v>
      </c>
    </row>
    <row r="933" spans="1:15" x14ac:dyDescent="0.25">
      <c r="A933" s="1" t="s">
        <v>3</v>
      </c>
      <c r="B933" s="1" t="s">
        <v>4</v>
      </c>
      <c r="C933" s="1" t="s">
        <v>5</v>
      </c>
      <c r="D933" s="1">
        <v>26</v>
      </c>
      <c r="E933" s="1">
        <v>46.53</v>
      </c>
      <c r="F933" s="1">
        <v>1</v>
      </c>
      <c r="G933" s="7">
        <f t="shared" si="79"/>
        <v>0</v>
      </c>
      <c r="H933" s="7">
        <f t="shared" si="82"/>
        <v>0</v>
      </c>
      <c r="I933" s="7">
        <f t="shared" si="83"/>
        <v>1</v>
      </c>
      <c r="J933" s="7">
        <f t="shared" si="83"/>
        <v>0</v>
      </c>
      <c r="K933" s="7">
        <f t="shared" si="83"/>
        <v>0</v>
      </c>
      <c r="L933" s="11">
        <v>2927.0646999999999</v>
      </c>
      <c r="M933" s="12" cm="1">
        <f t="array" ref="M933">IF(($R$34+SUMPRODUCT(TRANSPOSE(D933:K933),$R$35:$R$42))&lt;0,"-",$R$34+SUMPRODUCT(TRANSPOSE(D933:K933),$R$35:$R$42))</f>
        <v>9831.5621226824369</v>
      </c>
      <c r="N933" s="13" t="str">
        <f t="shared" si="80"/>
        <v>-</v>
      </c>
      <c r="O933" s="13">
        <f t="shared" si="81"/>
        <v>21955.766699717562</v>
      </c>
    </row>
    <row r="934" spans="1:15" x14ac:dyDescent="0.25">
      <c r="A934" s="1" t="s">
        <v>0</v>
      </c>
      <c r="B934" s="1" t="s">
        <v>4</v>
      </c>
      <c r="C934" s="1" t="s">
        <v>2</v>
      </c>
      <c r="D934" s="1">
        <v>39</v>
      </c>
      <c r="E934" s="1">
        <v>32.5</v>
      </c>
      <c r="F934" s="1">
        <v>1</v>
      </c>
      <c r="G934" s="7">
        <f t="shared" si="79"/>
        <v>1</v>
      </c>
      <c r="H934" s="7">
        <f t="shared" si="82"/>
        <v>0</v>
      </c>
      <c r="I934" s="7">
        <f t="shared" si="83"/>
        <v>0</v>
      </c>
      <c r="J934" s="7">
        <f t="shared" si="83"/>
        <v>0</v>
      </c>
      <c r="K934" s="7">
        <f t="shared" si="83"/>
        <v>0</v>
      </c>
      <c r="L934" s="11">
        <v>6238.2979999999998</v>
      </c>
      <c r="M934" s="12" cm="1">
        <f t="array" ref="M934">IF(($R$34+SUMPRODUCT(TRANSPOSE(D934:K934),$R$35:$R$42))&lt;0,"-",$R$34+SUMPRODUCT(TRANSPOSE(D934:K934),$R$35:$R$42))</f>
        <v>8618.0959689899646</v>
      </c>
      <c r="N934" s="13" t="str">
        <f t="shared" si="80"/>
        <v>-</v>
      </c>
      <c r="O934" s="13">
        <f t="shared" si="81"/>
        <v>20742.300546025086</v>
      </c>
    </row>
    <row r="935" spans="1:15" x14ac:dyDescent="0.25">
      <c r="A935" s="1" t="s">
        <v>3</v>
      </c>
      <c r="B935" s="1" t="s">
        <v>4</v>
      </c>
      <c r="C935" s="1" t="s">
        <v>2</v>
      </c>
      <c r="D935" s="1">
        <v>46</v>
      </c>
      <c r="E935" s="1">
        <v>25.8</v>
      </c>
      <c r="F935" s="1">
        <v>5</v>
      </c>
      <c r="G935" s="7">
        <f t="shared" si="79"/>
        <v>0</v>
      </c>
      <c r="H935" s="7">
        <f t="shared" si="82"/>
        <v>0</v>
      </c>
      <c r="I935" s="7">
        <f t="shared" si="83"/>
        <v>0</v>
      </c>
      <c r="J935" s="7">
        <f t="shared" si="83"/>
        <v>0</v>
      </c>
      <c r="K935" s="7">
        <f t="shared" si="83"/>
        <v>0</v>
      </c>
      <c r="L935" s="11">
        <v>10096.969999999999</v>
      </c>
      <c r="M935" s="12" cm="1">
        <f t="array" ref="M935">IF(($R$34+SUMPRODUCT(TRANSPOSE(D935:K935),$R$35:$R$42))&lt;0,"-",$R$34+SUMPRODUCT(TRANSPOSE(D935:K935),$R$35:$R$42))</f>
        <v>9914.1821187602</v>
      </c>
      <c r="N935" s="13" t="str">
        <f t="shared" si="80"/>
        <v>-</v>
      </c>
      <c r="O935" s="13">
        <f t="shared" si="81"/>
        <v>22038.386695795321</v>
      </c>
    </row>
    <row r="936" spans="1:15" x14ac:dyDescent="0.25">
      <c r="A936" s="1" t="s">
        <v>0</v>
      </c>
      <c r="B936" s="1" t="s">
        <v>4</v>
      </c>
      <c r="C936" s="1" t="s">
        <v>2</v>
      </c>
      <c r="D936" s="1">
        <v>45</v>
      </c>
      <c r="E936" s="1">
        <v>35.299999999999997</v>
      </c>
      <c r="F936" s="1">
        <v>0</v>
      </c>
      <c r="G936" s="7">
        <f t="shared" si="79"/>
        <v>1</v>
      </c>
      <c r="H936" s="7">
        <f t="shared" si="82"/>
        <v>0</v>
      </c>
      <c r="I936" s="7">
        <f t="shared" si="83"/>
        <v>0</v>
      </c>
      <c r="J936" s="7">
        <f t="shared" si="83"/>
        <v>0</v>
      </c>
      <c r="K936" s="7">
        <f t="shared" si="83"/>
        <v>0</v>
      </c>
      <c r="L936" s="11">
        <v>7348.1419999999998</v>
      </c>
      <c r="M936" s="12" cm="1">
        <f t="array" ref="M936">IF(($R$34+SUMPRODUCT(TRANSPOSE(D936:K936),$R$35:$R$42))&lt;0,"-",$R$34+SUMPRODUCT(TRANSPOSE(D936:K936),$R$35:$R$42))</f>
        <v>10633.475209175271</v>
      </c>
      <c r="N936" s="13" t="str">
        <f t="shared" si="80"/>
        <v>-</v>
      </c>
      <c r="O936" s="13">
        <f t="shared" si="81"/>
        <v>22757.679786210392</v>
      </c>
    </row>
    <row r="937" spans="1:15" x14ac:dyDescent="0.25">
      <c r="A937" s="1" t="s">
        <v>3</v>
      </c>
      <c r="B937" s="1" t="s">
        <v>4</v>
      </c>
      <c r="C937" s="1" t="s">
        <v>5</v>
      </c>
      <c r="D937" s="1">
        <v>32</v>
      </c>
      <c r="E937" s="1">
        <v>37.18</v>
      </c>
      <c r="F937" s="1">
        <v>2</v>
      </c>
      <c r="G937" s="7">
        <f t="shared" si="79"/>
        <v>0</v>
      </c>
      <c r="H937" s="7">
        <f t="shared" si="82"/>
        <v>0</v>
      </c>
      <c r="I937" s="7">
        <f t="shared" si="83"/>
        <v>1</v>
      </c>
      <c r="J937" s="7">
        <f t="shared" si="83"/>
        <v>0</v>
      </c>
      <c r="K937" s="7">
        <f t="shared" si="83"/>
        <v>0</v>
      </c>
      <c r="L937" s="11">
        <v>4673.3922000000002</v>
      </c>
      <c r="M937" s="12" cm="1">
        <f t="array" ref="M937">IF(($R$34+SUMPRODUCT(TRANSPOSE(D937:K937),$R$35:$R$42))&lt;0,"-",$R$34+SUMPRODUCT(TRANSPOSE(D937:K937),$R$35:$R$42))</f>
        <v>8676.7419917943007</v>
      </c>
      <c r="N937" s="13" t="str">
        <f t="shared" si="80"/>
        <v>-</v>
      </c>
      <c r="O937" s="13">
        <f t="shared" si="81"/>
        <v>20800.946568829422</v>
      </c>
    </row>
    <row r="938" spans="1:15" x14ac:dyDescent="0.25">
      <c r="A938" s="1" t="s">
        <v>0</v>
      </c>
      <c r="B938" s="1" t="s">
        <v>4</v>
      </c>
      <c r="C938" s="1" t="s">
        <v>2</v>
      </c>
      <c r="D938" s="1">
        <v>59</v>
      </c>
      <c r="E938" s="1">
        <v>27.5</v>
      </c>
      <c r="F938" s="1">
        <v>0</v>
      </c>
      <c r="G938" s="7">
        <f t="shared" si="79"/>
        <v>1</v>
      </c>
      <c r="H938" s="7">
        <f t="shared" si="82"/>
        <v>0</v>
      </c>
      <c r="I938" s="7">
        <f t="shared" si="83"/>
        <v>0</v>
      </c>
      <c r="J938" s="7">
        <f t="shared" si="83"/>
        <v>0</v>
      </c>
      <c r="K938" s="7">
        <f t="shared" si="83"/>
        <v>0</v>
      </c>
      <c r="L938" s="11">
        <v>12233.828</v>
      </c>
      <c r="M938" s="12" cm="1">
        <f t="array" ref="M938">IF(($R$34+SUMPRODUCT(TRANSPOSE(D938:K938),$R$35:$R$42))&lt;0,"-",$R$34+SUMPRODUCT(TRANSPOSE(D938:K938),$R$35:$R$42))</f>
        <v>11583.755206533591</v>
      </c>
      <c r="N938" s="13" t="str">
        <f t="shared" si="80"/>
        <v>-</v>
      </c>
      <c r="O938" s="13">
        <f t="shared" si="81"/>
        <v>23707.959783568716</v>
      </c>
    </row>
    <row r="939" spans="1:15" x14ac:dyDescent="0.25">
      <c r="A939" s="1" t="s">
        <v>3</v>
      </c>
      <c r="B939" s="1" t="s">
        <v>4</v>
      </c>
      <c r="C939" s="1" t="s">
        <v>7</v>
      </c>
      <c r="D939" s="1">
        <v>44</v>
      </c>
      <c r="E939" s="1">
        <v>29.734999999999999</v>
      </c>
      <c r="F939" s="1">
        <v>2</v>
      </c>
      <c r="G939" s="7">
        <f t="shared" si="79"/>
        <v>0</v>
      </c>
      <c r="H939" s="7">
        <f t="shared" si="82"/>
        <v>0</v>
      </c>
      <c r="I939" s="7">
        <f t="shared" si="83"/>
        <v>0</v>
      </c>
      <c r="J939" s="7">
        <f t="shared" si="83"/>
        <v>0</v>
      </c>
      <c r="K939" s="7">
        <f t="shared" si="83"/>
        <v>1</v>
      </c>
      <c r="L939" s="11">
        <v>32108.662820000001</v>
      </c>
      <c r="M939" s="12" cm="1">
        <f t="array" ref="M939">IF(($R$34+SUMPRODUCT(TRANSPOSE(D939:K939),$R$35:$R$42))&lt;0,"-",$R$34+SUMPRODUCT(TRANSPOSE(D939:K939),$R$35:$R$42))</f>
        <v>10268.745009497587</v>
      </c>
      <c r="N939" s="13" t="str">
        <f t="shared" si="80"/>
        <v>-</v>
      </c>
      <c r="O939" s="13">
        <f t="shared" si="81"/>
        <v>22392.949586532712</v>
      </c>
    </row>
    <row r="940" spans="1:15" x14ac:dyDescent="0.25">
      <c r="A940" s="1" t="s">
        <v>0</v>
      </c>
      <c r="B940" s="1" t="s">
        <v>4</v>
      </c>
      <c r="C940" s="1" t="s">
        <v>6</v>
      </c>
      <c r="D940" s="1">
        <v>39</v>
      </c>
      <c r="E940" s="1">
        <v>24.225000000000001</v>
      </c>
      <c r="F940" s="1">
        <v>5</v>
      </c>
      <c r="G940" s="7">
        <f t="shared" si="79"/>
        <v>1</v>
      </c>
      <c r="H940" s="7">
        <f t="shared" si="82"/>
        <v>0</v>
      </c>
      <c r="I940" s="7">
        <f t="shared" si="83"/>
        <v>0</v>
      </c>
      <c r="J940" s="7">
        <f t="shared" si="83"/>
        <v>1</v>
      </c>
      <c r="K940" s="7">
        <f t="shared" si="83"/>
        <v>0</v>
      </c>
      <c r="L940" s="11">
        <v>8965.7957499999993</v>
      </c>
      <c r="M940" s="12" cm="1">
        <f t="array" ref="M940">IF(($R$34+SUMPRODUCT(TRANSPOSE(D940:K940),$R$35:$R$42))&lt;0,"-",$R$34+SUMPRODUCT(TRANSPOSE(D940:K940),$R$35:$R$42))</f>
        <v>8320.3594128329823</v>
      </c>
      <c r="N940" s="13" t="str">
        <f t="shared" si="80"/>
        <v>-</v>
      </c>
      <c r="O940" s="13">
        <f t="shared" si="81"/>
        <v>20444.563989868104</v>
      </c>
    </row>
    <row r="941" spans="1:15" x14ac:dyDescent="0.25">
      <c r="A941" s="1" t="s">
        <v>3</v>
      </c>
      <c r="B941" s="1" t="s">
        <v>4</v>
      </c>
      <c r="C941" s="1" t="s">
        <v>5</v>
      </c>
      <c r="D941" s="1">
        <v>18</v>
      </c>
      <c r="E941" s="1">
        <v>26.18</v>
      </c>
      <c r="F941" s="1">
        <v>2</v>
      </c>
      <c r="G941" s="7">
        <f t="shared" si="79"/>
        <v>0</v>
      </c>
      <c r="H941" s="7">
        <f t="shared" si="82"/>
        <v>0</v>
      </c>
      <c r="I941" s="7">
        <f t="shared" si="83"/>
        <v>1</v>
      </c>
      <c r="J941" s="7">
        <f t="shared" si="83"/>
        <v>0</v>
      </c>
      <c r="K941" s="7">
        <f t="shared" si="83"/>
        <v>0</v>
      </c>
      <c r="L941" s="11">
        <v>2304.0021999999999</v>
      </c>
      <c r="M941" s="12" cm="1">
        <f t="array" ref="M941">IF(($R$34+SUMPRODUCT(TRANSPOSE(D941:K941),$R$35:$R$42))&lt;0,"-",$R$34+SUMPRODUCT(TRANSPOSE(D941:K941),$R$35:$R$42))</f>
        <v>1349.6250665521875</v>
      </c>
      <c r="N941" s="13" t="str">
        <f t="shared" si="80"/>
        <v>-</v>
      </c>
      <c r="O941" s="13">
        <f t="shared" si="81"/>
        <v>13473.829643587311</v>
      </c>
    </row>
    <row r="942" spans="1:15" x14ac:dyDescent="0.25">
      <c r="A942" s="1" t="s">
        <v>3</v>
      </c>
      <c r="B942" s="1" t="s">
        <v>4</v>
      </c>
      <c r="C942" s="1" t="s">
        <v>5</v>
      </c>
      <c r="D942" s="1">
        <v>53</v>
      </c>
      <c r="E942" s="1">
        <v>29.48</v>
      </c>
      <c r="F942" s="1">
        <v>0</v>
      </c>
      <c r="G942" s="7">
        <f t="shared" si="79"/>
        <v>0</v>
      </c>
      <c r="H942" s="7">
        <f t="shared" si="82"/>
        <v>0</v>
      </c>
      <c r="I942" s="7">
        <f t="shared" si="83"/>
        <v>1</v>
      </c>
      <c r="J942" s="7">
        <f t="shared" si="83"/>
        <v>0</v>
      </c>
      <c r="K942" s="7">
        <f t="shared" si="83"/>
        <v>0</v>
      </c>
      <c r="L942" s="11">
        <v>9487.6442000000006</v>
      </c>
      <c r="M942" s="12" cm="1">
        <f t="array" ref="M942">IF(($R$34+SUMPRODUCT(TRANSPOSE(D942:K942),$R$35:$R$42))&lt;0,"-",$R$34+SUMPRODUCT(TRANSPOSE(D942:K942),$R$35:$R$42))</f>
        <v>10507.934711976872</v>
      </c>
      <c r="N942" s="13" t="str">
        <f t="shared" si="80"/>
        <v>-</v>
      </c>
      <c r="O942" s="13">
        <f t="shared" si="81"/>
        <v>22632.139289011997</v>
      </c>
    </row>
    <row r="943" spans="1:15" x14ac:dyDescent="0.25">
      <c r="A943" s="1" t="s">
        <v>3</v>
      </c>
      <c r="B943" s="1" t="s">
        <v>4</v>
      </c>
      <c r="C943" s="1" t="s">
        <v>5</v>
      </c>
      <c r="D943" s="1">
        <v>18</v>
      </c>
      <c r="E943" s="1">
        <v>23.21</v>
      </c>
      <c r="F943" s="1">
        <v>0</v>
      </c>
      <c r="G943" s="7">
        <f t="shared" si="79"/>
        <v>0</v>
      </c>
      <c r="H943" s="7">
        <f t="shared" si="82"/>
        <v>0</v>
      </c>
      <c r="I943" s="7">
        <f t="shared" si="83"/>
        <v>1</v>
      </c>
      <c r="J943" s="7">
        <f t="shared" si="83"/>
        <v>0</v>
      </c>
      <c r="K943" s="7">
        <f t="shared" si="83"/>
        <v>0</v>
      </c>
      <c r="L943" s="11">
        <v>1121.8739</v>
      </c>
      <c r="M943" s="12" t="str" cm="1">
        <f t="array" ref="M943">IF(($R$34+SUMPRODUCT(TRANSPOSE(D943:K943),$R$35:$R$42))&lt;0,"-",$R$34+SUMPRODUCT(TRANSPOSE(D943:K943),$R$35:$R$42))</f>
        <v>-</v>
      </c>
      <c r="N943" s="13" t="str">
        <f t="shared" si="80"/>
        <v>-</v>
      </c>
      <c r="O943" s="13" t="str">
        <f t="shared" si="81"/>
        <v>-</v>
      </c>
    </row>
    <row r="944" spans="1:15" x14ac:dyDescent="0.25">
      <c r="A944" s="1" t="s">
        <v>0</v>
      </c>
      <c r="B944" s="1" t="s">
        <v>4</v>
      </c>
      <c r="C944" s="1" t="s">
        <v>5</v>
      </c>
      <c r="D944" s="1">
        <v>50</v>
      </c>
      <c r="E944" s="1">
        <v>46.09</v>
      </c>
      <c r="F944" s="1">
        <v>1</v>
      </c>
      <c r="G944" s="7">
        <f t="shared" si="79"/>
        <v>1</v>
      </c>
      <c r="H944" s="7">
        <f t="shared" si="82"/>
        <v>0</v>
      </c>
      <c r="I944" s="7">
        <f t="shared" si="83"/>
        <v>1</v>
      </c>
      <c r="J944" s="7">
        <f t="shared" si="83"/>
        <v>0</v>
      </c>
      <c r="K944" s="7">
        <f t="shared" si="83"/>
        <v>0</v>
      </c>
      <c r="L944" s="11">
        <v>9549.5650999999998</v>
      </c>
      <c r="M944" s="12" cm="1">
        <f t="array" ref="M944">IF(($R$34+SUMPRODUCT(TRANSPOSE(D944:K944),$R$35:$R$42))&lt;0,"-",$R$34+SUMPRODUCT(TRANSPOSE(D944:K944),$R$35:$R$42))</f>
        <v>15978.183823385123</v>
      </c>
      <c r="N944" s="13">
        <f t="shared" si="80"/>
        <v>3853.9792463499998</v>
      </c>
      <c r="O944" s="13">
        <f t="shared" si="81"/>
        <v>28102.388400420248</v>
      </c>
    </row>
    <row r="945" spans="1:15" x14ac:dyDescent="0.25">
      <c r="A945" s="1" t="s">
        <v>0</v>
      </c>
      <c r="B945" s="1" t="s">
        <v>4</v>
      </c>
      <c r="C945" s="1" t="s">
        <v>7</v>
      </c>
      <c r="D945" s="1">
        <v>18</v>
      </c>
      <c r="E945" s="1">
        <v>40.185000000000002</v>
      </c>
      <c r="F945" s="1">
        <v>0</v>
      </c>
      <c r="G945" s="7">
        <f t="shared" si="79"/>
        <v>1</v>
      </c>
      <c r="H945" s="7">
        <f t="shared" si="82"/>
        <v>0</v>
      </c>
      <c r="I945" s="7">
        <f t="shared" si="83"/>
        <v>0</v>
      </c>
      <c r="J945" s="7">
        <f t="shared" si="83"/>
        <v>0</v>
      </c>
      <c r="K945" s="7">
        <f t="shared" si="83"/>
        <v>1</v>
      </c>
      <c r="L945" s="11">
        <v>2217.4691499999999</v>
      </c>
      <c r="M945" s="12" cm="1">
        <f t="array" ref="M945">IF(($R$34+SUMPRODUCT(TRANSPOSE(D945:K945),$R$35:$R$42))&lt;0,"-",$R$34+SUMPRODUCT(TRANSPOSE(D945:K945),$R$35:$R$42))</f>
        <v>6315.3647028566629</v>
      </c>
      <c r="N945" s="13" t="str">
        <f t="shared" si="80"/>
        <v>-</v>
      </c>
      <c r="O945" s="13">
        <f t="shared" si="81"/>
        <v>18439.569279891788</v>
      </c>
    </row>
    <row r="946" spans="1:15" x14ac:dyDescent="0.25">
      <c r="A946" s="1" t="s">
        <v>3</v>
      </c>
      <c r="B946" s="1" t="s">
        <v>4</v>
      </c>
      <c r="C946" s="1" t="s">
        <v>6</v>
      </c>
      <c r="D946" s="1">
        <v>19</v>
      </c>
      <c r="E946" s="1">
        <v>22.61</v>
      </c>
      <c r="F946" s="1">
        <v>0</v>
      </c>
      <c r="G946" s="7">
        <f t="shared" si="79"/>
        <v>0</v>
      </c>
      <c r="H946" s="7">
        <f t="shared" si="82"/>
        <v>0</v>
      </c>
      <c r="I946" s="7">
        <f t="shared" si="83"/>
        <v>0</v>
      </c>
      <c r="J946" s="7">
        <f t="shared" si="83"/>
        <v>1</v>
      </c>
      <c r="K946" s="7">
        <f t="shared" si="83"/>
        <v>0</v>
      </c>
      <c r="L946" s="11">
        <v>1628.4709</v>
      </c>
      <c r="M946" s="12" cm="1">
        <f t="array" ref="M946">IF(($R$34+SUMPRODUCT(TRANSPOSE(D946:K946),$R$35:$R$42))&lt;0,"-",$R$34+SUMPRODUCT(TRANSPOSE(D946:K946),$R$35:$R$42))</f>
        <v>126.61784936374897</v>
      </c>
      <c r="N946" s="13" t="str">
        <f t="shared" si="80"/>
        <v>-</v>
      </c>
      <c r="O946" s="13">
        <f t="shared" si="81"/>
        <v>12250.822426398872</v>
      </c>
    </row>
    <row r="947" spans="1:15" x14ac:dyDescent="0.25">
      <c r="A947" s="1" t="s">
        <v>3</v>
      </c>
      <c r="B947" s="1" t="s">
        <v>4</v>
      </c>
      <c r="C947" s="1" t="s">
        <v>5</v>
      </c>
      <c r="D947" s="1">
        <v>62</v>
      </c>
      <c r="E947" s="1">
        <v>39.93</v>
      </c>
      <c r="F947" s="1">
        <v>0</v>
      </c>
      <c r="G947" s="7">
        <f t="shared" si="79"/>
        <v>0</v>
      </c>
      <c r="H947" s="7">
        <f t="shared" si="82"/>
        <v>0</v>
      </c>
      <c r="I947" s="7">
        <f t="shared" si="83"/>
        <v>1</v>
      </c>
      <c r="J947" s="7">
        <f t="shared" si="83"/>
        <v>0</v>
      </c>
      <c r="K947" s="7">
        <f t="shared" si="83"/>
        <v>0</v>
      </c>
      <c r="L947" s="11">
        <v>12982.8747</v>
      </c>
      <c r="M947" s="12" cm="1">
        <f t="array" ref="M947">IF(($R$34+SUMPRODUCT(TRANSPOSE(D947:K947),$R$35:$R$42))&lt;0,"-",$R$34+SUMPRODUCT(TRANSPOSE(D947:K947),$R$35:$R$42))</f>
        <v>16364.213475046283</v>
      </c>
      <c r="N947" s="13">
        <f t="shared" si="80"/>
        <v>4240.0088980111595</v>
      </c>
      <c r="O947" s="13">
        <f t="shared" si="81"/>
        <v>28488.418052081404</v>
      </c>
    </row>
    <row r="948" spans="1:15" x14ac:dyDescent="0.25">
      <c r="A948" s="1" t="s">
        <v>0</v>
      </c>
      <c r="B948" s="1" t="s">
        <v>4</v>
      </c>
      <c r="C948" s="1" t="s">
        <v>2</v>
      </c>
      <c r="D948" s="1">
        <v>56</v>
      </c>
      <c r="E948" s="1">
        <v>35.799999999999997</v>
      </c>
      <c r="F948" s="1">
        <v>1</v>
      </c>
      <c r="G948" s="7">
        <f t="shared" si="79"/>
        <v>1</v>
      </c>
      <c r="H948" s="7">
        <f t="shared" si="82"/>
        <v>0</v>
      </c>
      <c r="I948" s="7">
        <f t="shared" si="83"/>
        <v>0</v>
      </c>
      <c r="J948" s="7">
        <f t="shared" si="83"/>
        <v>0</v>
      </c>
      <c r="K948" s="7">
        <f t="shared" si="83"/>
        <v>0</v>
      </c>
      <c r="L948" s="11">
        <v>11674.13</v>
      </c>
      <c r="M948" s="12" cm="1">
        <f t="array" ref="M948">IF(($R$34+SUMPRODUCT(TRANSPOSE(D948:K948),$R$35:$R$42))&lt;0,"-",$R$34+SUMPRODUCT(TRANSPOSE(D948:K948),$R$35:$R$42))</f>
        <v>14103.992359040654</v>
      </c>
      <c r="N948" s="13">
        <f t="shared" si="80"/>
        <v>1979.787782005531</v>
      </c>
      <c r="O948" s="13">
        <f t="shared" si="81"/>
        <v>26228.196936075779</v>
      </c>
    </row>
    <row r="949" spans="1:15" x14ac:dyDescent="0.25">
      <c r="A949" s="1" t="s">
        <v>3</v>
      </c>
      <c r="B949" s="1" t="s">
        <v>4</v>
      </c>
      <c r="C949" s="1" t="s">
        <v>2</v>
      </c>
      <c r="D949" s="1">
        <v>42</v>
      </c>
      <c r="E949" s="1">
        <v>35.799999999999997</v>
      </c>
      <c r="F949" s="1">
        <v>2</v>
      </c>
      <c r="G949" s="7">
        <f t="shared" si="79"/>
        <v>0</v>
      </c>
      <c r="H949" s="7">
        <f t="shared" si="82"/>
        <v>0</v>
      </c>
      <c r="I949" s="7">
        <f t="shared" si="83"/>
        <v>0</v>
      </c>
      <c r="J949" s="7">
        <f t="shared" si="83"/>
        <v>0</v>
      </c>
      <c r="K949" s="7">
        <f t="shared" si="83"/>
        <v>0</v>
      </c>
      <c r="L949" s="11">
        <v>7160.0940000000001</v>
      </c>
      <c r="M949" s="12" cm="1">
        <f t="array" ref="M949">IF(($R$34+SUMPRODUCT(TRANSPOSE(D949:K949),$R$35:$R$42))&lt;0,"-",$R$34+SUMPRODUCT(TRANSPOSE(D949:K949),$R$35:$R$42))</f>
        <v>10852.189609271805</v>
      </c>
      <c r="N949" s="13" t="str">
        <f t="shared" si="80"/>
        <v>-</v>
      </c>
      <c r="O949" s="13">
        <f t="shared" si="81"/>
        <v>22976.394186306927</v>
      </c>
    </row>
    <row r="950" spans="1:15" x14ac:dyDescent="0.25">
      <c r="A950" s="1" t="s">
        <v>3</v>
      </c>
      <c r="B950" s="1" t="s">
        <v>1</v>
      </c>
      <c r="C950" s="1" t="s">
        <v>7</v>
      </c>
      <c r="D950" s="1">
        <v>37</v>
      </c>
      <c r="E950" s="1">
        <v>34.200000000000003</v>
      </c>
      <c r="F950" s="1">
        <v>1</v>
      </c>
      <c r="G950" s="7">
        <f t="shared" si="79"/>
        <v>0</v>
      </c>
      <c r="H950" s="7">
        <f t="shared" si="82"/>
        <v>1</v>
      </c>
      <c r="I950" s="7">
        <f t="shared" si="83"/>
        <v>0</v>
      </c>
      <c r="J950" s="7">
        <f t="shared" si="83"/>
        <v>0</v>
      </c>
      <c r="K950" s="7">
        <f t="shared" si="83"/>
        <v>1</v>
      </c>
      <c r="L950" s="11">
        <v>39047.285000000003</v>
      </c>
      <c r="M950" s="12" cm="1">
        <f t="array" ref="M950">IF(($R$34+SUMPRODUCT(TRANSPOSE(D950:K950),$R$35:$R$42))&lt;0,"-",$R$34+SUMPRODUCT(TRANSPOSE(D950:K950),$R$35:$R$42))</f>
        <v>33358.283308872218</v>
      </c>
      <c r="N950" s="13">
        <f t="shared" si="80"/>
        <v>21234.078731837093</v>
      </c>
      <c r="O950" s="13">
        <f t="shared" si="81"/>
        <v>45482.487885907343</v>
      </c>
    </row>
    <row r="951" spans="1:15" x14ac:dyDescent="0.25">
      <c r="A951" s="1" t="s">
        <v>3</v>
      </c>
      <c r="B951" s="1" t="s">
        <v>4</v>
      </c>
      <c r="C951" s="1" t="s">
        <v>6</v>
      </c>
      <c r="D951" s="1">
        <v>42</v>
      </c>
      <c r="E951" s="1">
        <v>31.254999999999999</v>
      </c>
      <c r="F951" s="1">
        <v>0</v>
      </c>
      <c r="G951" s="7">
        <f t="shared" si="79"/>
        <v>0</v>
      </c>
      <c r="H951" s="7">
        <f t="shared" si="82"/>
        <v>0</v>
      </c>
      <c r="I951" s="7">
        <f t="shared" si="83"/>
        <v>0</v>
      </c>
      <c r="J951" s="7">
        <f t="shared" si="83"/>
        <v>1</v>
      </c>
      <c r="K951" s="7">
        <f t="shared" si="83"/>
        <v>0</v>
      </c>
      <c r="L951" s="11">
        <v>6358.7764500000003</v>
      </c>
      <c r="M951" s="12" cm="1">
        <f t="array" ref="M951">IF(($R$34+SUMPRODUCT(TRANSPOSE(D951:K951),$R$35:$R$42))&lt;0,"-",$R$34+SUMPRODUCT(TRANSPOSE(D951:K951),$R$35:$R$42))</f>
        <v>8966.6413641884646</v>
      </c>
      <c r="N951" s="13" t="str">
        <f t="shared" si="80"/>
        <v>-</v>
      </c>
      <c r="O951" s="13">
        <f t="shared" si="81"/>
        <v>21090.84594122359</v>
      </c>
    </row>
    <row r="952" spans="1:15" x14ac:dyDescent="0.25">
      <c r="A952" s="1" t="s">
        <v>3</v>
      </c>
      <c r="B952" s="1" t="s">
        <v>1</v>
      </c>
      <c r="C952" s="1" t="s">
        <v>2</v>
      </c>
      <c r="D952" s="1">
        <v>25</v>
      </c>
      <c r="E952" s="1">
        <v>29.7</v>
      </c>
      <c r="F952" s="1">
        <v>3</v>
      </c>
      <c r="G952" s="7">
        <f t="shared" si="79"/>
        <v>0</v>
      </c>
      <c r="H952" s="7">
        <f t="shared" si="82"/>
        <v>1</v>
      </c>
      <c r="I952" s="7">
        <f t="shared" si="83"/>
        <v>0</v>
      </c>
      <c r="J952" s="7">
        <f t="shared" si="83"/>
        <v>0</v>
      </c>
      <c r="K952" s="7">
        <f t="shared" si="83"/>
        <v>0</v>
      </c>
      <c r="L952" s="11">
        <v>19933.457999999999</v>
      </c>
      <c r="M952" s="12" cm="1">
        <f t="array" ref="M952">IF(($R$34+SUMPRODUCT(TRANSPOSE(D952:K952),$R$35:$R$42))&lt;0,"-",$R$34+SUMPRODUCT(TRANSPOSE(D952:K952),$R$35:$R$42))</f>
        <v>28740.586636172695</v>
      </c>
      <c r="N952" s="13">
        <f t="shared" si="80"/>
        <v>16616.38205913757</v>
      </c>
      <c r="O952" s="13">
        <f t="shared" si="81"/>
        <v>40864.79121320782</v>
      </c>
    </row>
    <row r="953" spans="1:15" x14ac:dyDescent="0.25">
      <c r="A953" s="1" t="s">
        <v>3</v>
      </c>
      <c r="B953" s="1" t="s">
        <v>4</v>
      </c>
      <c r="C953" s="1" t="s">
        <v>7</v>
      </c>
      <c r="D953" s="1">
        <v>57</v>
      </c>
      <c r="E953" s="1">
        <v>18.335000000000001</v>
      </c>
      <c r="F953" s="1">
        <v>0</v>
      </c>
      <c r="G953" s="7">
        <f t="shared" si="79"/>
        <v>0</v>
      </c>
      <c r="H953" s="7">
        <f t="shared" si="82"/>
        <v>0</v>
      </c>
      <c r="I953" s="7">
        <f t="shared" si="83"/>
        <v>0</v>
      </c>
      <c r="J953" s="7">
        <f t="shared" si="83"/>
        <v>0</v>
      </c>
      <c r="K953" s="7">
        <f t="shared" si="83"/>
        <v>1</v>
      </c>
      <c r="L953" s="11">
        <v>11534.872649999999</v>
      </c>
      <c r="M953" s="12" cm="1">
        <f t="array" ref="M953">IF(($R$34+SUMPRODUCT(TRANSPOSE(D953:K953),$R$35:$R$42))&lt;0,"-",$R$34+SUMPRODUCT(TRANSPOSE(D953:K953),$R$35:$R$42))</f>
        <v>8790.0711310212719</v>
      </c>
      <c r="N953" s="13" t="str">
        <f t="shared" si="80"/>
        <v>-</v>
      </c>
      <c r="O953" s="13">
        <f t="shared" si="81"/>
        <v>20914.275708056397</v>
      </c>
    </row>
    <row r="954" spans="1:15" x14ac:dyDescent="0.25">
      <c r="A954" s="1" t="s">
        <v>3</v>
      </c>
      <c r="B954" s="1" t="s">
        <v>1</v>
      </c>
      <c r="C954" s="1" t="s">
        <v>5</v>
      </c>
      <c r="D954" s="1">
        <v>51</v>
      </c>
      <c r="E954" s="1">
        <v>42.9</v>
      </c>
      <c r="F954" s="1">
        <v>2</v>
      </c>
      <c r="G954" s="7">
        <f t="shared" si="79"/>
        <v>0</v>
      </c>
      <c r="H954" s="7">
        <f t="shared" si="82"/>
        <v>1</v>
      </c>
      <c r="I954" s="7">
        <f t="shared" si="83"/>
        <v>1</v>
      </c>
      <c r="J954" s="7">
        <f t="shared" si="83"/>
        <v>0</v>
      </c>
      <c r="K954" s="7">
        <f t="shared" si="83"/>
        <v>0</v>
      </c>
      <c r="L954" s="11">
        <v>47462.894</v>
      </c>
      <c r="M954" s="12" cm="1">
        <f t="array" ref="M954">IF(($R$34+SUMPRODUCT(TRANSPOSE(D954:K954),$R$35:$R$42))&lt;0,"-",$R$34+SUMPRODUCT(TRANSPOSE(D954:K954),$R$35:$R$42))</f>
        <v>39345.733786570709</v>
      </c>
      <c r="N954" s="13">
        <f t="shared" si="80"/>
        <v>27221.529209535584</v>
      </c>
      <c r="O954" s="13">
        <f t="shared" si="81"/>
        <v>51469.938363605834</v>
      </c>
    </row>
    <row r="955" spans="1:15" x14ac:dyDescent="0.25">
      <c r="A955" s="1" t="s">
        <v>0</v>
      </c>
      <c r="B955" s="1" t="s">
        <v>4</v>
      </c>
      <c r="C955" s="1" t="s">
        <v>6</v>
      </c>
      <c r="D955" s="1">
        <v>30</v>
      </c>
      <c r="E955" s="1">
        <v>28.405000000000001</v>
      </c>
      <c r="F955" s="1">
        <v>1</v>
      </c>
      <c r="G955" s="7">
        <f t="shared" si="79"/>
        <v>1</v>
      </c>
      <c r="H955" s="7">
        <f t="shared" si="82"/>
        <v>0</v>
      </c>
      <c r="I955" s="7">
        <f t="shared" si="83"/>
        <v>0</v>
      </c>
      <c r="J955" s="7">
        <f t="shared" si="83"/>
        <v>1</v>
      </c>
      <c r="K955" s="7">
        <f t="shared" si="83"/>
        <v>0</v>
      </c>
      <c r="L955" s="11">
        <v>4527.1829500000003</v>
      </c>
      <c r="M955" s="12" cm="1">
        <f t="array" ref="M955">IF(($R$34+SUMPRODUCT(TRANSPOSE(D955:K955),$R$35:$R$42))&lt;0,"-",$R$34+SUMPRODUCT(TRANSPOSE(D955:K955),$R$35:$R$42))</f>
        <v>5524.4786954936353</v>
      </c>
      <c r="N955" s="13" t="str">
        <f t="shared" si="80"/>
        <v>-</v>
      </c>
      <c r="O955" s="13">
        <f t="shared" si="81"/>
        <v>17648.68327252876</v>
      </c>
    </row>
    <row r="956" spans="1:15" x14ac:dyDescent="0.25">
      <c r="A956" s="1" t="s">
        <v>3</v>
      </c>
      <c r="B956" s="1" t="s">
        <v>1</v>
      </c>
      <c r="C956" s="1" t="s">
        <v>2</v>
      </c>
      <c r="D956" s="1">
        <v>44</v>
      </c>
      <c r="E956" s="1">
        <v>30.2</v>
      </c>
      <c r="F956" s="1">
        <v>2</v>
      </c>
      <c r="G956" s="7">
        <f t="shared" si="79"/>
        <v>0</v>
      </c>
      <c r="H956" s="7">
        <f t="shared" si="82"/>
        <v>1</v>
      </c>
      <c r="I956" s="7">
        <f t="shared" si="83"/>
        <v>0</v>
      </c>
      <c r="J956" s="7">
        <f t="shared" si="83"/>
        <v>0</v>
      </c>
      <c r="K956" s="7">
        <f t="shared" si="83"/>
        <v>0</v>
      </c>
      <c r="L956" s="11">
        <v>38998.546000000002</v>
      </c>
      <c r="M956" s="12" cm="1">
        <f t="array" ref="M956">IF(($R$34+SUMPRODUCT(TRANSPOSE(D956:K956),$R$35:$R$42))&lt;0,"-",$R$34+SUMPRODUCT(TRANSPOSE(D956:K956),$R$35:$R$42))</f>
        <v>33314.953516038593</v>
      </c>
      <c r="N956" s="13">
        <f t="shared" si="80"/>
        <v>21190.748939003468</v>
      </c>
      <c r="O956" s="13">
        <f t="shared" si="81"/>
        <v>45439.158093073718</v>
      </c>
    </row>
    <row r="957" spans="1:15" x14ac:dyDescent="0.25">
      <c r="A957" s="1" t="s">
        <v>3</v>
      </c>
      <c r="B957" s="1" t="s">
        <v>1</v>
      </c>
      <c r="C957" s="1" t="s">
        <v>6</v>
      </c>
      <c r="D957" s="1">
        <v>34</v>
      </c>
      <c r="E957" s="1">
        <v>27.835000000000001</v>
      </c>
      <c r="F957" s="1">
        <v>1</v>
      </c>
      <c r="G957" s="7">
        <f t="shared" si="79"/>
        <v>0</v>
      </c>
      <c r="H957" s="7">
        <f t="shared" si="82"/>
        <v>1</v>
      </c>
      <c r="I957" s="7">
        <f t="shared" si="83"/>
        <v>0</v>
      </c>
      <c r="J957" s="7">
        <f t="shared" si="83"/>
        <v>1</v>
      </c>
      <c r="K957" s="7">
        <f t="shared" si="83"/>
        <v>0</v>
      </c>
      <c r="L957" s="11">
        <v>20009.63365</v>
      </c>
      <c r="M957" s="12" cm="1">
        <f t="array" ref="M957">IF(($R$34+SUMPRODUCT(TRANSPOSE(D957:K957),$R$35:$R$42))&lt;0,"-",$R$34+SUMPRODUCT(TRANSPOSE(D957:K957),$R$35:$R$42))</f>
        <v>30075.784019602535</v>
      </c>
      <c r="N957" s="13">
        <f t="shared" si="80"/>
        <v>17951.57944256741</v>
      </c>
      <c r="O957" s="13">
        <f t="shared" si="81"/>
        <v>42199.988596637661</v>
      </c>
    </row>
    <row r="958" spans="1:15" x14ac:dyDescent="0.25">
      <c r="A958" s="1" t="s">
        <v>3</v>
      </c>
      <c r="B958" s="1" t="s">
        <v>4</v>
      </c>
      <c r="C958" s="1" t="s">
        <v>5</v>
      </c>
      <c r="D958" s="1">
        <v>31</v>
      </c>
      <c r="E958" s="1">
        <v>39.49</v>
      </c>
      <c r="F958" s="1">
        <v>1</v>
      </c>
      <c r="G958" s="7">
        <f t="shared" si="79"/>
        <v>0</v>
      </c>
      <c r="H958" s="7">
        <f t="shared" si="82"/>
        <v>0</v>
      </c>
      <c r="I958" s="7">
        <f t="shared" si="83"/>
        <v>1</v>
      </c>
      <c r="J958" s="7">
        <f t="shared" si="83"/>
        <v>0</v>
      </c>
      <c r="K958" s="7">
        <f t="shared" si="83"/>
        <v>0</v>
      </c>
      <c r="L958" s="11">
        <v>3875.7341000000001</v>
      </c>
      <c r="M958" s="12" cm="1">
        <f t="array" ref="M958">IF(($R$34+SUMPRODUCT(TRANSPOSE(D958:K958),$R$35:$R$42))&lt;0,"-",$R$34+SUMPRODUCT(TRANSPOSE(D958:K958),$R$35:$R$42))</f>
        <v>8727.921971948861</v>
      </c>
      <c r="N958" s="13" t="str">
        <f t="shared" si="80"/>
        <v>-</v>
      </c>
      <c r="O958" s="13">
        <f t="shared" si="81"/>
        <v>20852.126548983986</v>
      </c>
    </row>
    <row r="959" spans="1:15" x14ac:dyDescent="0.25">
      <c r="A959" s="1" t="s">
        <v>3</v>
      </c>
      <c r="B959" s="1" t="s">
        <v>1</v>
      </c>
      <c r="C959" s="1" t="s">
        <v>5</v>
      </c>
      <c r="D959" s="1">
        <v>54</v>
      </c>
      <c r="E959" s="1">
        <v>30.8</v>
      </c>
      <c r="F959" s="1">
        <v>1</v>
      </c>
      <c r="G959" s="7">
        <f t="shared" si="79"/>
        <v>0</v>
      </c>
      <c r="H959" s="7">
        <f t="shared" si="82"/>
        <v>1</v>
      </c>
      <c r="I959" s="7">
        <f t="shared" si="83"/>
        <v>1</v>
      </c>
      <c r="J959" s="7">
        <f t="shared" si="83"/>
        <v>0</v>
      </c>
      <c r="K959" s="7">
        <f t="shared" si="83"/>
        <v>0</v>
      </c>
      <c r="L959" s="11">
        <v>41999.519999999997</v>
      </c>
      <c r="M959" s="12" cm="1">
        <f t="array" ref="M959">IF(($R$34+SUMPRODUCT(TRANSPOSE(D959:K959),$R$35:$R$42))&lt;0,"-",$R$34+SUMPRODUCT(TRANSPOSE(D959:K959),$R$35:$R$42))</f>
        <v>35536.561510342457</v>
      </c>
      <c r="N959" s="13">
        <f t="shared" si="80"/>
        <v>23412.356933307332</v>
      </c>
      <c r="O959" s="13">
        <f t="shared" si="81"/>
        <v>47660.766087377582</v>
      </c>
    </row>
    <row r="960" spans="1:15" x14ac:dyDescent="0.25">
      <c r="A960" s="1" t="s">
        <v>3</v>
      </c>
      <c r="B960" s="1" t="s">
        <v>4</v>
      </c>
      <c r="C960" s="1" t="s">
        <v>6</v>
      </c>
      <c r="D960" s="1">
        <v>24</v>
      </c>
      <c r="E960" s="1">
        <v>26.79</v>
      </c>
      <c r="F960" s="1">
        <v>1</v>
      </c>
      <c r="G960" s="7">
        <f t="shared" si="79"/>
        <v>0</v>
      </c>
      <c r="H960" s="7">
        <f t="shared" si="82"/>
        <v>0</v>
      </c>
      <c r="I960" s="7">
        <f t="shared" si="83"/>
        <v>0</v>
      </c>
      <c r="J960" s="7">
        <f t="shared" si="83"/>
        <v>1</v>
      </c>
      <c r="K960" s="7">
        <f t="shared" si="83"/>
        <v>0</v>
      </c>
      <c r="L960" s="11">
        <v>12609.88702</v>
      </c>
      <c r="M960" s="12" cm="1">
        <f t="array" ref="M960">IF(($R$34+SUMPRODUCT(TRANSPOSE(D960:K960),$R$35:$R$42))&lt;0,"-",$R$34+SUMPRODUCT(TRANSPOSE(D960:K960),$R$35:$R$42))</f>
        <v>3304.2287932929321</v>
      </c>
      <c r="N960" s="13" t="str">
        <f t="shared" si="80"/>
        <v>-</v>
      </c>
      <c r="O960" s="13">
        <f t="shared" si="81"/>
        <v>15428.433370328055</v>
      </c>
    </row>
    <row r="961" spans="1:15" x14ac:dyDescent="0.25">
      <c r="A961" s="1" t="s">
        <v>3</v>
      </c>
      <c r="B961" s="1" t="s">
        <v>1</v>
      </c>
      <c r="C961" s="1" t="s">
        <v>7</v>
      </c>
      <c r="D961" s="1">
        <v>43</v>
      </c>
      <c r="E961" s="1">
        <v>34.96</v>
      </c>
      <c r="F961" s="1">
        <v>1</v>
      </c>
      <c r="G961" s="7">
        <f t="shared" si="79"/>
        <v>0</v>
      </c>
      <c r="H961" s="7">
        <f t="shared" si="82"/>
        <v>1</v>
      </c>
      <c r="I961" s="7">
        <f t="shared" si="83"/>
        <v>0</v>
      </c>
      <c r="J961" s="7">
        <f t="shared" si="83"/>
        <v>0</v>
      </c>
      <c r="K961" s="7">
        <f t="shared" si="83"/>
        <v>1</v>
      </c>
      <c r="L961" s="11">
        <v>41034.221400000002</v>
      </c>
      <c r="M961" s="12" cm="1">
        <f t="array" ref="M961">IF(($R$34+SUMPRODUCT(TRANSPOSE(D961:K961),$R$35:$R$42))&lt;0,"-",$R$34+SUMPRODUCT(TRANSPOSE(D961:K961),$R$35:$R$42))</f>
        <v>35157.208448840545</v>
      </c>
      <c r="N961" s="13">
        <f t="shared" si="80"/>
        <v>23033.00387180542</v>
      </c>
      <c r="O961" s="13">
        <f t="shared" si="81"/>
        <v>47281.41302587567</v>
      </c>
    </row>
    <row r="962" spans="1:15" x14ac:dyDescent="0.25">
      <c r="A962" s="1" t="s">
        <v>3</v>
      </c>
      <c r="B962" s="1" t="s">
        <v>4</v>
      </c>
      <c r="C962" s="1" t="s">
        <v>6</v>
      </c>
      <c r="D962" s="1">
        <v>48</v>
      </c>
      <c r="E962" s="1">
        <v>36.67</v>
      </c>
      <c r="F962" s="1">
        <v>1</v>
      </c>
      <c r="G962" s="7">
        <f t="shared" si="79"/>
        <v>0</v>
      </c>
      <c r="H962" s="7">
        <f t="shared" si="82"/>
        <v>0</v>
      </c>
      <c r="I962" s="7">
        <f t="shared" si="83"/>
        <v>0</v>
      </c>
      <c r="J962" s="7">
        <f t="shared" si="83"/>
        <v>1</v>
      </c>
      <c r="K962" s="7">
        <f t="shared" si="83"/>
        <v>0</v>
      </c>
      <c r="L962" s="11">
        <v>28468.919010000001</v>
      </c>
      <c r="M962" s="12" cm="1">
        <f t="array" ref="M962">IF(($R$34+SUMPRODUCT(TRANSPOSE(D962:K962),$R$35:$R$42))&lt;0,"-",$R$34+SUMPRODUCT(TRANSPOSE(D962:K962),$R$35:$R$42))</f>
        <v>12820.012575864384</v>
      </c>
      <c r="N962" s="13">
        <f t="shared" si="80"/>
        <v>695.80799882926112</v>
      </c>
      <c r="O962" s="13">
        <f t="shared" si="81"/>
        <v>24944.21715289951</v>
      </c>
    </row>
    <row r="963" spans="1:15" x14ac:dyDescent="0.25">
      <c r="A963" s="1" t="s">
        <v>0</v>
      </c>
      <c r="B963" s="1" t="s">
        <v>4</v>
      </c>
      <c r="C963" s="1" t="s">
        <v>6</v>
      </c>
      <c r="D963" s="1">
        <v>19</v>
      </c>
      <c r="E963" s="1">
        <v>39.615000000000002</v>
      </c>
      <c r="F963" s="1">
        <v>1</v>
      </c>
      <c r="G963" s="7">
        <f t="shared" ref="G963:G1026" si="84">IF($A963=G$2,1,0)</f>
        <v>1</v>
      </c>
      <c r="H963" s="7">
        <f t="shared" si="82"/>
        <v>0</v>
      </c>
      <c r="I963" s="7">
        <f t="shared" si="83"/>
        <v>0</v>
      </c>
      <c r="J963" s="7">
        <f t="shared" si="83"/>
        <v>1</v>
      </c>
      <c r="K963" s="7">
        <f t="shared" si="83"/>
        <v>0</v>
      </c>
      <c r="L963" s="11">
        <v>2730.1078499999999</v>
      </c>
      <c r="M963" s="12" cm="1">
        <f t="array" ref="M963">IF(($R$34+SUMPRODUCT(TRANSPOSE(D963:K963),$R$35:$R$42))&lt;0,"-",$R$34+SUMPRODUCT(TRANSPOSE(D963:K963),$R$35:$R$42))</f>
        <v>6501.4174325603271</v>
      </c>
      <c r="N963" s="13" t="str">
        <f t="shared" ref="N963:N1026" si="85">IFERROR(IF($M963-(2*$R$24)&lt;0,"-",($M963-(2*$R$24))),"-")</f>
        <v>-</v>
      </c>
      <c r="O963" s="13">
        <f t="shared" ref="O963:O1026" si="86">IFERROR(IF($L963+(2*$R$24)&lt;0,"-",($M963+(2*$R$24))),"-")</f>
        <v>18625.622009595449</v>
      </c>
    </row>
    <row r="964" spans="1:15" x14ac:dyDescent="0.25">
      <c r="A964" s="1" t="s">
        <v>0</v>
      </c>
      <c r="B964" s="1" t="s">
        <v>4</v>
      </c>
      <c r="C964" s="1" t="s">
        <v>2</v>
      </c>
      <c r="D964" s="1">
        <v>29</v>
      </c>
      <c r="E964" s="1">
        <v>25.9</v>
      </c>
      <c r="F964" s="1">
        <v>0</v>
      </c>
      <c r="G964" s="7">
        <f t="shared" si="84"/>
        <v>1</v>
      </c>
      <c r="H964" s="7">
        <f t="shared" ref="H964:H1027" si="87">IF(B964="yes",1,0)</f>
        <v>0</v>
      </c>
      <c r="I964" s="7">
        <f t="shared" ref="I964:K1027" si="88">IF($C964=I$2,1,0)</f>
        <v>0</v>
      </c>
      <c r="J964" s="7">
        <f t="shared" si="88"/>
        <v>0</v>
      </c>
      <c r="K964" s="7">
        <f t="shared" si="88"/>
        <v>0</v>
      </c>
      <c r="L964" s="11">
        <v>3353.2840000000001</v>
      </c>
      <c r="M964" s="12" cm="1">
        <f t="array" ref="M964">IF(($R$34+SUMPRODUCT(TRANSPOSE(D964:K964),$R$35:$R$42))&lt;0,"-",$R$34+SUMPRODUCT(TRANSPOSE(D964:K964),$R$35:$R$42))</f>
        <v>3335.3551046358079</v>
      </c>
      <c r="N964" s="13" t="str">
        <f t="shared" si="85"/>
        <v>-</v>
      </c>
      <c r="O964" s="13">
        <f t="shared" si="86"/>
        <v>15459.559681670931</v>
      </c>
    </row>
    <row r="965" spans="1:15" x14ac:dyDescent="0.25">
      <c r="A965" s="1" t="s">
        <v>0</v>
      </c>
      <c r="B965" s="1" t="s">
        <v>4</v>
      </c>
      <c r="C965" s="1" t="s">
        <v>5</v>
      </c>
      <c r="D965" s="1">
        <v>63</v>
      </c>
      <c r="E965" s="1">
        <v>35.200000000000003</v>
      </c>
      <c r="F965" s="1">
        <v>1</v>
      </c>
      <c r="G965" s="7">
        <f t="shared" si="84"/>
        <v>1</v>
      </c>
      <c r="H965" s="7">
        <f t="shared" si="87"/>
        <v>0</v>
      </c>
      <c r="I965" s="7">
        <f t="shared" si="88"/>
        <v>1</v>
      </c>
      <c r="J965" s="7">
        <f t="shared" si="88"/>
        <v>0</v>
      </c>
      <c r="K965" s="7">
        <f t="shared" si="88"/>
        <v>0</v>
      </c>
      <c r="L965" s="11">
        <v>14474.674999999999</v>
      </c>
      <c r="M965" s="12" cm="1">
        <f t="array" ref="M965">IF(($R$34+SUMPRODUCT(TRANSPOSE(D965:K965),$R$35:$R$42))&lt;0,"-",$R$34+SUMPRODUCT(TRANSPOSE(D965:K965),$R$35:$R$42))</f>
        <v>15623.499696548599</v>
      </c>
      <c r="N965" s="13">
        <f t="shared" si="85"/>
        <v>3499.2951195134756</v>
      </c>
      <c r="O965" s="13">
        <f t="shared" si="86"/>
        <v>27747.704273583724</v>
      </c>
    </row>
    <row r="966" spans="1:15" x14ac:dyDescent="0.25">
      <c r="A966" s="1" t="s">
        <v>3</v>
      </c>
      <c r="B966" s="1" t="s">
        <v>4</v>
      </c>
      <c r="C966" s="1" t="s">
        <v>7</v>
      </c>
      <c r="D966" s="1">
        <v>46</v>
      </c>
      <c r="E966" s="1">
        <v>24.795000000000002</v>
      </c>
      <c r="F966" s="1">
        <v>3</v>
      </c>
      <c r="G966" s="7">
        <f t="shared" si="84"/>
        <v>0</v>
      </c>
      <c r="H966" s="7">
        <f t="shared" si="87"/>
        <v>0</v>
      </c>
      <c r="I966" s="7">
        <f t="shared" si="88"/>
        <v>0</v>
      </c>
      <c r="J966" s="7">
        <f t="shared" si="88"/>
        <v>0</v>
      </c>
      <c r="K966" s="7">
        <f t="shared" si="88"/>
        <v>1</v>
      </c>
      <c r="L966" s="11">
        <v>9500.5730500000009</v>
      </c>
      <c r="M966" s="12" cm="1">
        <f t="array" ref="M966">IF(($R$34+SUMPRODUCT(TRANSPOSE(D966:K966),$R$35:$R$42))&lt;0,"-",$R$34+SUMPRODUCT(TRANSPOSE(D966:K966),$R$35:$R$42))</f>
        <v>9582.342598883868</v>
      </c>
      <c r="N966" s="13" t="str">
        <f t="shared" si="85"/>
        <v>-</v>
      </c>
      <c r="O966" s="13">
        <f t="shared" si="86"/>
        <v>21706.54717591899</v>
      </c>
    </row>
    <row r="967" spans="1:15" x14ac:dyDescent="0.25">
      <c r="A967" s="1" t="s">
        <v>3</v>
      </c>
      <c r="B967" s="1" t="s">
        <v>4</v>
      </c>
      <c r="C967" s="1" t="s">
        <v>6</v>
      </c>
      <c r="D967" s="1">
        <v>52</v>
      </c>
      <c r="E967" s="1">
        <v>36.765000000000001</v>
      </c>
      <c r="F967" s="1">
        <v>2</v>
      </c>
      <c r="G967" s="7">
        <f t="shared" si="84"/>
        <v>0</v>
      </c>
      <c r="H967" s="7">
        <f t="shared" si="87"/>
        <v>0</v>
      </c>
      <c r="I967" s="7">
        <f t="shared" si="88"/>
        <v>0</v>
      </c>
      <c r="J967" s="7">
        <f t="shared" si="88"/>
        <v>1</v>
      </c>
      <c r="K967" s="7">
        <f t="shared" si="88"/>
        <v>0</v>
      </c>
      <c r="L967" s="11">
        <v>26467.09737</v>
      </c>
      <c r="M967" s="12" cm="1">
        <f t="array" ref="M967">IF(($R$34+SUMPRODUCT(TRANSPOSE(D967:K967),$R$35:$R$42))&lt;0,"-",$R$34+SUMPRODUCT(TRANSPOSE(D967:K967),$R$35:$R$42))</f>
        <v>14355.161909255938</v>
      </c>
      <c r="N967" s="13">
        <f t="shared" si="85"/>
        <v>2230.9573322208144</v>
      </c>
      <c r="O967" s="13">
        <f t="shared" si="86"/>
        <v>26479.366486291059</v>
      </c>
    </row>
    <row r="968" spans="1:15" x14ac:dyDescent="0.25">
      <c r="A968" s="1" t="s">
        <v>3</v>
      </c>
      <c r="B968" s="1" t="s">
        <v>4</v>
      </c>
      <c r="C968" s="1" t="s">
        <v>2</v>
      </c>
      <c r="D968" s="1">
        <v>35</v>
      </c>
      <c r="E968" s="1">
        <v>27.1</v>
      </c>
      <c r="F968" s="1">
        <v>1</v>
      </c>
      <c r="G968" s="7">
        <f t="shared" si="84"/>
        <v>0</v>
      </c>
      <c r="H968" s="7">
        <f t="shared" si="87"/>
        <v>0</v>
      </c>
      <c r="I968" s="7">
        <f t="shared" si="88"/>
        <v>0</v>
      </c>
      <c r="J968" s="7">
        <f t="shared" si="88"/>
        <v>0</v>
      </c>
      <c r="K968" s="7">
        <f t="shared" si="88"/>
        <v>0</v>
      </c>
      <c r="L968" s="11">
        <v>4746.3440000000001</v>
      </c>
      <c r="M968" s="12" cm="1">
        <f t="array" ref="M968">IF(($R$34+SUMPRODUCT(TRANSPOSE(D968:K968),$R$35:$R$42))&lt;0,"-",$R$34+SUMPRODUCT(TRANSPOSE(D968:K968),$R$35:$R$42))</f>
        <v>5627.7115499469328</v>
      </c>
      <c r="N968" s="13" t="str">
        <f t="shared" si="85"/>
        <v>-</v>
      </c>
      <c r="O968" s="13">
        <f t="shared" si="86"/>
        <v>17751.916126982054</v>
      </c>
    </row>
    <row r="969" spans="1:15" x14ac:dyDescent="0.25">
      <c r="A969" s="1" t="s">
        <v>3</v>
      </c>
      <c r="B969" s="1" t="s">
        <v>1</v>
      </c>
      <c r="C969" s="1" t="s">
        <v>6</v>
      </c>
      <c r="D969" s="1">
        <v>51</v>
      </c>
      <c r="E969" s="1">
        <v>24.795000000000002</v>
      </c>
      <c r="F969" s="1">
        <v>2</v>
      </c>
      <c r="G969" s="7">
        <f t="shared" si="84"/>
        <v>0</v>
      </c>
      <c r="H969" s="7">
        <f t="shared" si="87"/>
        <v>1</v>
      </c>
      <c r="I969" s="7">
        <f t="shared" si="88"/>
        <v>0</v>
      </c>
      <c r="J969" s="7">
        <f t="shared" si="88"/>
        <v>1</v>
      </c>
      <c r="K969" s="7">
        <f t="shared" si="88"/>
        <v>0</v>
      </c>
      <c r="L969" s="11">
        <v>23967.38305</v>
      </c>
      <c r="M969" s="12" cm="1">
        <f t="array" ref="M969">IF(($R$34+SUMPRODUCT(TRANSPOSE(D969:K969),$R$35:$R$42))&lt;0,"-",$R$34+SUMPRODUCT(TRANSPOSE(D969:K969),$R$35:$R$42))</f>
        <v>33886.694458909624</v>
      </c>
      <c r="N969" s="13">
        <f t="shared" si="85"/>
        <v>21762.489881874499</v>
      </c>
      <c r="O969" s="13">
        <f t="shared" si="86"/>
        <v>46010.899035944749</v>
      </c>
    </row>
    <row r="970" spans="1:15" x14ac:dyDescent="0.25">
      <c r="A970" s="1" t="s">
        <v>3</v>
      </c>
      <c r="B970" s="1" t="s">
        <v>4</v>
      </c>
      <c r="C970" s="1" t="s">
        <v>6</v>
      </c>
      <c r="D970" s="1">
        <v>44</v>
      </c>
      <c r="E970" s="1">
        <v>25.364999999999998</v>
      </c>
      <c r="F970" s="1">
        <v>1</v>
      </c>
      <c r="G970" s="7">
        <f t="shared" si="84"/>
        <v>0</v>
      </c>
      <c r="H970" s="7">
        <f t="shared" si="87"/>
        <v>0</v>
      </c>
      <c r="I970" s="7">
        <f t="shared" si="88"/>
        <v>0</v>
      </c>
      <c r="J970" s="7">
        <f t="shared" si="88"/>
        <v>1</v>
      </c>
      <c r="K970" s="7">
        <f t="shared" si="88"/>
        <v>0</v>
      </c>
      <c r="L970" s="11">
        <v>7518.0253499999999</v>
      </c>
      <c r="M970" s="12" cm="1">
        <f t="array" ref="M970">IF(($R$34+SUMPRODUCT(TRANSPOSE(D970:K970),$R$35:$R$42))&lt;0,"-",$R$34+SUMPRODUCT(TRANSPOSE(D970:K970),$R$35:$R$42))</f>
        <v>7958.0051726444435</v>
      </c>
      <c r="N970" s="13" t="str">
        <f t="shared" si="85"/>
        <v>-</v>
      </c>
      <c r="O970" s="13">
        <f t="shared" si="86"/>
        <v>20082.209749679569</v>
      </c>
    </row>
    <row r="971" spans="1:15" x14ac:dyDescent="0.25">
      <c r="A971" s="1" t="s">
        <v>3</v>
      </c>
      <c r="B971" s="1" t="s">
        <v>4</v>
      </c>
      <c r="C971" s="1" t="s">
        <v>7</v>
      </c>
      <c r="D971" s="1">
        <v>21</v>
      </c>
      <c r="E971" s="1">
        <v>25.745000000000001</v>
      </c>
      <c r="F971" s="1">
        <v>2</v>
      </c>
      <c r="G971" s="7">
        <f t="shared" si="84"/>
        <v>0</v>
      </c>
      <c r="H971" s="7">
        <f t="shared" si="87"/>
        <v>0</v>
      </c>
      <c r="I971" s="7">
        <f t="shared" si="88"/>
        <v>0</v>
      </c>
      <c r="J971" s="7">
        <f t="shared" si="88"/>
        <v>0</v>
      </c>
      <c r="K971" s="7">
        <f t="shared" si="88"/>
        <v>1</v>
      </c>
      <c r="L971" s="11">
        <v>3279.8685500000001</v>
      </c>
      <c r="M971" s="12" cm="1">
        <f t="array" ref="M971">IF(($R$34+SUMPRODUCT(TRANSPOSE(D971:K971),$R$35:$R$42))&lt;0,"-",$R$34+SUMPRODUCT(TRANSPOSE(D971:K971),$R$35:$R$42))</f>
        <v>3007.6670212313365</v>
      </c>
      <c r="N971" s="13" t="str">
        <f t="shared" si="85"/>
        <v>-</v>
      </c>
      <c r="O971" s="13">
        <f t="shared" si="86"/>
        <v>15131.87159826646</v>
      </c>
    </row>
    <row r="972" spans="1:15" x14ac:dyDescent="0.25">
      <c r="A972" s="1" t="s">
        <v>0</v>
      </c>
      <c r="B972" s="1" t="s">
        <v>4</v>
      </c>
      <c r="C972" s="1" t="s">
        <v>5</v>
      </c>
      <c r="D972" s="1">
        <v>39</v>
      </c>
      <c r="E972" s="1">
        <v>34.32</v>
      </c>
      <c r="F972" s="1">
        <v>5</v>
      </c>
      <c r="G972" s="7">
        <f t="shared" si="84"/>
        <v>1</v>
      </c>
      <c r="H972" s="7">
        <f t="shared" si="87"/>
        <v>0</v>
      </c>
      <c r="I972" s="7">
        <f t="shared" si="88"/>
        <v>1</v>
      </c>
      <c r="J972" s="7">
        <f t="shared" si="88"/>
        <v>0</v>
      </c>
      <c r="K972" s="7">
        <f t="shared" si="88"/>
        <v>0</v>
      </c>
      <c r="L972" s="11">
        <v>8596.8277999999991</v>
      </c>
      <c r="M972" s="12" cm="1">
        <f t="array" ref="M972">IF(($R$34+SUMPRODUCT(TRANSPOSE(D972:K972),$R$35:$R$42))&lt;0,"-",$R$34+SUMPRODUCT(TRANSPOSE(D972:K972),$R$35:$R$42))</f>
        <v>11062.459177071236</v>
      </c>
      <c r="N972" s="13" t="str">
        <f t="shared" si="85"/>
        <v>-</v>
      </c>
      <c r="O972" s="13">
        <f t="shared" si="86"/>
        <v>23186.663754106361</v>
      </c>
    </row>
    <row r="973" spans="1:15" x14ac:dyDescent="0.25">
      <c r="A973" s="1" t="s">
        <v>0</v>
      </c>
      <c r="B973" s="1" t="s">
        <v>4</v>
      </c>
      <c r="C973" s="1" t="s">
        <v>5</v>
      </c>
      <c r="D973" s="1">
        <v>50</v>
      </c>
      <c r="E973" s="1">
        <v>28.16</v>
      </c>
      <c r="F973" s="1">
        <v>3</v>
      </c>
      <c r="G973" s="7">
        <f t="shared" si="84"/>
        <v>1</v>
      </c>
      <c r="H973" s="7">
        <f t="shared" si="87"/>
        <v>0</v>
      </c>
      <c r="I973" s="7">
        <f t="shared" si="88"/>
        <v>1</v>
      </c>
      <c r="J973" s="7">
        <f t="shared" si="88"/>
        <v>0</v>
      </c>
      <c r="K973" s="7">
        <f t="shared" si="88"/>
        <v>0</v>
      </c>
      <c r="L973" s="11">
        <v>10702.642400000001</v>
      </c>
      <c r="M973" s="12" cm="1">
        <f t="array" ref="M973">IF(($R$34+SUMPRODUCT(TRANSPOSE(D973:K973),$R$35:$R$42))&lt;0,"-",$R$34+SUMPRODUCT(TRANSPOSE(D973:K973),$R$35:$R$42))</f>
        <v>10847.446290441028</v>
      </c>
      <c r="N973" s="13" t="str">
        <f t="shared" si="85"/>
        <v>-</v>
      </c>
      <c r="O973" s="13">
        <f t="shared" si="86"/>
        <v>22971.65086747615</v>
      </c>
    </row>
    <row r="974" spans="1:15" x14ac:dyDescent="0.25">
      <c r="A974" s="1" t="s">
        <v>0</v>
      </c>
      <c r="B974" s="1" t="s">
        <v>4</v>
      </c>
      <c r="C974" s="1" t="s">
        <v>7</v>
      </c>
      <c r="D974" s="1">
        <v>34</v>
      </c>
      <c r="E974" s="1">
        <v>23.56</v>
      </c>
      <c r="F974" s="1">
        <v>0</v>
      </c>
      <c r="G974" s="7">
        <f t="shared" si="84"/>
        <v>1</v>
      </c>
      <c r="H974" s="7">
        <f t="shared" si="87"/>
        <v>0</v>
      </c>
      <c r="I974" s="7">
        <f t="shared" si="88"/>
        <v>0</v>
      </c>
      <c r="J974" s="7">
        <f t="shared" si="88"/>
        <v>0</v>
      </c>
      <c r="K974" s="7">
        <f t="shared" si="88"/>
        <v>1</v>
      </c>
      <c r="L974" s="11">
        <v>4992.3764000000001</v>
      </c>
      <c r="M974" s="12" cm="1">
        <f t="array" ref="M974">IF(($R$34+SUMPRODUCT(TRANSPOSE(D974:K974),$R$35:$R$42))&lt;0,"-",$R$34+SUMPRODUCT(TRANSPOSE(D974:K974),$R$35:$R$42))</f>
        <v>4785.9751771740157</v>
      </c>
      <c r="N974" s="13" t="str">
        <f t="shared" si="85"/>
        <v>-</v>
      </c>
      <c r="O974" s="13">
        <f t="shared" si="86"/>
        <v>16910.179754209137</v>
      </c>
    </row>
    <row r="975" spans="1:15" x14ac:dyDescent="0.25">
      <c r="A975" s="1" t="s">
        <v>0</v>
      </c>
      <c r="B975" s="1" t="s">
        <v>4</v>
      </c>
      <c r="C975" s="1" t="s">
        <v>6</v>
      </c>
      <c r="D975" s="1">
        <v>22</v>
      </c>
      <c r="E975" s="1">
        <v>20.234999999999999</v>
      </c>
      <c r="F975" s="1">
        <v>0</v>
      </c>
      <c r="G975" s="7">
        <f t="shared" si="84"/>
        <v>1</v>
      </c>
      <c r="H975" s="7">
        <f t="shared" si="87"/>
        <v>0</v>
      </c>
      <c r="I975" s="7">
        <f t="shared" si="88"/>
        <v>0</v>
      </c>
      <c r="J975" s="7">
        <f t="shared" si="88"/>
        <v>1</v>
      </c>
      <c r="K975" s="7">
        <f t="shared" si="88"/>
        <v>0</v>
      </c>
      <c r="L975" s="11">
        <v>2527.8186500000002</v>
      </c>
      <c r="M975" s="12" cm="1">
        <f t="array" ref="M975">IF(($R$34+SUMPRODUCT(TRANSPOSE(D975:K975),$R$35:$R$42))&lt;0,"-",$R$34+SUMPRODUCT(TRANSPOSE(D975:K975),$R$35:$R$42))</f>
        <v>222.91681404515293</v>
      </c>
      <c r="N975" s="13" t="str">
        <f t="shared" si="85"/>
        <v>-</v>
      </c>
      <c r="O975" s="13">
        <f t="shared" si="86"/>
        <v>12347.121391080276</v>
      </c>
    </row>
    <row r="976" spans="1:15" x14ac:dyDescent="0.25">
      <c r="A976" s="1" t="s">
        <v>0</v>
      </c>
      <c r="B976" s="1" t="s">
        <v>4</v>
      </c>
      <c r="C976" s="1" t="s">
        <v>2</v>
      </c>
      <c r="D976" s="1">
        <v>19</v>
      </c>
      <c r="E976" s="1">
        <v>40.5</v>
      </c>
      <c r="F976" s="1">
        <v>0</v>
      </c>
      <c r="G976" s="7">
        <f t="shared" si="84"/>
        <v>1</v>
      </c>
      <c r="H976" s="7">
        <f t="shared" si="87"/>
        <v>0</v>
      </c>
      <c r="I976" s="7">
        <f t="shared" si="88"/>
        <v>0</v>
      </c>
      <c r="J976" s="7">
        <f t="shared" si="88"/>
        <v>0</v>
      </c>
      <c r="K976" s="7">
        <f t="shared" si="88"/>
        <v>0</v>
      </c>
      <c r="L976" s="11">
        <v>1759.338</v>
      </c>
      <c r="M976" s="12" cm="1">
        <f t="array" ref="M976">IF(($R$34+SUMPRODUCT(TRANSPOSE(D976:K976),$R$35:$R$42))&lt;0,"-",$R$34+SUMPRODUCT(TRANSPOSE(D976:K976),$R$35:$R$42))</f>
        <v>5719.0160019805953</v>
      </c>
      <c r="N976" s="13" t="str">
        <f t="shared" si="85"/>
        <v>-</v>
      </c>
      <c r="O976" s="13">
        <f t="shared" si="86"/>
        <v>17843.220579015717</v>
      </c>
    </row>
    <row r="977" spans="1:15" x14ac:dyDescent="0.25">
      <c r="A977" s="1" t="s">
        <v>3</v>
      </c>
      <c r="B977" s="1" t="s">
        <v>4</v>
      </c>
      <c r="C977" s="1" t="s">
        <v>5</v>
      </c>
      <c r="D977" s="1">
        <v>26</v>
      </c>
      <c r="E977" s="1">
        <v>35.42</v>
      </c>
      <c r="F977" s="1">
        <v>0</v>
      </c>
      <c r="G977" s="7">
        <f t="shared" si="84"/>
        <v>0</v>
      </c>
      <c r="H977" s="7">
        <f t="shared" si="87"/>
        <v>0</v>
      </c>
      <c r="I977" s="7">
        <f t="shared" si="88"/>
        <v>1</v>
      </c>
      <c r="J977" s="7">
        <f t="shared" si="88"/>
        <v>0</v>
      </c>
      <c r="K977" s="7">
        <f t="shared" si="88"/>
        <v>0</v>
      </c>
      <c r="L977" s="11">
        <v>2322.6217999999999</v>
      </c>
      <c r="M977" s="12" cm="1">
        <f t="array" ref="M977">IF(($R$34+SUMPRODUCT(TRANSPOSE(D977:K977),$R$35:$R$42))&lt;0,"-",$R$34+SUMPRODUCT(TRANSPOSE(D977:K977),$R$35:$R$42))</f>
        <v>5587.6223079168703</v>
      </c>
      <c r="N977" s="13" t="str">
        <f t="shared" si="85"/>
        <v>-</v>
      </c>
      <c r="O977" s="13">
        <f t="shared" si="86"/>
        <v>17711.826884951995</v>
      </c>
    </row>
    <row r="978" spans="1:15" x14ac:dyDescent="0.25">
      <c r="A978" s="1" t="s">
        <v>3</v>
      </c>
      <c r="B978" s="1" t="s">
        <v>1</v>
      </c>
      <c r="C978" s="1" t="s">
        <v>7</v>
      </c>
      <c r="D978" s="1">
        <v>29</v>
      </c>
      <c r="E978" s="1">
        <v>22.895</v>
      </c>
      <c r="F978" s="1">
        <v>0</v>
      </c>
      <c r="G978" s="7">
        <f t="shared" si="84"/>
        <v>0</v>
      </c>
      <c r="H978" s="7">
        <f t="shared" si="87"/>
        <v>1</v>
      </c>
      <c r="I978" s="7">
        <f t="shared" si="88"/>
        <v>0</v>
      </c>
      <c r="J978" s="7">
        <f t="shared" si="88"/>
        <v>0</v>
      </c>
      <c r="K978" s="7">
        <f t="shared" si="88"/>
        <v>1</v>
      </c>
      <c r="L978" s="11">
        <v>16138.762049999999</v>
      </c>
      <c r="M978" s="12" cm="1">
        <f t="array" ref="M978">IF(($R$34+SUMPRODUCT(TRANSPOSE(D978:K978),$R$35:$R$42))&lt;0,"-",$R$34+SUMPRODUCT(TRANSPOSE(D978:K978),$R$35:$R$42))</f>
        <v>26993.349950353746</v>
      </c>
      <c r="N978" s="13">
        <f t="shared" si="85"/>
        <v>14869.145373318623</v>
      </c>
      <c r="O978" s="13">
        <f t="shared" si="86"/>
        <v>39117.554527388871</v>
      </c>
    </row>
    <row r="979" spans="1:15" x14ac:dyDescent="0.25">
      <c r="A979" s="1" t="s">
        <v>3</v>
      </c>
      <c r="B979" s="1" t="s">
        <v>4</v>
      </c>
      <c r="C979" s="1" t="s">
        <v>5</v>
      </c>
      <c r="D979" s="1">
        <v>48</v>
      </c>
      <c r="E979" s="1">
        <v>40.15</v>
      </c>
      <c r="F979" s="1">
        <v>0</v>
      </c>
      <c r="G979" s="7">
        <f t="shared" si="84"/>
        <v>0</v>
      </c>
      <c r="H979" s="7">
        <f t="shared" si="87"/>
        <v>0</v>
      </c>
      <c r="I979" s="7">
        <f t="shared" si="88"/>
        <v>1</v>
      </c>
      <c r="J979" s="7">
        <f t="shared" si="88"/>
        <v>0</v>
      </c>
      <c r="K979" s="7">
        <f t="shared" si="88"/>
        <v>0</v>
      </c>
      <c r="L979" s="11">
        <v>7804.1605</v>
      </c>
      <c r="M979" s="12" cm="1">
        <f t="array" ref="M979">IF(($R$34+SUMPRODUCT(TRANSPOSE(D979:K979),$R$35:$R$42))&lt;0,"-",$R$34+SUMPRODUCT(TRANSPOSE(D979:K979),$R$35:$R$42))</f>
        <v>12842.847099317798</v>
      </c>
      <c r="N979" s="13">
        <f t="shared" si="85"/>
        <v>718.64252228267469</v>
      </c>
      <c r="O979" s="13">
        <f t="shared" si="86"/>
        <v>24967.051676352923</v>
      </c>
    </row>
    <row r="980" spans="1:15" x14ac:dyDescent="0.25">
      <c r="A980" s="1" t="s">
        <v>3</v>
      </c>
      <c r="B980" s="1" t="s">
        <v>4</v>
      </c>
      <c r="C980" s="1" t="s">
        <v>5</v>
      </c>
      <c r="D980" s="1">
        <v>26</v>
      </c>
      <c r="E980" s="1">
        <v>29.15</v>
      </c>
      <c r="F980" s="1">
        <v>1</v>
      </c>
      <c r="G980" s="7">
        <f t="shared" si="84"/>
        <v>0</v>
      </c>
      <c r="H980" s="7">
        <f t="shared" si="87"/>
        <v>0</v>
      </c>
      <c r="I980" s="7">
        <f t="shared" si="88"/>
        <v>1</v>
      </c>
      <c r="J980" s="7">
        <f t="shared" si="88"/>
        <v>0</v>
      </c>
      <c r="K980" s="7">
        <f t="shared" si="88"/>
        <v>0</v>
      </c>
      <c r="L980" s="11">
        <v>2902.9065000000001</v>
      </c>
      <c r="M980" s="12" cm="1">
        <f t="array" ref="M980">IF(($R$34+SUMPRODUCT(TRANSPOSE(D980:K980),$R$35:$R$42))&lt;0,"-",$R$34+SUMPRODUCT(TRANSPOSE(D980:K980),$R$35:$R$42))</f>
        <v>3936.3798989260358</v>
      </c>
      <c r="N980" s="13" t="str">
        <f t="shared" si="85"/>
        <v>-</v>
      </c>
      <c r="O980" s="13">
        <f t="shared" si="86"/>
        <v>16060.584475961159</v>
      </c>
    </row>
    <row r="981" spans="1:15" x14ac:dyDescent="0.25">
      <c r="A981" s="1" t="s">
        <v>0</v>
      </c>
      <c r="B981" s="1" t="s">
        <v>4</v>
      </c>
      <c r="C981" s="1" t="s">
        <v>7</v>
      </c>
      <c r="D981" s="1">
        <v>45</v>
      </c>
      <c r="E981" s="1">
        <v>39.994999999999997</v>
      </c>
      <c r="F981" s="1">
        <v>3</v>
      </c>
      <c r="G981" s="7">
        <f t="shared" si="84"/>
        <v>1</v>
      </c>
      <c r="H981" s="7">
        <f t="shared" si="87"/>
        <v>0</v>
      </c>
      <c r="I981" s="7">
        <f t="shared" si="88"/>
        <v>0</v>
      </c>
      <c r="J981" s="7">
        <f t="shared" si="88"/>
        <v>0</v>
      </c>
      <c r="K981" s="7">
        <f t="shared" si="88"/>
        <v>1</v>
      </c>
      <c r="L981" s="11">
        <v>9704.6680500000002</v>
      </c>
      <c r="M981" s="12" cm="1">
        <f t="array" ref="M981">IF(($R$34+SUMPRODUCT(TRANSPOSE(D981:K981),$R$35:$R$42))&lt;0,"-",$R$34+SUMPRODUCT(TRANSPOSE(D981:K981),$R$35:$R$42))</f>
        <v>14612.541100626397</v>
      </c>
      <c r="N981" s="13">
        <f t="shared" si="85"/>
        <v>2488.3365235912734</v>
      </c>
      <c r="O981" s="13">
        <f t="shared" si="86"/>
        <v>26736.745677661522</v>
      </c>
    </row>
    <row r="982" spans="1:15" x14ac:dyDescent="0.25">
      <c r="A982" s="1" t="s">
        <v>0</v>
      </c>
      <c r="B982" s="1" t="s">
        <v>4</v>
      </c>
      <c r="C982" s="1" t="s">
        <v>5</v>
      </c>
      <c r="D982" s="1">
        <v>36</v>
      </c>
      <c r="E982" s="1">
        <v>29.92</v>
      </c>
      <c r="F982" s="1">
        <v>0</v>
      </c>
      <c r="G982" s="7">
        <f t="shared" si="84"/>
        <v>1</v>
      </c>
      <c r="H982" s="7">
        <f t="shared" si="87"/>
        <v>0</v>
      </c>
      <c r="I982" s="7">
        <f t="shared" si="88"/>
        <v>1</v>
      </c>
      <c r="J982" s="7">
        <f t="shared" si="88"/>
        <v>0</v>
      </c>
      <c r="K982" s="7">
        <f t="shared" si="88"/>
        <v>0</v>
      </c>
      <c r="L982" s="11">
        <v>4889.0367999999999</v>
      </c>
      <c r="M982" s="12" cm="1">
        <f t="array" ref="M982">IF(($R$34+SUMPRODUCT(TRANSPOSE(D982:K982),$R$35:$R$42))&lt;0,"-",$R$34+SUMPRODUCT(TRANSPOSE(D982:K982),$R$35:$R$42))</f>
        <v>6421.9361978258348</v>
      </c>
      <c r="N982" s="13" t="str">
        <f t="shared" si="85"/>
        <v>-</v>
      </c>
      <c r="O982" s="13">
        <f t="shared" si="86"/>
        <v>18546.140774860956</v>
      </c>
    </row>
    <row r="983" spans="1:15" x14ac:dyDescent="0.25">
      <c r="A983" s="1" t="s">
        <v>3</v>
      </c>
      <c r="B983" s="1" t="s">
        <v>4</v>
      </c>
      <c r="C983" s="1" t="s">
        <v>7</v>
      </c>
      <c r="D983" s="1">
        <v>54</v>
      </c>
      <c r="E983" s="1">
        <v>25.46</v>
      </c>
      <c r="F983" s="1">
        <v>1</v>
      </c>
      <c r="G983" s="7">
        <f t="shared" si="84"/>
        <v>0</v>
      </c>
      <c r="H983" s="7">
        <f t="shared" si="87"/>
        <v>0</v>
      </c>
      <c r="I983" s="7">
        <f t="shared" si="88"/>
        <v>0</v>
      </c>
      <c r="J983" s="7">
        <f t="shared" si="88"/>
        <v>0</v>
      </c>
      <c r="K983" s="7">
        <f t="shared" si="88"/>
        <v>1</v>
      </c>
      <c r="L983" s="11">
        <v>25517.11363</v>
      </c>
      <c r="M983" s="12" cm="1">
        <f t="array" ref="M983">IF(($R$34+SUMPRODUCT(TRANSPOSE(D983:K983),$R$35:$R$42))&lt;0,"-",$R$34+SUMPRODUCT(TRANSPOSE(D983:K983),$R$35:$R$42))</f>
        <v>10911.755975535598</v>
      </c>
      <c r="N983" s="13" t="str">
        <f t="shared" si="85"/>
        <v>-</v>
      </c>
      <c r="O983" s="13">
        <f t="shared" si="86"/>
        <v>23035.960552570723</v>
      </c>
    </row>
    <row r="984" spans="1:15" x14ac:dyDescent="0.25">
      <c r="A984" s="1" t="s">
        <v>3</v>
      </c>
      <c r="B984" s="1" t="s">
        <v>4</v>
      </c>
      <c r="C984" s="1" t="s">
        <v>7</v>
      </c>
      <c r="D984" s="1">
        <v>34</v>
      </c>
      <c r="E984" s="1">
        <v>21.375</v>
      </c>
      <c r="F984" s="1">
        <v>0</v>
      </c>
      <c r="G984" s="7">
        <f t="shared" si="84"/>
        <v>0</v>
      </c>
      <c r="H984" s="7">
        <f t="shared" si="87"/>
        <v>0</v>
      </c>
      <c r="I984" s="7">
        <f t="shared" si="88"/>
        <v>0</v>
      </c>
      <c r="J984" s="7">
        <f t="shared" si="88"/>
        <v>0</v>
      </c>
      <c r="K984" s="7">
        <f t="shared" si="88"/>
        <v>1</v>
      </c>
      <c r="L984" s="11">
        <v>4500.33925</v>
      </c>
      <c r="M984" s="12" cm="1">
        <f t="array" ref="M984">IF(($R$34+SUMPRODUCT(TRANSPOSE(D984:K984),$R$35:$R$42))&lt;0,"-",$R$34+SUMPRODUCT(TRANSPOSE(D984:K984),$R$35:$R$42))</f>
        <v>3913.523121639224</v>
      </c>
      <c r="N984" s="13" t="str">
        <f t="shared" si="85"/>
        <v>-</v>
      </c>
      <c r="O984" s="13">
        <f t="shared" si="86"/>
        <v>16037.727698674347</v>
      </c>
    </row>
    <row r="985" spans="1:15" x14ac:dyDescent="0.25">
      <c r="A985" s="1" t="s">
        <v>3</v>
      </c>
      <c r="B985" s="1" t="s">
        <v>1</v>
      </c>
      <c r="C985" s="1" t="s">
        <v>2</v>
      </c>
      <c r="D985" s="1">
        <v>31</v>
      </c>
      <c r="E985" s="1">
        <v>25.9</v>
      </c>
      <c r="F985" s="1">
        <v>3</v>
      </c>
      <c r="G985" s="7">
        <f t="shared" si="84"/>
        <v>0</v>
      </c>
      <c r="H985" s="7">
        <f t="shared" si="87"/>
        <v>1</v>
      </c>
      <c r="I985" s="7">
        <f t="shared" si="88"/>
        <v>0</v>
      </c>
      <c r="J985" s="7">
        <f t="shared" si="88"/>
        <v>0</v>
      </c>
      <c r="K985" s="7">
        <f t="shared" si="88"/>
        <v>0</v>
      </c>
      <c r="L985" s="11">
        <v>19199.944</v>
      </c>
      <c r="M985" s="12" cm="1">
        <f t="array" ref="M985">IF(($R$34+SUMPRODUCT(TRANSPOSE(D985:K985),$R$35:$R$42))&lt;0,"-",$R$34+SUMPRODUCT(TRANSPOSE(D985:K985),$R$35:$R$42))</f>
        <v>28992.789627675593</v>
      </c>
      <c r="N985" s="13">
        <f t="shared" si="85"/>
        <v>16868.585050640468</v>
      </c>
      <c r="O985" s="13">
        <f t="shared" si="86"/>
        <v>41116.994204710718</v>
      </c>
    </row>
    <row r="986" spans="1:15" x14ac:dyDescent="0.25">
      <c r="A986" s="1" t="s">
        <v>0</v>
      </c>
      <c r="B986" s="1" t="s">
        <v>4</v>
      </c>
      <c r="C986" s="1" t="s">
        <v>7</v>
      </c>
      <c r="D986" s="1">
        <v>27</v>
      </c>
      <c r="E986" s="1">
        <v>30.59</v>
      </c>
      <c r="F986" s="1">
        <v>1</v>
      </c>
      <c r="G986" s="7">
        <f t="shared" si="84"/>
        <v>1</v>
      </c>
      <c r="H986" s="7">
        <f t="shared" si="87"/>
        <v>0</v>
      </c>
      <c r="I986" s="7">
        <f t="shared" si="88"/>
        <v>0</v>
      </c>
      <c r="J986" s="7">
        <f t="shared" si="88"/>
        <v>0</v>
      </c>
      <c r="K986" s="7">
        <f t="shared" si="88"/>
        <v>1</v>
      </c>
      <c r="L986" s="11">
        <v>16796.411940000002</v>
      </c>
      <c r="M986" s="12" cm="1">
        <f t="array" ref="M986">IF(($R$34+SUMPRODUCT(TRANSPOSE(D986:K986),$R$35:$R$42))&lt;0,"-",$R$34+SUMPRODUCT(TRANSPOSE(D986:K986),$R$35:$R$42))</f>
        <v>5848.0112334459154</v>
      </c>
      <c r="N986" s="13" t="str">
        <f t="shared" si="85"/>
        <v>-</v>
      </c>
      <c r="O986" s="13">
        <f t="shared" si="86"/>
        <v>17972.215810481037</v>
      </c>
    </row>
    <row r="987" spans="1:15" x14ac:dyDescent="0.25">
      <c r="A987" s="1" t="s">
        <v>3</v>
      </c>
      <c r="B987" s="1" t="s">
        <v>4</v>
      </c>
      <c r="C987" s="1" t="s">
        <v>7</v>
      </c>
      <c r="D987" s="1">
        <v>20</v>
      </c>
      <c r="E987" s="1">
        <v>30.114999999999998</v>
      </c>
      <c r="F987" s="1">
        <v>5</v>
      </c>
      <c r="G987" s="7">
        <f t="shared" si="84"/>
        <v>0</v>
      </c>
      <c r="H987" s="7">
        <f t="shared" si="87"/>
        <v>0</v>
      </c>
      <c r="I987" s="7">
        <f t="shared" si="88"/>
        <v>0</v>
      </c>
      <c r="J987" s="7">
        <f t="shared" si="88"/>
        <v>0</v>
      </c>
      <c r="K987" s="7">
        <f t="shared" si="88"/>
        <v>1</v>
      </c>
      <c r="L987" s="11">
        <v>4915.0598499999996</v>
      </c>
      <c r="M987" s="12" cm="1">
        <f t="array" ref="M987">IF(($R$34+SUMPRODUCT(TRANSPOSE(D987:K987),$R$35:$R$42))&lt;0,"-",$R$34+SUMPRODUCT(TRANSPOSE(D987:K987),$R$35:$R$42))</f>
        <v>5659.5876964207564</v>
      </c>
      <c r="N987" s="13" t="str">
        <f t="shared" si="85"/>
        <v>-</v>
      </c>
      <c r="O987" s="13">
        <f t="shared" si="86"/>
        <v>17783.792273455882</v>
      </c>
    </row>
    <row r="988" spans="1:15" x14ac:dyDescent="0.25">
      <c r="A988" s="1" t="s">
        <v>0</v>
      </c>
      <c r="B988" s="1" t="s">
        <v>4</v>
      </c>
      <c r="C988" s="1" t="s">
        <v>2</v>
      </c>
      <c r="D988" s="1">
        <v>44</v>
      </c>
      <c r="E988" s="1">
        <v>25.8</v>
      </c>
      <c r="F988" s="1">
        <v>1</v>
      </c>
      <c r="G988" s="7">
        <f t="shared" si="84"/>
        <v>1</v>
      </c>
      <c r="H988" s="7">
        <f t="shared" si="87"/>
        <v>0</v>
      </c>
      <c r="I988" s="7">
        <f t="shared" si="88"/>
        <v>0</v>
      </c>
      <c r="J988" s="7">
        <f t="shared" si="88"/>
        <v>0</v>
      </c>
      <c r="K988" s="7">
        <f t="shared" si="88"/>
        <v>0</v>
      </c>
      <c r="L988" s="11">
        <v>7624.63</v>
      </c>
      <c r="M988" s="12" cm="1">
        <f t="array" ref="M988">IF(($R$34+SUMPRODUCT(TRANSPOSE(D988:K988),$R$35:$R$42))&lt;0,"-",$R$34+SUMPRODUCT(TRANSPOSE(D988:K988),$R$35:$R$42))</f>
        <v>7629.7815924840761</v>
      </c>
      <c r="N988" s="13" t="str">
        <f t="shared" si="85"/>
        <v>-</v>
      </c>
      <c r="O988" s="13">
        <f t="shared" si="86"/>
        <v>19753.986169519201</v>
      </c>
    </row>
    <row r="989" spans="1:15" x14ac:dyDescent="0.25">
      <c r="A989" s="1" t="s">
        <v>3</v>
      </c>
      <c r="B989" s="1" t="s">
        <v>4</v>
      </c>
      <c r="C989" s="1" t="s">
        <v>6</v>
      </c>
      <c r="D989" s="1">
        <v>43</v>
      </c>
      <c r="E989" s="1">
        <v>30.114999999999998</v>
      </c>
      <c r="F989" s="1">
        <v>3</v>
      </c>
      <c r="G989" s="7">
        <f t="shared" si="84"/>
        <v>0</v>
      </c>
      <c r="H989" s="7">
        <f t="shared" si="87"/>
        <v>0</v>
      </c>
      <c r="I989" s="7">
        <f t="shared" si="88"/>
        <v>0</v>
      </c>
      <c r="J989" s="7">
        <f t="shared" si="88"/>
        <v>1</v>
      </c>
      <c r="K989" s="7">
        <f t="shared" si="88"/>
        <v>0</v>
      </c>
      <c r="L989" s="11">
        <v>8410.0468500000006</v>
      </c>
      <c r="M989" s="12" cm="1">
        <f t="array" ref="M989">IF(($R$34+SUMPRODUCT(TRANSPOSE(D989:K989),$R$35:$R$42))&lt;0,"-",$R$34+SUMPRODUCT(TRANSPOSE(D989:K989),$R$35:$R$42))</f>
        <v>10263.318815056853</v>
      </c>
      <c r="N989" s="13" t="str">
        <f t="shared" si="85"/>
        <v>-</v>
      </c>
      <c r="O989" s="13">
        <f t="shared" si="86"/>
        <v>22387.523392091978</v>
      </c>
    </row>
    <row r="990" spans="1:15" x14ac:dyDescent="0.25">
      <c r="A990" s="1" t="s">
        <v>0</v>
      </c>
      <c r="B990" s="1" t="s">
        <v>4</v>
      </c>
      <c r="C990" s="1" t="s">
        <v>6</v>
      </c>
      <c r="D990" s="1">
        <v>45</v>
      </c>
      <c r="E990" s="1">
        <v>27.645</v>
      </c>
      <c r="F990" s="1">
        <v>1</v>
      </c>
      <c r="G990" s="7">
        <f t="shared" si="84"/>
        <v>1</v>
      </c>
      <c r="H990" s="7">
        <f t="shared" si="87"/>
        <v>0</v>
      </c>
      <c r="I990" s="7">
        <f t="shared" si="88"/>
        <v>0</v>
      </c>
      <c r="J990" s="7">
        <f t="shared" si="88"/>
        <v>1</v>
      </c>
      <c r="K990" s="7">
        <f t="shared" si="88"/>
        <v>0</v>
      </c>
      <c r="L990" s="11">
        <v>28340.188849999999</v>
      </c>
      <c r="M990" s="12" cm="1">
        <f t="array" ref="M990">IF(($R$34+SUMPRODUCT(TRANSPOSE(D990:K990),$R$35:$R$42))&lt;0,"-",$R$34+SUMPRODUCT(TRANSPOSE(D990:K990),$R$35:$R$42))</f>
        <v>9119.5369588096146</v>
      </c>
      <c r="N990" s="13" t="str">
        <f t="shared" si="85"/>
        <v>-</v>
      </c>
      <c r="O990" s="13">
        <f t="shared" si="86"/>
        <v>21243.74153584474</v>
      </c>
    </row>
    <row r="991" spans="1:15" x14ac:dyDescent="0.25">
      <c r="A991" s="1" t="s">
        <v>3</v>
      </c>
      <c r="B991" s="1" t="s">
        <v>4</v>
      </c>
      <c r="C991" s="1" t="s">
        <v>7</v>
      </c>
      <c r="D991" s="1">
        <v>34</v>
      </c>
      <c r="E991" s="1">
        <v>34.674999999999997</v>
      </c>
      <c r="F991" s="1">
        <v>0</v>
      </c>
      <c r="G991" s="7">
        <f t="shared" si="84"/>
        <v>0</v>
      </c>
      <c r="H991" s="7">
        <f t="shared" si="87"/>
        <v>0</v>
      </c>
      <c r="I991" s="7">
        <f t="shared" si="88"/>
        <v>0</v>
      </c>
      <c r="J991" s="7">
        <f t="shared" si="88"/>
        <v>0</v>
      </c>
      <c r="K991" s="7">
        <f t="shared" si="88"/>
        <v>1</v>
      </c>
      <c r="L991" s="11">
        <v>4518.8262500000001</v>
      </c>
      <c r="M991" s="12" cm="1">
        <f t="array" ref="M991">IF(($R$34+SUMPRODUCT(TRANSPOSE(D991:K991),$R$35:$R$42))&lt;0,"-",$R$34+SUMPRODUCT(TRANSPOSE(D991:K991),$R$35:$R$42))</f>
        <v>8424.7960546633949</v>
      </c>
      <c r="N991" s="13" t="str">
        <f t="shared" si="85"/>
        <v>-</v>
      </c>
      <c r="O991" s="13">
        <f t="shared" si="86"/>
        <v>20549.000631698516</v>
      </c>
    </row>
    <row r="992" spans="1:15" x14ac:dyDescent="0.25">
      <c r="A992" s="1" t="s">
        <v>0</v>
      </c>
      <c r="B992" s="1" t="s">
        <v>1</v>
      </c>
      <c r="C992" s="1" t="s">
        <v>7</v>
      </c>
      <c r="D992" s="1">
        <v>24</v>
      </c>
      <c r="E992" s="1">
        <v>20.52</v>
      </c>
      <c r="F992" s="1">
        <v>0</v>
      </c>
      <c r="G992" s="7">
        <f t="shared" si="84"/>
        <v>1</v>
      </c>
      <c r="H992" s="7">
        <f t="shared" si="87"/>
        <v>1</v>
      </c>
      <c r="I992" s="7">
        <f t="shared" si="88"/>
        <v>0</v>
      </c>
      <c r="J992" s="7">
        <f t="shared" si="88"/>
        <v>0</v>
      </c>
      <c r="K992" s="7">
        <f t="shared" si="88"/>
        <v>1</v>
      </c>
      <c r="L992" s="11">
        <v>14571.890799999999</v>
      </c>
      <c r="M992" s="12" cm="1">
        <f t="array" ref="M992">IF(($R$34+SUMPRODUCT(TRANSPOSE(D992:K992),$R$35:$R$42))&lt;0,"-",$R$34+SUMPRODUCT(TRANSPOSE(D992:K992),$R$35:$R$42))</f>
        <v>25034.798094736369</v>
      </c>
      <c r="N992" s="13">
        <f t="shared" si="85"/>
        <v>12910.593517701245</v>
      </c>
      <c r="O992" s="13">
        <f t="shared" si="86"/>
        <v>37159.002671771494</v>
      </c>
    </row>
    <row r="993" spans="1:15" x14ac:dyDescent="0.25">
      <c r="A993" s="1" t="s">
        <v>0</v>
      </c>
      <c r="B993" s="1" t="s">
        <v>4</v>
      </c>
      <c r="C993" s="1" t="s">
        <v>2</v>
      </c>
      <c r="D993" s="1">
        <v>26</v>
      </c>
      <c r="E993" s="1">
        <v>19.8</v>
      </c>
      <c r="F993" s="1">
        <v>1</v>
      </c>
      <c r="G993" s="7">
        <f t="shared" si="84"/>
        <v>1</v>
      </c>
      <c r="H993" s="7">
        <f t="shared" si="87"/>
        <v>0</v>
      </c>
      <c r="I993" s="7">
        <f t="shared" si="88"/>
        <v>0</v>
      </c>
      <c r="J993" s="7">
        <f t="shared" si="88"/>
        <v>0</v>
      </c>
      <c r="K993" s="7">
        <f t="shared" si="88"/>
        <v>0</v>
      </c>
      <c r="L993" s="11">
        <v>3378.91</v>
      </c>
      <c r="M993" s="12" cm="1">
        <f t="array" ref="M993">IF(($R$34+SUMPRODUCT(TRANSPOSE(D993:K993),$R$35:$R$42))&lt;0,"-",$R$34+SUMPRODUCT(TRANSPOSE(D993:K993),$R$35:$R$42))</f>
        <v>971.20652514677386</v>
      </c>
      <c r="N993" s="13" t="str">
        <f t="shared" si="85"/>
        <v>-</v>
      </c>
      <c r="O993" s="13">
        <f t="shared" si="86"/>
        <v>13095.411102181897</v>
      </c>
    </row>
    <row r="994" spans="1:15" x14ac:dyDescent="0.25">
      <c r="A994" s="1" t="s">
        <v>0</v>
      </c>
      <c r="B994" s="1" t="s">
        <v>4</v>
      </c>
      <c r="C994" s="1" t="s">
        <v>7</v>
      </c>
      <c r="D994" s="1">
        <v>38</v>
      </c>
      <c r="E994" s="1">
        <v>27.835000000000001</v>
      </c>
      <c r="F994" s="1">
        <v>2</v>
      </c>
      <c r="G994" s="7">
        <f t="shared" si="84"/>
        <v>1</v>
      </c>
      <c r="H994" s="7">
        <f t="shared" si="87"/>
        <v>0</v>
      </c>
      <c r="I994" s="7">
        <f t="shared" si="88"/>
        <v>0</v>
      </c>
      <c r="J994" s="7">
        <f t="shared" si="88"/>
        <v>0</v>
      </c>
      <c r="K994" s="7">
        <f t="shared" si="88"/>
        <v>1</v>
      </c>
      <c r="L994" s="11">
        <v>7144.86265</v>
      </c>
      <c r="M994" s="12" cm="1">
        <f t="array" ref="M994">IF(($R$34+SUMPRODUCT(TRANSPOSE(D994:K994),$R$35:$R$42))&lt;0,"-",$R$34+SUMPRODUCT(TRANSPOSE(D994:K994),$R$35:$R$42))</f>
        <v>8214.4536918080121</v>
      </c>
      <c r="N994" s="13" t="str">
        <f t="shared" si="85"/>
        <v>-</v>
      </c>
      <c r="O994" s="13">
        <f t="shared" si="86"/>
        <v>20338.658268843137</v>
      </c>
    </row>
    <row r="995" spans="1:15" x14ac:dyDescent="0.25">
      <c r="A995" s="1" t="s">
        <v>0</v>
      </c>
      <c r="B995" s="1" t="s">
        <v>4</v>
      </c>
      <c r="C995" s="1" t="s">
        <v>2</v>
      </c>
      <c r="D995" s="1">
        <v>50</v>
      </c>
      <c r="E995" s="1">
        <v>31.6</v>
      </c>
      <c r="F995" s="1">
        <v>2</v>
      </c>
      <c r="G995" s="7">
        <f t="shared" si="84"/>
        <v>1</v>
      </c>
      <c r="H995" s="7">
        <f t="shared" si="87"/>
        <v>0</v>
      </c>
      <c r="I995" s="7">
        <f t="shared" si="88"/>
        <v>0</v>
      </c>
      <c r="J995" s="7">
        <f t="shared" si="88"/>
        <v>0</v>
      </c>
      <c r="K995" s="7">
        <f t="shared" si="88"/>
        <v>0</v>
      </c>
      <c r="L995" s="11">
        <v>10118.424000000001</v>
      </c>
      <c r="M995" s="12" cm="1">
        <f t="array" ref="M995">IF(($R$34+SUMPRODUCT(TRANSPOSE(D995:K995),$R$35:$R$42))&lt;0,"-",$R$34+SUMPRODUCT(TRANSPOSE(D995:K995),$R$35:$R$42))</f>
        <v>11613.742283800169</v>
      </c>
      <c r="N995" s="13" t="str">
        <f t="shared" si="85"/>
        <v>-</v>
      </c>
      <c r="O995" s="13">
        <f t="shared" si="86"/>
        <v>23737.946860835291</v>
      </c>
    </row>
    <row r="996" spans="1:15" x14ac:dyDescent="0.25">
      <c r="A996" s="1" t="s">
        <v>3</v>
      </c>
      <c r="B996" s="1" t="s">
        <v>4</v>
      </c>
      <c r="C996" s="1" t="s">
        <v>5</v>
      </c>
      <c r="D996" s="1">
        <v>38</v>
      </c>
      <c r="E996" s="1">
        <v>28.27</v>
      </c>
      <c r="F996" s="1">
        <v>1</v>
      </c>
      <c r="G996" s="7">
        <f t="shared" si="84"/>
        <v>0</v>
      </c>
      <c r="H996" s="7">
        <f t="shared" si="87"/>
        <v>0</v>
      </c>
      <c r="I996" s="7">
        <f t="shared" si="88"/>
        <v>1</v>
      </c>
      <c r="J996" s="7">
        <f t="shared" si="88"/>
        <v>0</v>
      </c>
      <c r="K996" s="7">
        <f t="shared" si="88"/>
        <v>0</v>
      </c>
      <c r="L996" s="11">
        <v>5484.4673000000003</v>
      </c>
      <c r="M996" s="12" cm="1">
        <f t="array" ref="M996">IF(($R$34+SUMPRODUCT(TRANSPOSE(D996:K996),$R$35:$R$42))&lt;0,"-",$R$34+SUMPRODUCT(TRANSPOSE(D996:K996),$R$35:$R$42))</f>
        <v>6720.165890196673</v>
      </c>
      <c r="N996" s="13" t="str">
        <f t="shared" si="85"/>
        <v>-</v>
      </c>
      <c r="O996" s="13">
        <f t="shared" si="86"/>
        <v>18844.370467231798</v>
      </c>
    </row>
    <row r="997" spans="1:15" x14ac:dyDescent="0.25">
      <c r="A997" s="1" t="s">
        <v>0</v>
      </c>
      <c r="B997" s="1" t="s">
        <v>1</v>
      </c>
      <c r="C997" s="1" t="s">
        <v>6</v>
      </c>
      <c r="D997" s="1">
        <v>27</v>
      </c>
      <c r="E997" s="1">
        <v>20.045000000000002</v>
      </c>
      <c r="F997" s="1">
        <v>3</v>
      </c>
      <c r="G997" s="7">
        <f t="shared" si="84"/>
        <v>1</v>
      </c>
      <c r="H997" s="7">
        <f t="shared" si="87"/>
        <v>1</v>
      </c>
      <c r="I997" s="7">
        <f t="shared" si="88"/>
        <v>0</v>
      </c>
      <c r="J997" s="7">
        <f t="shared" si="88"/>
        <v>1</v>
      </c>
      <c r="K997" s="7">
        <f t="shared" si="88"/>
        <v>0</v>
      </c>
      <c r="L997" s="11">
        <v>16420.494549999999</v>
      </c>
      <c r="M997" s="12" cm="1">
        <f t="array" ref="M997">IF(($R$34+SUMPRODUCT(TRANSPOSE(D997:K997),$R$35:$R$42))&lt;0,"-",$R$34+SUMPRODUCT(TRANSPOSE(D997:K997),$R$35:$R$42))</f>
        <v>26717.787997906024</v>
      </c>
      <c r="N997" s="13">
        <f t="shared" si="85"/>
        <v>14593.5834208709</v>
      </c>
      <c r="O997" s="13">
        <f t="shared" si="86"/>
        <v>38841.992574941149</v>
      </c>
    </row>
    <row r="998" spans="1:15" x14ac:dyDescent="0.25">
      <c r="A998" s="1" t="s">
        <v>0</v>
      </c>
      <c r="B998" s="1" t="s">
        <v>4</v>
      </c>
      <c r="C998" s="1" t="s">
        <v>7</v>
      </c>
      <c r="D998" s="1">
        <v>39</v>
      </c>
      <c r="E998" s="1">
        <v>23.274999999999999</v>
      </c>
      <c r="F998" s="1">
        <v>3</v>
      </c>
      <c r="G998" s="7">
        <f t="shared" si="84"/>
        <v>1</v>
      </c>
      <c r="H998" s="7">
        <f t="shared" si="87"/>
        <v>0</v>
      </c>
      <c r="I998" s="7">
        <f t="shared" si="88"/>
        <v>0</v>
      </c>
      <c r="J998" s="7">
        <f t="shared" si="88"/>
        <v>0</v>
      </c>
      <c r="K998" s="7">
        <f t="shared" si="88"/>
        <v>1</v>
      </c>
      <c r="L998" s="11">
        <v>7986.4752500000004</v>
      </c>
      <c r="M998" s="12" cm="1">
        <f t="array" ref="M998">IF(($R$34+SUMPRODUCT(TRANSPOSE(D998:K998),$R$35:$R$42))&lt;0,"-",$R$34+SUMPRODUCT(TRANSPOSE(D998:K998),$R$35:$R$42))</f>
        <v>7400.0884410290637</v>
      </c>
      <c r="N998" s="13" t="str">
        <f t="shared" si="85"/>
        <v>-</v>
      </c>
      <c r="O998" s="13">
        <f t="shared" si="86"/>
        <v>19524.293018064185</v>
      </c>
    </row>
    <row r="999" spans="1:15" x14ac:dyDescent="0.25">
      <c r="A999" s="1" t="s">
        <v>0</v>
      </c>
      <c r="B999" s="1" t="s">
        <v>4</v>
      </c>
      <c r="C999" s="1" t="s">
        <v>2</v>
      </c>
      <c r="D999" s="1">
        <v>39</v>
      </c>
      <c r="E999" s="1">
        <v>34.1</v>
      </c>
      <c r="F999" s="1">
        <v>3</v>
      </c>
      <c r="G999" s="7">
        <f t="shared" si="84"/>
        <v>1</v>
      </c>
      <c r="H999" s="7">
        <f t="shared" si="87"/>
        <v>0</v>
      </c>
      <c r="I999" s="7">
        <f t="shared" si="88"/>
        <v>0</v>
      </c>
      <c r="J999" s="7">
        <f t="shared" si="88"/>
        <v>0</v>
      </c>
      <c r="K999" s="7">
        <f t="shared" si="88"/>
        <v>0</v>
      </c>
      <c r="L999" s="11">
        <v>7418.5219999999999</v>
      </c>
      <c r="M999" s="12" cm="1">
        <f t="array" ref="M999">IF(($R$34+SUMPRODUCT(TRANSPOSE(D999:K999),$R$35:$R$42))&lt;0,"-",$R$34+SUMPRODUCT(TRANSPOSE(D999:K999),$R$35:$R$42))</f>
        <v>10111.806585065573</v>
      </c>
      <c r="N999" s="13" t="str">
        <f t="shared" si="85"/>
        <v>-</v>
      </c>
      <c r="O999" s="13">
        <f t="shared" si="86"/>
        <v>22236.011162100694</v>
      </c>
    </row>
    <row r="1000" spans="1:15" x14ac:dyDescent="0.25">
      <c r="A1000" s="1" t="s">
        <v>0</v>
      </c>
      <c r="B1000" s="1" t="s">
        <v>4</v>
      </c>
      <c r="C1000" s="1" t="s">
        <v>5</v>
      </c>
      <c r="D1000" s="1">
        <v>63</v>
      </c>
      <c r="E1000" s="1">
        <v>36.85</v>
      </c>
      <c r="F1000" s="1">
        <v>0</v>
      </c>
      <c r="G1000" s="7">
        <f t="shared" si="84"/>
        <v>1</v>
      </c>
      <c r="H1000" s="7">
        <f t="shared" si="87"/>
        <v>0</v>
      </c>
      <c r="I1000" s="7">
        <f t="shared" si="88"/>
        <v>1</v>
      </c>
      <c r="J1000" s="7">
        <f t="shared" si="88"/>
        <v>0</v>
      </c>
      <c r="K1000" s="7">
        <f t="shared" si="88"/>
        <v>0</v>
      </c>
      <c r="L1000" s="11">
        <v>13887.968500000001</v>
      </c>
      <c r="M1000" s="12" cm="1">
        <f t="array" ref="M1000">IF(($R$34+SUMPRODUCT(TRANSPOSE(D1000:K1000),$R$35:$R$42))&lt;0,"-",$R$34+SUMPRODUCT(TRANSPOSE(D1000:K1000),$R$35:$R$42))</f>
        <v>15707.668349857351</v>
      </c>
      <c r="N1000" s="13">
        <f t="shared" si="85"/>
        <v>3583.4637728222278</v>
      </c>
      <c r="O1000" s="13">
        <f t="shared" si="86"/>
        <v>27831.872926892473</v>
      </c>
    </row>
    <row r="1001" spans="1:15" x14ac:dyDescent="0.25">
      <c r="A1001" s="1" t="s">
        <v>0</v>
      </c>
      <c r="B1001" s="1" t="s">
        <v>4</v>
      </c>
      <c r="C1001" s="1" t="s">
        <v>7</v>
      </c>
      <c r="D1001" s="1">
        <v>33</v>
      </c>
      <c r="E1001" s="1">
        <v>36.29</v>
      </c>
      <c r="F1001" s="1">
        <v>3</v>
      </c>
      <c r="G1001" s="7">
        <f t="shared" si="84"/>
        <v>1</v>
      </c>
      <c r="H1001" s="7">
        <f t="shared" si="87"/>
        <v>0</v>
      </c>
      <c r="I1001" s="7">
        <f t="shared" si="88"/>
        <v>0</v>
      </c>
      <c r="J1001" s="7">
        <f t="shared" si="88"/>
        <v>0</v>
      </c>
      <c r="K1001" s="7">
        <f t="shared" si="88"/>
        <v>1</v>
      </c>
      <c r="L1001" s="11">
        <v>6551.7501000000002</v>
      </c>
      <c r="M1001" s="12" cm="1">
        <f t="array" ref="M1001">IF(($R$34+SUMPRODUCT(TRANSPOSE(D1001:K1001),$R$35:$R$42))&lt;0,"-",$R$34+SUMPRODUCT(TRANSPOSE(D1001:K1001),$R$35:$R$42))</f>
        <v>10273.553124550061</v>
      </c>
      <c r="N1001" s="13" t="str">
        <f t="shared" si="85"/>
        <v>-</v>
      </c>
      <c r="O1001" s="13">
        <f t="shared" si="86"/>
        <v>22397.757701585186</v>
      </c>
    </row>
    <row r="1002" spans="1:15" x14ac:dyDescent="0.25">
      <c r="A1002" s="1" t="s">
        <v>0</v>
      </c>
      <c r="B1002" s="1" t="s">
        <v>4</v>
      </c>
      <c r="C1002" s="1" t="s">
        <v>6</v>
      </c>
      <c r="D1002" s="1">
        <v>36</v>
      </c>
      <c r="E1002" s="1">
        <v>26.885000000000002</v>
      </c>
      <c r="F1002" s="1">
        <v>0</v>
      </c>
      <c r="G1002" s="7">
        <f t="shared" si="84"/>
        <v>1</v>
      </c>
      <c r="H1002" s="7">
        <f t="shared" si="87"/>
        <v>0</v>
      </c>
      <c r="I1002" s="7">
        <f t="shared" si="88"/>
        <v>0</v>
      </c>
      <c r="J1002" s="7">
        <f t="shared" si="88"/>
        <v>1</v>
      </c>
      <c r="K1002" s="7">
        <f t="shared" si="88"/>
        <v>0</v>
      </c>
      <c r="L1002" s="11">
        <v>5267.8181500000001</v>
      </c>
      <c r="M1002" s="12" cm="1">
        <f t="array" ref="M1002">IF(($R$34+SUMPRODUCT(TRANSPOSE(D1002:K1002),$R$35:$R$42))&lt;0,"-",$R$34+SUMPRODUCT(TRANSPOSE(D1002:K1002),$R$35:$R$42))</f>
        <v>6074.5422160801099</v>
      </c>
      <c r="N1002" s="13" t="str">
        <f t="shared" si="85"/>
        <v>-</v>
      </c>
      <c r="O1002" s="13">
        <f t="shared" si="86"/>
        <v>18198.746793115235</v>
      </c>
    </row>
    <row r="1003" spans="1:15" x14ac:dyDescent="0.25">
      <c r="A1003" s="1" t="s">
        <v>3</v>
      </c>
      <c r="B1003" s="1" t="s">
        <v>1</v>
      </c>
      <c r="C1003" s="1" t="s">
        <v>6</v>
      </c>
      <c r="D1003" s="1">
        <v>30</v>
      </c>
      <c r="E1003" s="1">
        <v>22.99</v>
      </c>
      <c r="F1003" s="1">
        <v>2</v>
      </c>
      <c r="G1003" s="7">
        <f t="shared" si="84"/>
        <v>0</v>
      </c>
      <c r="H1003" s="7">
        <f t="shared" si="87"/>
        <v>1</v>
      </c>
      <c r="I1003" s="7">
        <f t="shared" si="88"/>
        <v>0</v>
      </c>
      <c r="J1003" s="7">
        <f t="shared" si="88"/>
        <v>1</v>
      </c>
      <c r="K1003" s="7">
        <f t="shared" si="88"/>
        <v>0</v>
      </c>
      <c r="L1003" s="11">
        <v>17361.766100000001</v>
      </c>
      <c r="M1003" s="12" cm="1">
        <f t="array" ref="M1003">IF(($R$34+SUMPRODUCT(TRANSPOSE(D1003:K1003),$R$35:$R$42))&lt;0,"-",$R$34+SUMPRODUCT(TRANSPOSE(D1003:K1003),$R$35:$R$42))</f>
        <v>27880.466871857752</v>
      </c>
      <c r="N1003" s="13">
        <f t="shared" si="85"/>
        <v>15756.262294822629</v>
      </c>
      <c r="O1003" s="13">
        <f t="shared" si="86"/>
        <v>40004.671448892877</v>
      </c>
    </row>
    <row r="1004" spans="1:15" x14ac:dyDescent="0.25">
      <c r="A1004" s="1" t="s">
        <v>3</v>
      </c>
      <c r="B1004" s="1" t="s">
        <v>1</v>
      </c>
      <c r="C1004" s="1" t="s">
        <v>2</v>
      </c>
      <c r="D1004" s="1">
        <v>24</v>
      </c>
      <c r="E1004" s="1">
        <v>32.700000000000003</v>
      </c>
      <c r="F1004" s="1">
        <v>0</v>
      </c>
      <c r="G1004" s="7">
        <f t="shared" si="84"/>
        <v>0</v>
      </c>
      <c r="H1004" s="7">
        <f t="shared" si="87"/>
        <v>1</v>
      </c>
      <c r="I1004" s="7">
        <f t="shared" si="88"/>
        <v>0</v>
      </c>
      <c r="J1004" s="7">
        <f t="shared" si="88"/>
        <v>0</v>
      </c>
      <c r="K1004" s="7">
        <f t="shared" si="88"/>
        <v>0</v>
      </c>
      <c r="L1004" s="11">
        <v>34472.841</v>
      </c>
      <c r="M1004" s="12" cm="1">
        <f t="array" ref="M1004">IF(($R$34+SUMPRODUCT(TRANSPOSE(D1004:K1004),$R$35:$R$42))&lt;0,"-",$R$34+SUMPRODUCT(TRANSPOSE(D1004:K1004),$R$35:$R$42))</f>
        <v>28074.809009020471</v>
      </c>
      <c r="N1004" s="13">
        <f t="shared" si="85"/>
        <v>15950.604431985348</v>
      </c>
      <c r="O1004" s="13">
        <f t="shared" si="86"/>
        <v>40199.013586055597</v>
      </c>
    </row>
    <row r="1005" spans="1:15" x14ac:dyDescent="0.25">
      <c r="A1005" s="1" t="s">
        <v>3</v>
      </c>
      <c r="B1005" s="1" t="s">
        <v>4</v>
      </c>
      <c r="C1005" s="1" t="s">
        <v>2</v>
      </c>
      <c r="D1005" s="1">
        <v>24</v>
      </c>
      <c r="E1005" s="1">
        <v>25.8</v>
      </c>
      <c r="F1005" s="1">
        <v>0</v>
      </c>
      <c r="G1005" s="7">
        <f t="shared" si="84"/>
        <v>0</v>
      </c>
      <c r="H1005" s="7">
        <f t="shared" si="87"/>
        <v>0</v>
      </c>
      <c r="I1005" s="7">
        <f t="shared" si="88"/>
        <v>0</v>
      </c>
      <c r="J1005" s="7">
        <f t="shared" si="88"/>
        <v>0</v>
      </c>
      <c r="K1005" s="7">
        <f t="shared" si="88"/>
        <v>0</v>
      </c>
      <c r="L1005" s="11">
        <v>1972.95</v>
      </c>
      <c r="M1005" s="12" cm="1">
        <f t="array" ref="M1005">IF(($R$34+SUMPRODUCT(TRANSPOSE(D1005:K1005),$R$35:$R$42))&lt;0,"-",$R$34+SUMPRODUCT(TRANSPOSE(D1005:K1005),$R$35:$R$42))</f>
        <v>1885.8396371928793</v>
      </c>
      <c r="N1005" s="13" t="str">
        <f t="shared" si="85"/>
        <v>-</v>
      </c>
      <c r="O1005" s="13">
        <f t="shared" si="86"/>
        <v>14010.044214228003</v>
      </c>
    </row>
    <row r="1006" spans="1:15" x14ac:dyDescent="0.25">
      <c r="A1006" s="1" t="s">
        <v>3</v>
      </c>
      <c r="B1006" s="1" t="s">
        <v>4</v>
      </c>
      <c r="C1006" s="1" t="s">
        <v>2</v>
      </c>
      <c r="D1006" s="1">
        <v>48</v>
      </c>
      <c r="E1006" s="1">
        <v>29.6</v>
      </c>
      <c r="F1006" s="1">
        <v>0</v>
      </c>
      <c r="G1006" s="7">
        <f t="shared" si="84"/>
        <v>0</v>
      </c>
      <c r="H1006" s="7">
        <f t="shared" si="87"/>
        <v>0</v>
      </c>
      <c r="I1006" s="7">
        <f t="shared" si="88"/>
        <v>0</v>
      </c>
      <c r="J1006" s="7">
        <f t="shared" si="88"/>
        <v>0</v>
      </c>
      <c r="K1006" s="7">
        <f t="shared" si="88"/>
        <v>0</v>
      </c>
      <c r="L1006" s="11">
        <v>21232.182260000001</v>
      </c>
      <c r="M1006" s="12" cm="1">
        <f t="array" ref="M1006">IF(($R$34+SUMPRODUCT(TRANSPOSE(D1006:K1006),$R$35:$R$42))&lt;0,"-",$R$34+SUMPRODUCT(TRANSPOSE(D1006:K1006),$R$35:$R$42))</f>
        <v>9339.3272218104248</v>
      </c>
      <c r="N1006" s="13" t="str">
        <f t="shared" si="85"/>
        <v>-</v>
      </c>
      <c r="O1006" s="13">
        <f t="shared" si="86"/>
        <v>21463.53179884555</v>
      </c>
    </row>
    <row r="1007" spans="1:15" x14ac:dyDescent="0.25">
      <c r="A1007" s="1" t="s">
        <v>3</v>
      </c>
      <c r="B1007" s="1" t="s">
        <v>4</v>
      </c>
      <c r="C1007" s="1" t="s">
        <v>7</v>
      </c>
      <c r="D1007" s="1">
        <v>47</v>
      </c>
      <c r="E1007" s="1">
        <v>19.190000000000001</v>
      </c>
      <c r="F1007" s="1">
        <v>1</v>
      </c>
      <c r="G1007" s="7">
        <f t="shared" si="84"/>
        <v>0</v>
      </c>
      <c r="H1007" s="7">
        <f t="shared" si="87"/>
        <v>0</v>
      </c>
      <c r="I1007" s="7">
        <f t="shared" si="88"/>
        <v>0</v>
      </c>
      <c r="J1007" s="7">
        <f t="shared" si="88"/>
        <v>0</v>
      </c>
      <c r="K1007" s="7">
        <f t="shared" si="88"/>
        <v>1</v>
      </c>
      <c r="L1007" s="11">
        <v>8627.5411000000004</v>
      </c>
      <c r="M1007" s="12" cm="1">
        <f t="array" ref="M1007">IF(($R$34+SUMPRODUCT(TRANSPOSE(D1007:K1007),$R$35:$R$42))&lt;0,"-",$R$34+SUMPRODUCT(TRANSPOSE(D1007:K1007),$R$35:$R$42))</f>
        <v>6987.018553634196</v>
      </c>
      <c r="N1007" s="13" t="str">
        <f t="shared" si="85"/>
        <v>-</v>
      </c>
      <c r="O1007" s="13">
        <f t="shared" si="86"/>
        <v>19111.223130669321</v>
      </c>
    </row>
    <row r="1008" spans="1:15" x14ac:dyDescent="0.25">
      <c r="A1008" s="1" t="s">
        <v>3</v>
      </c>
      <c r="B1008" s="1" t="s">
        <v>4</v>
      </c>
      <c r="C1008" s="1" t="s">
        <v>6</v>
      </c>
      <c r="D1008" s="1">
        <v>29</v>
      </c>
      <c r="E1008" s="1">
        <v>31.73</v>
      </c>
      <c r="F1008" s="1">
        <v>2</v>
      </c>
      <c r="G1008" s="7">
        <f t="shared" si="84"/>
        <v>0</v>
      </c>
      <c r="H1008" s="7">
        <f t="shared" si="87"/>
        <v>0</v>
      </c>
      <c r="I1008" s="7">
        <f t="shared" si="88"/>
        <v>0</v>
      </c>
      <c r="J1008" s="7">
        <f t="shared" si="88"/>
        <v>1</v>
      </c>
      <c r="K1008" s="7">
        <f t="shared" si="88"/>
        <v>0</v>
      </c>
      <c r="L1008" s="11">
        <v>4433.3877000000002</v>
      </c>
      <c r="M1008" s="12" cm="1">
        <f t="array" ref="M1008">IF(($R$34+SUMPRODUCT(TRANSPOSE(D1008:K1008),$R$35:$R$42))&lt;0,"-",$R$34+SUMPRODUCT(TRANSPOSE(D1008:K1008),$R$35:$R$42))</f>
        <v>6739.6267619663558</v>
      </c>
      <c r="N1008" s="13" t="str">
        <f t="shared" si="85"/>
        <v>-</v>
      </c>
      <c r="O1008" s="13">
        <f t="shared" si="86"/>
        <v>18863.831339001481</v>
      </c>
    </row>
    <row r="1009" spans="1:15" x14ac:dyDescent="0.25">
      <c r="A1009" s="1" t="s">
        <v>3</v>
      </c>
      <c r="B1009" s="1" t="s">
        <v>4</v>
      </c>
      <c r="C1009" s="1" t="s">
        <v>7</v>
      </c>
      <c r="D1009" s="1">
        <v>28</v>
      </c>
      <c r="E1009" s="1">
        <v>29.26</v>
      </c>
      <c r="F1009" s="1">
        <v>2</v>
      </c>
      <c r="G1009" s="7">
        <f t="shared" si="84"/>
        <v>0</v>
      </c>
      <c r="H1009" s="7">
        <f t="shared" si="87"/>
        <v>0</v>
      </c>
      <c r="I1009" s="7">
        <f t="shared" si="88"/>
        <v>0</v>
      </c>
      <c r="J1009" s="7">
        <f t="shared" si="88"/>
        <v>0</v>
      </c>
      <c r="K1009" s="7">
        <f t="shared" si="88"/>
        <v>1</v>
      </c>
      <c r="L1009" s="11">
        <v>4438.2633999999998</v>
      </c>
      <c r="M1009" s="12" cm="1">
        <f t="array" ref="M1009">IF(($R$34+SUMPRODUCT(TRANSPOSE(D1009:K1009),$R$35:$R$42))&lt;0,"-",$R$34+SUMPRODUCT(TRANSPOSE(D1009:K1009),$R$35:$R$42))</f>
        <v>5997.9264784348743</v>
      </c>
      <c r="N1009" s="13" t="str">
        <f t="shared" si="85"/>
        <v>-</v>
      </c>
      <c r="O1009" s="13">
        <f t="shared" si="86"/>
        <v>18122.131055469996</v>
      </c>
    </row>
    <row r="1010" spans="1:15" x14ac:dyDescent="0.25">
      <c r="A1010" s="1" t="s">
        <v>3</v>
      </c>
      <c r="B1010" s="1" t="s">
        <v>1</v>
      </c>
      <c r="C1010" s="1" t="s">
        <v>6</v>
      </c>
      <c r="D1010" s="1">
        <v>47</v>
      </c>
      <c r="E1010" s="1">
        <v>28.215</v>
      </c>
      <c r="F1010" s="1">
        <v>3</v>
      </c>
      <c r="G1010" s="7">
        <f t="shared" si="84"/>
        <v>0</v>
      </c>
      <c r="H1010" s="7">
        <f t="shared" si="87"/>
        <v>1</v>
      </c>
      <c r="I1010" s="7">
        <f t="shared" si="88"/>
        <v>0</v>
      </c>
      <c r="J1010" s="7">
        <f t="shared" si="88"/>
        <v>1</v>
      </c>
      <c r="K1010" s="7">
        <f t="shared" si="88"/>
        <v>0</v>
      </c>
      <c r="L1010" s="11">
        <v>24915.220850000002</v>
      </c>
      <c r="M1010" s="12" cm="1">
        <f t="array" ref="M1010">IF(($R$34+SUMPRODUCT(TRANSPOSE(D1010:K1010),$R$35:$R$42))&lt;0,"-",$R$34+SUMPRODUCT(TRANSPOSE(D1010:K1010),$R$35:$R$42))</f>
        <v>34494.81120525844</v>
      </c>
      <c r="N1010" s="13">
        <f t="shared" si="85"/>
        <v>22370.606628223315</v>
      </c>
      <c r="O1010" s="13">
        <f t="shared" si="86"/>
        <v>46619.015782293565</v>
      </c>
    </row>
    <row r="1011" spans="1:15" x14ac:dyDescent="0.25">
      <c r="A1011" s="1" t="s">
        <v>3</v>
      </c>
      <c r="B1011" s="1" t="s">
        <v>4</v>
      </c>
      <c r="C1011" s="1" t="s">
        <v>7</v>
      </c>
      <c r="D1011" s="1">
        <v>25</v>
      </c>
      <c r="E1011" s="1">
        <v>24.984999999999999</v>
      </c>
      <c r="F1011" s="1">
        <v>2</v>
      </c>
      <c r="G1011" s="7">
        <f t="shared" si="84"/>
        <v>0</v>
      </c>
      <c r="H1011" s="7">
        <f t="shared" si="87"/>
        <v>0</v>
      </c>
      <c r="I1011" s="7">
        <f t="shared" si="88"/>
        <v>0</v>
      </c>
      <c r="J1011" s="7">
        <f t="shared" si="88"/>
        <v>0</v>
      </c>
      <c r="K1011" s="7">
        <f t="shared" si="88"/>
        <v>1</v>
      </c>
      <c r="L1011" s="11">
        <v>23241.47453</v>
      </c>
      <c r="M1011" s="12" cm="1">
        <f t="array" ref="M1011">IF(($R$34+SUMPRODUCT(TRANSPOSE(D1011:K1011),$R$35:$R$42))&lt;0,"-",$R$34+SUMPRODUCT(TRANSPOSE(D1011:K1011),$R$35:$R$42))</f>
        <v>3777.3054066364894</v>
      </c>
      <c r="N1011" s="13" t="str">
        <f t="shared" si="85"/>
        <v>-</v>
      </c>
      <c r="O1011" s="13">
        <f t="shared" si="86"/>
        <v>15901.509983671613</v>
      </c>
    </row>
    <row r="1012" spans="1:15" x14ac:dyDescent="0.25">
      <c r="A1012" s="1" t="s">
        <v>3</v>
      </c>
      <c r="B1012" s="1" t="s">
        <v>4</v>
      </c>
      <c r="C1012" s="1" t="s">
        <v>7</v>
      </c>
      <c r="D1012" s="1">
        <v>51</v>
      </c>
      <c r="E1012" s="1">
        <v>27.74</v>
      </c>
      <c r="F1012" s="1">
        <v>1</v>
      </c>
      <c r="G1012" s="7">
        <f t="shared" si="84"/>
        <v>0</v>
      </c>
      <c r="H1012" s="7">
        <f t="shared" si="87"/>
        <v>0</v>
      </c>
      <c r="I1012" s="7">
        <f t="shared" si="88"/>
        <v>0</v>
      </c>
      <c r="J1012" s="7">
        <f t="shared" si="88"/>
        <v>0</v>
      </c>
      <c r="K1012" s="7">
        <f t="shared" si="88"/>
        <v>1</v>
      </c>
      <c r="L1012" s="11">
        <v>9957.7216000000008</v>
      </c>
      <c r="M1012" s="12" cm="1">
        <f t="array" ref="M1012">IF(($R$34+SUMPRODUCT(TRANSPOSE(D1012:K1012),$R$35:$R$42))&lt;0,"-",$R$34+SUMPRODUCT(TRANSPOSE(D1012:K1012),$R$35:$R$42))</f>
        <v>10914.547992156269</v>
      </c>
      <c r="N1012" s="13" t="str">
        <f t="shared" si="85"/>
        <v>-</v>
      </c>
      <c r="O1012" s="13">
        <f t="shared" si="86"/>
        <v>23038.752569191391</v>
      </c>
    </row>
    <row r="1013" spans="1:15" x14ac:dyDescent="0.25">
      <c r="A1013" s="1" t="s">
        <v>0</v>
      </c>
      <c r="B1013" s="1" t="s">
        <v>4</v>
      </c>
      <c r="C1013" s="1" t="s">
        <v>2</v>
      </c>
      <c r="D1013" s="1">
        <v>48</v>
      </c>
      <c r="E1013" s="1">
        <v>22.8</v>
      </c>
      <c r="F1013" s="1">
        <v>0</v>
      </c>
      <c r="G1013" s="7">
        <f t="shared" si="84"/>
        <v>1</v>
      </c>
      <c r="H1013" s="7">
        <f t="shared" si="87"/>
        <v>0</v>
      </c>
      <c r="I1013" s="7">
        <f t="shared" si="88"/>
        <v>0</v>
      </c>
      <c r="J1013" s="7">
        <f t="shared" si="88"/>
        <v>0</v>
      </c>
      <c r="K1013" s="7">
        <f t="shared" si="88"/>
        <v>0</v>
      </c>
      <c r="L1013" s="11">
        <v>8269.0439999999999</v>
      </c>
      <c r="M1013" s="12" cm="1">
        <f t="array" ref="M1013">IF(($R$34+SUMPRODUCT(TRANSPOSE(D1013:K1013),$R$35:$R$42))&lt;0,"-",$R$34+SUMPRODUCT(TRANSPOSE(D1013:K1013),$R$35:$R$42))</f>
        <v>7164.1260966518166</v>
      </c>
      <c r="N1013" s="13" t="str">
        <f t="shared" si="85"/>
        <v>-</v>
      </c>
      <c r="O1013" s="13">
        <f t="shared" si="86"/>
        <v>19288.330673686942</v>
      </c>
    </row>
    <row r="1014" spans="1:15" x14ac:dyDescent="0.25">
      <c r="A1014" s="1" t="s">
        <v>3</v>
      </c>
      <c r="B1014" s="1" t="s">
        <v>1</v>
      </c>
      <c r="C1014" s="1" t="s">
        <v>5</v>
      </c>
      <c r="D1014" s="1">
        <v>43</v>
      </c>
      <c r="E1014" s="1">
        <v>20.13</v>
      </c>
      <c r="F1014" s="1">
        <v>2</v>
      </c>
      <c r="G1014" s="7">
        <f t="shared" si="84"/>
        <v>0</v>
      </c>
      <c r="H1014" s="7">
        <f t="shared" si="87"/>
        <v>1</v>
      </c>
      <c r="I1014" s="7">
        <f t="shared" si="88"/>
        <v>1</v>
      </c>
      <c r="J1014" s="7">
        <f t="shared" si="88"/>
        <v>0</v>
      </c>
      <c r="K1014" s="7">
        <f t="shared" si="88"/>
        <v>0</v>
      </c>
      <c r="L1014" s="11">
        <v>18767.737700000001</v>
      </c>
      <c r="M1014" s="12" cm="1">
        <f t="array" ref="M1014">IF(($R$34+SUMPRODUCT(TRANSPOSE(D1014:K1014),$R$35:$R$42))&lt;0,"-",$R$34+SUMPRODUCT(TRANSPOSE(D1014:K1014),$R$35:$R$42))</f>
        <v>29567.448027553095</v>
      </c>
      <c r="N1014" s="13">
        <f t="shared" si="85"/>
        <v>17443.24345051797</v>
      </c>
      <c r="O1014" s="13">
        <f t="shared" si="86"/>
        <v>41691.65260458822</v>
      </c>
    </row>
    <row r="1015" spans="1:15" x14ac:dyDescent="0.25">
      <c r="A1015" s="1" t="s">
        <v>0</v>
      </c>
      <c r="B1015" s="1" t="s">
        <v>4</v>
      </c>
      <c r="C1015" s="1" t="s">
        <v>5</v>
      </c>
      <c r="D1015" s="1">
        <v>61</v>
      </c>
      <c r="E1015" s="1">
        <v>33.33</v>
      </c>
      <c r="F1015" s="1">
        <v>4</v>
      </c>
      <c r="G1015" s="7">
        <f t="shared" si="84"/>
        <v>1</v>
      </c>
      <c r="H1015" s="7">
        <f t="shared" si="87"/>
        <v>0</v>
      </c>
      <c r="I1015" s="7">
        <f t="shared" si="88"/>
        <v>1</v>
      </c>
      <c r="J1015" s="7">
        <f t="shared" si="88"/>
        <v>0</v>
      </c>
      <c r="K1015" s="7">
        <f t="shared" si="88"/>
        <v>0</v>
      </c>
      <c r="L1015" s="11">
        <v>36580.282160000002</v>
      </c>
      <c r="M1015" s="12" cm="1">
        <f t="array" ref="M1015">IF(($R$34+SUMPRODUCT(TRANSPOSE(D1015:K1015),$R$35:$R$42))&lt;0,"-",$R$34+SUMPRODUCT(TRANSPOSE(D1015:K1015),$R$35:$R$42))</f>
        <v>15901.99686866903</v>
      </c>
      <c r="N1015" s="13">
        <f t="shared" si="85"/>
        <v>3777.7922916339066</v>
      </c>
      <c r="O1015" s="13">
        <f t="shared" si="86"/>
        <v>28026.201445704151</v>
      </c>
    </row>
    <row r="1016" spans="1:15" x14ac:dyDescent="0.25">
      <c r="A1016" s="1" t="s">
        <v>3</v>
      </c>
      <c r="B1016" s="1" t="s">
        <v>4</v>
      </c>
      <c r="C1016" s="1" t="s">
        <v>6</v>
      </c>
      <c r="D1016" s="1">
        <v>48</v>
      </c>
      <c r="E1016" s="1">
        <v>32.299999999999997</v>
      </c>
      <c r="F1016" s="1">
        <v>1</v>
      </c>
      <c r="G1016" s="7">
        <f t="shared" si="84"/>
        <v>0</v>
      </c>
      <c r="H1016" s="7">
        <f t="shared" si="87"/>
        <v>0</v>
      </c>
      <c r="I1016" s="7">
        <f t="shared" si="88"/>
        <v>0</v>
      </c>
      <c r="J1016" s="7">
        <f t="shared" si="88"/>
        <v>1</v>
      </c>
      <c r="K1016" s="7">
        <f t="shared" si="88"/>
        <v>0</v>
      </c>
      <c r="L1016" s="11">
        <v>8765.2489999999998</v>
      </c>
      <c r="M1016" s="12" cm="1">
        <f t="array" ref="M1016">IF(($R$34+SUMPRODUCT(TRANSPOSE(D1016:K1016),$R$35:$R$42))&lt;0,"-",$R$34+SUMPRODUCT(TRANSPOSE(D1016:K1016),$R$35:$R$42))</f>
        <v>11337.737183585014</v>
      </c>
      <c r="N1016" s="13" t="str">
        <f t="shared" si="85"/>
        <v>-</v>
      </c>
      <c r="O1016" s="13">
        <f t="shared" si="86"/>
        <v>23461.941760620139</v>
      </c>
    </row>
    <row r="1017" spans="1:15" x14ac:dyDescent="0.25">
      <c r="A1017" s="1" t="s">
        <v>0</v>
      </c>
      <c r="B1017" s="1" t="s">
        <v>4</v>
      </c>
      <c r="C1017" s="1" t="s">
        <v>2</v>
      </c>
      <c r="D1017" s="1">
        <v>38</v>
      </c>
      <c r="E1017" s="1">
        <v>27.6</v>
      </c>
      <c r="F1017" s="1">
        <v>0</v>
      </c>
      <c r="G1017" s="7">
        <f t="shared" si="84"/>
        <v>1</v>
      </c>
      <c r="H1017" s="7">
        <f t="shared" si="87"/>
        <v>0</v>
      </c>
      <c r="I1017" s="7">
        <f t="shared" si="88"/>
        <v>0</v>
      </c>
      <c r="J1017" s="7">
        <f t="shared" si="88"/>
        <v>0</v>
      </c>
      <c r="K1017" s="7">
        <f t="shared" si="88"/>
        <v>0</v>
      </c>
      <c r="L1017" s="11">
        <v>5383.5360000000001</v>
      </c>
      <c r="M1017" s="12" cm="1">
        <f t="array" ref="M1017">IF(($R$34+SUMPRODUCT(TRANSPOSE(D1017:K1017),$R$35:$R$42))&lt;0,"-",$R$34+SUMPRODUCT(TRANSPOSE(D1017:K1017),$R$35:$R$42))</f>
        <v>6223.6911486103672</v>
      </c>
      <c r="N1017" s="13" t="str">
        <f t="shared" si="85"/>
        <v>-</v>
      </c>
      <c r="O1017" s="13">
        <f t="shared" si="86"/>
        <v>18347.895725645489</v>
      </c>
    </row>
    <row r="1018" spans="1:15" x14ac:dyDescent="0.25">
      <c r="A1018" s="1" t="s">
        <v>3</v>
      </c>
      <c r="B1018" s="1" t="s">
        <v>4</v>
      </c>
      <c r="C1018" s="1" t="s">
        <v>6</v>
      </c>
      <c r="D1018" s="1">
        <v>59</v>
      </c>
      <c r="E1018" s="1">
        <v>25.46</v>
      </c>
      <c r="F1018" s="1">
        <v>0</v>
      </c>
      <c r="G1018" s="7">
        <f t="shared" si="84"/>
        <v>0</v>
      </c>
      <c r="H1018" s="7">
        <f t="shared" si="87"/>
        <v>0</v>
      </c>
      <c r="I1018" s="7">
        <f t="shared" si="88"/>
        <v>0</v>
      </c>
      <c r="J1018" s="7">
        <f t="shared" si="88"/>
        <v>1</v>
      </c>
      <c r="K1018" s="7">
        <f t="shared" si="88"/>
        <v>0</v>
      </c>
      <c r="L1018" s="11">
        <v>12124.992399999999</v>
      </c>
      <c r="M1018" s="12" cm="1">
        <f t="array" ref="M1018">IF(($R$34+SUMPRODUCT(TRANSPOSE(D1018:K1018),$R$35:$R$42))&lt;0,"-",$R$34+SUMPRODUCT(TRANSPOSE(D1018:K1018),$R$35:$R$42))</f>
        <v>11367.573293648562</v>
      </c>
      <c r="N1018" s="13" t="str">
        <f t="shared" si="85"/>
        <v>-</v>
      </c>
      <c r="O1018" s="13">
        <f t="shared" si="86"/>
        <v>23491.777870683683</v>
      </c>
    </row>
    <row r="1019" spans="1:15" x14ac:dyDescent="0.25">
      <c r="A1019" s="1" t="s">
        <v>0</v>
      </c>
      <c r="B1019" s="1" t="s">
        <v>4</v>
      </c>
      <c r="C1019" s="1" t="s">
        <v>6</v>
      </c>
      <c r="D1019" s="1">
        <v>19</v>
      </c>
      <c r="E1019" s="1">
        <v>24.605</v>
      </c>
      <c r="F1019" s="1">
        <v>1</v>
      </c>
      <c r="G1019" s="7">
        <f t="shared" si="84"/>
        <v>1</v>
      </c>
      <c r="H1019" s="7">
        <f t="shared" si="87"/>
        <v>0</v>
      </c>
      <c r="I1019" s="7">
        <f t="shared" si="88"/>
        <v>0</v>
      </c>
      <c r="J1019" s="7">
        <f t="shared" si="88"/>
        <v>1</v>
      </c>
      <c r="K1019" s="7">
        <f t="shared" si="88"/>
        <v>0</v>
      </c>
      <c r="L1019" s="11">
        <v>2709.24395</v>
      </c>
      <c r="M1019" s="12" cm="1">
        <f t="array" ref="M1019">IF(($R$34+SUMPRODUCT(TRANSPOSE(D1019:K1019),$R$35:$R$42))&lt;0,"-",$R$34+SUMPRODUCT(TRANSPOSE(D1019:K1019),$R$35:$R$42))</f>
        <v>1410.123693861613</v>
      </c>
      <c r="N1019" s="13" t="str">
        <f t="shared" si="85"/>
        <v>-</v>
      </c>
      <c r="O1019" s="13">
        <f t="shared" si="86"/>
        <v>13534.328270896736</v>
      </c>
    </row>
    <row r="1020" spans="1:15" x14ac:dyDescent="0.25">
      <c r="A1020" s="1" t="s">
        <v>0</v>
      </c>
      <c r="B1020" s="1" t="s">
        <v>4</v>
      </c>
      <c r="C1020" s="1" t="s">
        <v>2</v>
      </c>
      <c r="D1020" s="1">
        <v>26</v>
      </c>
      <c r="E1020" s="1">
        <v>34.200000000000003</v>
      </c>
      <c r="F1020" s="1">
        <v>2</v>
      </c>
      <c r="G1020" s="7">
        <f t="shared" si="84"/>
        <v>1</v>
      </c>
      <c r="H1020" s="7">
        <f t="shared" si="87"/>
        <v>0</v>
      </c>
      <c r="I1020" s="7">
        <f t="shared" si="88"/>
        <v>0</v>
      </c>
      <c r="J1020" s="7">
        <f t="shared" si="88"/>
        <v>0</v>
      </c>
      <c r="K1020" s="7">
        <f t="shared" si="88"/>
        <v>0</v>
      </c>
      <c r="L1020" s="11">
        <v>3987.9259999999999</v>
      </c>
      <c r="M1020" s="12" cm="1">
        <f t="array" ref="M1020">IF(($R$34+SUMPRODUCT(TRANSPOSE(D1020:K1020),$R$35:$R$42))&lt;0,"-",$R$34+SUMPRODUCT(TRANSPOSE(D1020:K1020),$R$35:$R$42))</f>
        <v>6331.0928022920016</v>
      </c>
      <c r="N1020" s="13" t="str">
        <f t="shared" si="85"/>
        <v>-</v>
      </c>
      <c r="O1020" s="13">
        <f t="shared" si="86"/>
        <v>18455.297379327123</v>
      </c>
    </row>
    <row r="1021" spans="1:15" x14ac:dyDescent="0.25">
      <c r="A1021" s="1" t="s">
        <v>0</v>
      </c>
      <c r="B1021" s="1" t="s">
        <v>4</v>
      </c>
      <c r="C1021" s="1" t="s">
        <v>6</v>
      </c>
      <c r="D1021" s="1">
        <v>54</v>
      </c>
      <c r="E1021" s="1">
        <v>35.814999999999998</v>
      </c>
      <c r="F1021" s="1">
        <v>3</v>
      </c>
      <c r="G1021" s="7">
        <f t="shared" si="84"/>
        <v>1</v>
      </c>
      <c r="H1021" s="7">
        <f t="shared" si="87"/>
        <v>0</v>
      </c>
      <c r="I1021" s="7">
        <f t="shared" si="88"/>
        <v>0</v>
      </c>
      <c r="J1021" s="7">
        <f t="shared" si="88"/>
        <v>1</v>
      </c>
      <c r="K1021" s="7">
        <f t="shared" si="88"/>
        <v>0</v>
      </c>
      <c r="L1021" s="11">
        <v>12495.290849999999</v>
      </c>
      <c r="M1021" s="12" cm="1">
        <f t="array" ref="M1021">IF(($R$34+SUMPRODUCT(TRANSPOSE(D1021:K1021),$R$35:$R$42))&lt;0,"-",$R$34+SUMPRODUCT(TRANSPOSE(D1021:K1021),$R$35:$R$42))</f>
        <v>15153.455737944576</v>
      </c>
      <c r="N1021" s="13">
        <f t="shared" si="85"/>
        <v>3029.2511609094527</v>
      </c>
      <c r="O1021" s="13">
        <f t="shared" si="86"/>
        <v>27277.660314979701</v>
      </c>
    </row>
    <row r="1022" spans="1:15" x14ac:dyDescent="0.25">
      <c r="A1022" s="1" t="s">
        <v>0</v>
      </c>
      <c r="B1022" s="1" t="s">
        <v>4</v>
      </c>
      <c r="C1022" s="1" t="s">
        <v>6</v>
      </c>
      <c r="D1022" s="1">
        <v>21</v>
      </c>
      <c r="E1022" s="1">
        <v>32.68</v>
      </c>
      <c r="F1022" s="1">
        <v>2</v>
      </c>
      <c r="G1022" s="7">
        <f t="shared" si="84"/>
        <v>1</v>
      </c>
      <c r="H1022" s="7">
        <f t="shared" si="87"/>
        <v>0</v>
      </c>
      <c r="I1022" s="7">
        <f t="shared" si="88"/>
        <v>0</v>
      </c>
      <c r="J1022" s="7">
        <f t="shared" si="88"/>
        <v>1</v>
      </c>
      <c r="K1022" s="7">
        <f t="shared" si="88"/>
        <v>0</v>
      </c>
      <c r="L1022" s="11">
        <v>26018.950519999999</v>
      </c>
      <c r="M1022" s="12" cm="1">
        <f t="array" ref="M1022">IF(($R$34+SUMPRODUCT(TRANSPOSE(D1022:K1022),$R$35:$R$42))&lt;0,"-",$R$34+SUMPRODUCT(TRANSPOSE(D1022:K1022),$R$35:$R$42))</f>
        <v>5138.3240819929742</v>
      </c>
      <c r="N1022" s="13" t="str">
        <f t="shared" si="85"/>
        <v>-</v>
      </c>
      <c r="O1022" s="13">
        <f t="shared" si="86"/>
        <v>17262.528659028096</v>
      </c>
    </row>
    <row r="1023" spans="1:15" x14ac:dyDescent="0.25">
      <c r="A1023" s="1" t="s">
        <v>3</v>
      </c>
      <c r="B1023" s="1" t="s">
        <v>4</v>
      </c>
      <c r="C1023" s="1" t="s">
        <v>2</v>
      </c>
      <c r="D1023" s="1">
        <v>51</v>
      </c>
      <c r="E1023" s="1">
        <v>37</v>
      </c>
      <c r="F1023" s="1">
        <v>0</v>
      </c>
      <c r="G1023" s="7">
        <f t="shared" si="84"/>
        <v>0</v>
      </c>
      <c r="H1023" s="7">
        <f t="shared" si="87"/>
        <v>0</v>
      </c>
      <c r="I1023" s="7">
        <f t="shared" si="88"/>
        <v>0</v>
      </c>
      <c r="J1023" s="7">
        <f t="shared" si="88"/>
        <v>0</v>
      </c>
      <c r="K1023" s="7">
        <f t="shared" si="88"/>
        <v>0</v>
      </c>
      <c r="L1023" s="11">
        <v>8798.5930000000008</v>
      </c>
      <c r="M1023" s="12" cm="1">
        <f t="array" ref="M1023">IF(($R$34+SUMPRODUCT(TRANSPOSE(D1023:K1023),$R$35:$R$42))&lt;0,"-",$R$34+SUMPRODUCT(TRANSPOSE(D1023:K1023),$R$35:$R$42))</f>
        <v>12619.927836142684</v>
      </c>
      <c r="N1023" s="13">
        <f t="shared" si="85"/>
        <v>495.72325910756081</v>
      </c>
      <c r="O1023" s="13">
        <f t="shared" si="86"/>
        <v>24744.132413177809</v>
      </c>
    </row>
    <row r="1024" spans="1:15" x14ac:dyDescent="0.25">
      <c r="A1024" s="1" t="s">
        <v>0</v>
      </c>
      <c r="B1024" s="1" t="s">
        <v>1</v>
      </c>
      <c r="C1024" s="1" t="s">
        <v>5</v>
      </c>
      <c r="D1024" s="1">
        <v>22</v>
      </c>
      <c r="E1024" s="1">
        <v>31.02</v>
      </c>
      <c r="F1024" s="1">
        <v>3</v>
      </c>
      <c r="G1024" s="7">
        <f t="shared" si="84"/>
        <v>1</v>
      </c>
      <c r="H1024" s="7">
        <f t="shared" si="87"/>
        <v>1</v>
      </c>
      <c r="I1024" s="7">
        <f t="shared" si="88"/>
        <v>1</v>
      </c>
      <c r="J1024" s="7">
        <f t="shared" si="88"/>
        <v>0</v>
      </c>
      <c r="K1024" s="7">
        <f t="shared" si="88"/>
        <v>0</v>
      </c>
      <c r="L1024" s="11">
        <v>35595.589800000002</v>
      </c>
      <c r="M1024" s="12" cm="1">
        <f t="array" ref="M1024">IF(($R$34+SUMPRODUCT(TRANSPOSE(D1024:K1024),$R$35:$R$42))&lt;0,"-",$R$34+SUMPRODUCT(TRANSPOSE(D1024:K1024),$R$35:$R$42))</f>
        <v>28474.09623863508</v>
      </c>
      <c r="N1024" s="13">
        <f t="shared" si="85"/>
        <v>16349.891661599957</v>
      </c>
      <c r="O1024" s="13">
        <f t="shared" si="86"/>
        <v>40598.300815670205</v>
      </c>
    </row>
    <row r="1025" spans="1:15" x14ac:dyDescent="0.25">
      <c r="A1025" s="1" t="s">
        <v>3</v>
      </c>
      <c r="B1025" s="1" t="s">
        <v>1</v>
      </c>
      <c r="C1025" s="1" t="s">
        <v>5</v>
      </c>
      <c r="D1025" s="1">
        <v>47</v>
      </c>
      <c r="E1025" s="1">
        <v>36.08</v>
      </c>
      <c r="F1025" s="1">
        <v>1</v>
      </c>
      <c r="G1025" s="7">
        <f t="shared" si="84"/>
        <v>0</v>
      </c>
      <c r="H1025" s="7">
        <f t="shared" si="87"/>
        <v>1</v>
      </c>
      <c r="I1025" s="7">
        <f t="shared" si="88"/>
        <v>1</v>
      </c>
      <c r="J1025" s="7">
        <f t="shared" si="88"/>
        <v>0</v>
      </c>
      <c r="K1025" s="7">
        <f t="shared" si="88"/>
        <v>0</v>
      </c>
      <c r="L1025" s="11">
        <v>42211.138200000001</v>
      </c>
      <c r="M1025" s="12" cm="1">
        <f t="array" ref="M1025">IF(($R$34+SUMPRODUCT(TRANSPOSE(D1025:K1025),$R$35:$R$42))&lt;0,"-",$R$34+SUMPRODUCT(TRANSPOSE(D1025:K1025),$R$35:$R$42))</f>
        <v>35529.508477646261</v>
      </c>
      <c r="N1025" s="13">
        <f t="shared" si="85"/>
        <v>23405.303900611136</v>
      </c>
      <c r="O1025" s="13">
        <f t="shared" si="86"/>
        <v>47653.713054681386</v>
      </c>
    </row>
    <row r="1026" spans="1:15" x14ac:dyDescent="0.25">
      <c r="A1026" s="1" t="s">
        <v>3</v>
      </c>
      <c r="B1026" s="1" t="s">
        <v>4</v>
      </c>
      <c r="C1026" s="1" t="s">
        <v>5</v>
      </c>
      <c r="D1026" s="1">
        <v>18</v>
      </c>
      <c r="E1026" s="1">
        <v>23.32</v>
      </c>
      <c r="F1026" s="1">
        <v>1</v>
      </c>
      <c r="G1026" s="7">
        <f t="shared" si="84"/>
        <v>0</v>
      </c>
      <c r="H1026" s="7">
        <f t="shared" si="87"/>
        <v>0</v>
      </c>
      <c r="I1026" s="7">
        <f t="shared" si="88"/>
        <v>1</v>
      </c>
      <c r="J1026" s="7">
        <f t="shared" si="88"/>
        <v>0</v>
      </c>
      <c r="K1026" s="7">
        <f t="shared" si="88"/>
        <v>0</v>
      </c>
      <c r="L1026" s="11">
        <v>1711.0268000000001</v>
      </c>
      <c r="M1026" s="12" t="str" cm="1">
        <f t="array" ref="M1026">IF(($R$34+SUMPRODUCT(TRANSPOSE(D1026:K1026),$R$35:$R$42))&lt;0,"-",$R$34+SUMPRODUCT(TRANSPOSE(D1026:K1026),$R$35:$R$42))</f>
        <v>-</v>
      </c>
      <c r="N1026" s="13" t="str">
        <f t="shared" si="85"/>
        <v>-</v>
      </c>
      <c r="O1026" s="13" t="str">
        <f t="shared" si="86"/>
        <v>-</v>
      </c>
    </row>
    <row r="1027" spans="1:15" x14ac:dyDescent="0.25">
      <c r="A1027" s="1" t="s">
        <v>0</v>
      </c>
      <c r="B1027" s="1" t="s">
        <v>4</v>
      </c>
      <c r="C1027" s="1" t="s">
        <v>5</v>
      </c>
      <c r="D1027" s="1">
        <v>47</v>
      </c>
      <c r="E1027" s="1">
        <v>45.32</v>
      </c>
      <c r="F1027" s="1">
        <v>1</v>
      </c>
      <c r="G1027" s="7">
        <f t="shared" ref="G1027:G1090" si="89">IF($A1027=G$2,1,0)</f>
        <v>1</v>
      </c>
      <c r="H1027" s="7">
        <f t="shared" si="87"/>
        <v>0</v>
      </c>
      <c r="I1027" s="7">
        <f t="shared" si="88"/>
        <v>1</v>
      </c>
      <c r="J1027" s="7">
        <f t="shared" si="88"/>
        <v>0</v>
      </c>
      <c r="K1027" s="7">
        <f t="shared" si="88"/>
        <v>0</v>
      </c>
      <c r="L1027" s="11">
        <v>8569.8618000000006</v>
      </c>
      <c r="M1027" s="12" cm="1">
        <f t="array" ref="M1027">IF(($R$34+SUMPRODUCT(TRANSPOSE(D1027:K1027),$R$35:$R$42))&lt;0,"-",$R$34+SUMPRODUCT(TRANSPOSE(D1027:K1027),$R$35:$R$42))</f>
        <v>14946.435806492733</v>
      </c>
      <c r="N1027" s="13">
        <f t="shared" ref="N1027:N1090" si="90">IFERROR(IF($M1027-(2*$R$24)&lt;0,"-",($M1027-(2*$R$24))),"-")</f>
        <v>2822.2312294576095</v>
      </c>
      <c r="O1027" s="13">
        <f t="shared" ref="O1027:O1090" si="91">IFERROR(IF($L1027+(2*$R$24)&lt;0,"-",($M1027+(2*$R$24))),"-")</f>
        <v>27070.640383527854</v>
      </c>
    </row>
    <row r="1028" spans="1:15" x14ac:dyDescent="0.25">
      <c r="A1028" s="1" t="s">
        <v>0</v>
      </c>
      <c r="B1028" s="1" t="s">
        <v>4</v>
      </c>
      <c r="C1028" s="1" t="s">
        <v>2</v>
      </c>
      <c r="D1028" s="1">
        <v>21</v>
      </c>
      <c r="E1028" s="1">
        <v>34.6</v>
      </c>
      <c r="F1028" s="1">
        <v>0</v>
      </c>
      <c r="G1028" s="7">
        <f t="shared" si="89"/>
        <v>1</v>
      </c>
      <c r="H1028" s="7">
        <f t="shared" ref="H1028:H1091" si="92">IF(B1028="yes",1,0)</f>
        <v>0</v>
      </c>
      <c r="I1028" s="7">
        <f t="shared" ref="I1028:K1091" si="93">IF($C1028=I$2,1,0)</f>
        <v>0</v>
      </c>
      <c r="J1028" s="7">
        <f t="shared" si="93"/>
        <v>0</v>
      </c>
      <c r="K1028" s="7">
        <f t="shared" si="93"/>
        <v>0</v>
      </c>
      <c r="L1028" s="11">
        <v>2020.1769999999999</v>
      </c>
      <c r="M1028" s="12" cm="1">
        <f t="array" ref="M1028">IF(($R$34+SUMPRODUCT(TRANSPOSE(D1028:K1028),$R$35:$R$42))&lt;0,"-",$R$34+SUMPRODUCT(TRANSPOSE(D1028:K1028),$R$35:$R$42))</f>
        <v>4231.4873307513335</v>
      </c>
      <c r="N1028" s="13" t="str">
        <f t="shared" si="90"/>
        <v>-</v>
      </c>
      <c r="O1028" s="13">
        <f t="shared" si="91"/>
        <v>16355.691907786457</v>
      </c>
    </row>
    <row r="1029" spans="1:15" x14ac:dyDescent="0.25">
      <c r="A1029" s="1" t="s">
        <v>3</v>
      </c>
      <c r="B1029" s="1" t="s">
        <v>1</v>
      </c>
      <c r="C1029" s="1" t="s">
        <v>6</v>
      </c>
      <c r="D1029" s="1">
        <v>19</v>
      </c>
      <c r="E1029" s="1">
        <v>26.03</v>
      </c>
      <c r="F1029" s="1">
        <v>1</v>
      </c>
      <c r="G1029" s="7">
        <f t="shared" si="89"/>
        <v>0</v>
      </c>
      <c r="H1029" s="7">
        <f t="shared" si="92"/>
        <v>1</v>
      </c>
      <c r="I1029" s="7">
        <f t="shared" si="93"/>
        <v>0</v>
      </c>
      <c r="J1029" s="7">
        <f t="shared" si="93"/>
        <v>1</v>
      </c>
      <c r="K1029" s="7">
        <f t="shared" si="93"/>
        <v>0</v>
      </c>
      <c r="L1029" s="11">
        <v>16450.894700000001</v>
      </c>
      <c r="M1029" s="12" cm="1">
        <f t="array" ref="M1029">IF(($R$34+SUMPRODUCT(TRANSPOSE(D1029:K1029),$R$35:$R$42))&lt;0,"-",$R$34+SUMPRODUCT(TRANSPOSE(D1029:K1029),$R$35:$R$42))</f>
        <v>25610.694547774743</v>
      </c>
      <c r="N1029" s="13">
        <f t="shared" si="90"/>
        <v>13486.48997073962</v>
      </c>
      <c r="O1029" s="13">
        <f t="shared" si="91"/>
        <v>37734.899124809868</v>
      </c>
    </row>
    <row r="1030" spans="1:15" x14ac:dyDescent="0.25">
      <c r="A1030" s="1" t="s">
        <v>3</v>
      </c>
      <c r="B1030" s="1" t="s">
        <v>4</v>
      </c>
      <c r="C1030" s="1" t="s">
        <v>6</v>
      </c>
      <c r="D1030" s="1">
        <v>23</v>
      </c>
      <c r="E1030" s="1">
        <v>18.715</v>
      </c>
      <c r="F1030" s="1">
        <v>0</v>
      </c>
      <c r="G1030" s="7">
        <f t="shared" si="89"/>
        <v>0</v>
      </c>
      <c r="H1030" s="7">
        <f t="shared" si="92"/>
        <v>0</v>
      </c>
      <c r="I1030" s="7">
        <f t="shared" si="93"/>
        <v>0</v>
      </c>
      <c r="J1030" s="7">
        <f t="shared" si="93"/>
        <v>1</v>
      </c>
      <c r="K1030" s="7">
        <f t="shared" si="93"/>
        <v>0</v>
      </c>
      <c r="L1030" s="11">
        <v>21595.382290000001</v>
      </c>
      <c r="M1030" s="12" t="str" cm="1">
        <f t="array" ref="M1030">IF(($R$34+SUMPRODUCT(TRANSPOSE(D1030:K1030),$R$35:$R$42))&lt;0,"-",$R$34+SUMPRODUCT(TRANSPOSE(D1030:K1030),$R$35:$R$42))</f>
        <v>-</v>
      </c>
      <c r="N1030" s="13" t="str">
        <f t="shared" si="90"/>
        <v>-</v>
      </c>
      <c r="O1030" s="13" t="str">
        <f t="shared" si="91"/>
        <v>-</v>
      </c>
    </row>
    <row r="1031" spans="1:15" x14ac:dyDescent="0.25">
      <c r="A1031" s="1" t="s">
        <v>3</v>
      </c>
      <c r="B1031" s="1" t="s">
        <v>4</v>
      </c>
      <c r="C1031" s="1" t="s">
        <v>2</v>
      </c>
      <c r="D1031" s="1">
        <v>54</v>
      </c>
      <c r="E1031" s="1">
        <v>31.6</v>
      </c>
      <c r="F1031" s="1">
        <v>0</v>
      </c>
      <c r="G1031" s="7">
        <f t="shared" si="89"/>
        <v>0</v>
      </c>
      <c r="H1031" s="7">
        <f t="shared" si="92"/>
        <v>0</v>
      </c>
      <c r="I1031" s="7">
        <f t="shared" si="93"/>
        <v>0</v>
      </c>
      <c r="J1031" s="7">
        <f t="shared" si="93"/>
        <v>0</v>
      </c>
      <c r="K1031" s="7">
        <f t="shared" si="93"/>
        <v>0</v>
      </c>
      <c r="L1031" s="11">
        <v>9850.4320000000007</v>
      </c>
      <c r="M1031" s="12" cm="1">
        <f t="array" ref="M1031">IF(($R$34+SUMPRODUCT(TRANSPOSE(D1031:K1031),$R$35:$R$42))&lt;0,"-",$R$34+SUMPRODUCT(TRANSPOSE(D1031:K1031),$R$35:$R$42))</f>
        <v>11558.852244256188</v>
      </c>
      <c r="N1031" s="13" t="str">
        <f t="shared" si="90"/>
        <v>-</v>
      </c>
      <c r="O1031" s="13">
        <f t="shared" si="91"/>
        <v>23683.056821291313</v>
      </c>
    </row>
    <row r="1032" spans="1:15" x14ac:dyDescent="0.25">
      <c r="A1032" s="1" t="s">
        <v>0</v>
      </c>
      <c r="B1032" s="1" t="s">
        <v>4</v>
      </c>
      <c r="C1032" s="1" t="s">
        <v>7</v>
      </c>
      <c r="D1032" s="1">
        <v>37</v>
      </c>
      <c r="E1032" s="1">
        <v>17.29</v>
      </c>
      <c r="F1032" s="1">
        <v>2</v>
      </c>
      <c r="G1032" s="7">
        <f t="shared" si="89"/>
        <v>1</v>
      </c>
      <c r="H1032" s="7">
        <f t="shared" si="92"/>
        <v>0</v>
      </c>
      <c r="I1032" s="7">
        <f t="shared" si="93"/>
        <v>0</v>
      </c>
      <c r="J1032" s="7">
        <f t="shared" si="93"/>
        <v>0</v>
      </c>
      <c r="K1032" s="7">
        <f t="shared" si="93"/>
        <v>1</v>
      </c>
      <c r="L1032" s="11">
        <v>6877.9800999999998</v>
      </c>
      <c r="M1032" s="12" cm="1">
        <f t="array" ref="M1032">IF(($R$34+SUMPRODUCT(TRANSPOSE(D1032:K1032),$R$35:$R$42))&lt;0,"-",$R$34+SUMPRODUCT(TRANSPOSE(D1032:K1032),$R$35:$R$42))</f>
        <v>4380.8023709443551</v>
      </c>
      <c r="N1032" s="13" t="str">
        <f t="shared" si="90"/>
        <v>-</v>
      </c>
      <c r="O1032" s="13">
        <f t="shared" si="91"/>
        <v>16505.006947979477</v>
      </c>
    </row>
    <row r="1033" spans="1:15" x14ac:dyDescent="0.25">
      <c r="A1033" s="1" t="s">
        <v>0</v>
      </c>
      <c r="B1033" s="1" t="s">
        <v>1</v>
      </c>
      <c r="C1033" s="1" t="s">
        <v>6</v>
      </c>
      <c r="D1033" s="1">
        <v>46</v>
      </c>
      <c r="E1033" s="1">
        <v>23.655000000000001</v>
      </c>
      <c r="F1033" s="1">
        <v>1</v>
      </c>
      <c r="G1033" s="7">
        <f t="shared" si="89"/>
        <v>1</v>
      </c>
      <c r="H1033" s="7">
        <f t="shared" si="92"/>
        <v>1</v>
      </c>
      <c r="I1033" s="7">
        <f t="shared" si="93"/>
        <v>0</v>
      </c>
      <c r="J1033" s="7">
        <f t="shared" si="93"/>
        <v>1</v>
      </c>
      <c r="K1033" s="7">
        <f t="shared" si="93"/>
        <v>0</v>
      </c>
      <c r="L1033" s="11">
        <v>21677.283449999999</v>
      </c>
      <c r="M1033" s="12" cm="1">
        <f t="array" ref="M1033">IF(($R$34+SUMPRODUCT(TRANSPOSE(D1033:K1033),$R$35:$R$42))&lt;0,"-",$R$34+SUMPRODUCT(TRANSPOSE(D1033:K1033),$R$35:$R$42))</f>
        <v>31871.545973352499</v>
      </c>
      <c r="N1033" s="13">
        <f t="shared" si="90"/>
        <v>19747.341396317373</v>
      </c>
      <c r="O1033" s="13">
        <f t="shared" si="91"/>
        <v>43995.750550387624</v>
      </c>
    </row>
    <row r="1034" spans="1:15" x14ac:dyDescent="0.25">
      <c r="A1034" s="1" t="s">
        <v>0</v>
      </c>
      <c r="B1034" s="1" t="s">
        <v>1</v>
      </c>
      <c r="C1034" s="1" t="s">
        <v>5</v>
      </c>
      <c r="D1034" s="1">
        <v>55</v>
      </c>
      <c r="E1034" s="1">
        <v>35.200000000000003</v>
      </c>
      <c r="F1034" s="1">
        <v>0</v>
      </c>
      <c r="G1034" s="7">
        <f t="shared" si="89"/>
        <v>1</v>
      </c>
      <c r="H1034" s="7">
        <f t="shared" si="92"/>
        <v>1</v>
      </c>
      <c r="I1034" s="7">
        <f t="shared" si="93"/>
        <v>1</v>
      </c>
      <c r="J1034" s="7">
        <f t="shared" si="93"/>
        <v>0</v>
      </c>
      <c r="K1034" s="7">
        <f t="shared" si="93"/>
        <v>0</v>
      </c>
      <c r="L1034" s="11">
        <v>44423.803</v>
      </c>
      <c r="M1034" s="12" cm="1">
        <f t="array" ref="M1034">IF(($R$34+SUMPRODUCT(TRANSPOSE(D1034:K1034),$R$35:$R$42))&lt;0,"-",$R$34+SUMPRODUCT(TRANSPOSE(D1034:K1034),$R$35:$R$42))</f>
        <v>36941.682873013473</v>
      </c>
      <c r="N1034" s="13">
        <f t="shared" si="90"/>
        <v>24817.478295978348</v>
      </c>
      <c r="O1034" s="13">
        <f t="shared" si="91"/>
        <v>49065.887450048598</v>
      </c>
    </row>
    <row r="1035" spans="1:15" x14ac:dyDescent="0.25">
      <c r="A1035" s="1" t="s">
        <v>0</v>
      </c>
      <c r="B1035" s="1" t="s">
        <v>4</v>
      </c>
      <c r="C1035" s="1" t="s">
        <v>7</v>
      </c>
      <c r="D1035" s="1">
        <v>30</v>
      </c>
      <c r="E1035" s="1">
        <v>27.93</v>
      </c>
      <c r="F1035" s="1">
        <v>0</v>
      </c>
      <c r="G1035" s="7">
        <f t="shared" si="89"/>
        <v>1</v>
      </c>
      <c r="H1035" s="7">
        <f t="shared" si="92"/>
        <v>0</v>
      </c>
      <c r="I1035" s="7">
        <f t="shared" si="93"/>
        <v>0</v>
      </c>
      <c r="J1035" s="7">
        <f t="shared" si="93"/>
        <v>0</v>
      </c>
      <c r="K1035" s="7">
        <f t="shared" si="93"/>
        <v>1</v>
      </c>
      <c r="L1035" s="11">
        <v>4137.5227000000004</v>
      </c>
      <c r="M1035" s="12" cm="1">
        <f t="array" ref="M1035">IF(($R$34+SUMPRODUCT(TRANSPOSE(D1035:K1035),$R$35:$R$42))&lt;0,"-",$R$34+SUMPRODUCT(TRANSPOSE(D1035:K1035),$R$35:$R$42))</f>
        <v>5240.8251593039931</v>
      </c>
      <c r="N1035" s="13" t="str">
        <f t="shared" si="90"/>
        <v>-</v>
      </c>
      <c r="O1035" s="13">
        <f t="shared" si="91"/>
        <v>17365.029736339115</v>
      </c>
    </row>
    <row r="1036" spans="1:15" x14ac:dyDescent="0.25">
      <c r="A1036" s="1" t="s">
        <v>3</v>
      </c>
      <c r="B1036" s="1" t="s">
        <v>1</v>
      </c>
      <c r="C1036" s="1" t="s">
        <v>7</v>
      </c>
      <c r="D1036" s="1">
        <v>18</v>
      </c>
      <c r="E1036" s="1">
        <v>21.565000000000001</v>
      </c>
      <c r="F1036" s="1">
        <v>0</v>
      </c>
      <c r="G1036" s="7">
        <f t="shared" si="89"/>
        <v>0</v>
      </c>
      <c r="H1036" s="7">
        <f t="shared" si="92"/>
        <v>1</v>
      </c>
      <c r="I1036" s="7">
        <f t="shared" si="93"/>
        <v>0</v>
      </c>
      <c r="J1036" s="7">
        <f t="shared" si="93"/>
        <v>0</v>
      </c>
      <c r="K1036" s="7">
        <f t="shared" si="93"/>
        <v>1</v>
      </c>
      <c r="L1036" s="11">
        <v>13747.87235</v>
      </c>
      <c r="M1036" s="12" cm="1">
        <f t="array" ref="M1036">IF(($R$34+SUMPRODUCT(TRANSPOSE(D1036:K1036),$R$35:$R$42))&lt;0,"-",$R$34+SUMPRODUCT(TRANSPOSE(D1036:K1036),$R$35:$R$42))</f>
        <v>23716.802779140504</v>
      </c>
      <c r="N1036" s="13">
        <f t="shared" si="90"/>
        <v>11592.598202105381</v>
      </c>
      <c r="O1036" s="13">
        <f t="shared" si="91"/>
        <v>35841.007356175629</v>
      </c>
    </row>
    <row r="1037" spans="1:15" x14ac:dyDescent="0.25">
      <c r="A1037" s="1" t="s">
        <v>3</v>
      </c>
      <c r="B1037" s="1" t="s">
        <v>4</v>
      </c>
      <c r="C1037" s="1" t="s">
        <v>6</v>
      </c>
      <c r="D1037" s="1">
        <v>61</v>
      </c>
      <c r="E1037" s="1">
        <v>38.380000000000003</v>
      </c>
      <c r="F1037" s="1">
        <v>0</v>
      </c>
      <c r="G1037" s="7">
        <f t="shared" si="89"/>
        <v>0</v>
      </c>
      <c r="H1037" s="7">
        <f t="shared" si="92"/>
        <v>0</v>
      </c>
      <c r="I1037" s="7">
        <f t="shared" si="93"/>
        <v>0</v>
      </c>
      <c r="J1037" s="7">
        <f t="shared" si="93"/>
        <v>1</v>
      </c>
      <c r="K1037" s="7">
        <f t="shared" si="93"/>
        <v>0</v>
      </c>
      <c r="L1037" s="11">
        <v>12950.0712</v>
      </c>
      <c r="M1037" s="12" cm="1">
        <f t="array" ref="M1037">IF(($R$34+SUMPRODUCT(TRANSPOSE(D1037:K1037),$R$35:$R$42))&lt;0,"-",$R$34+SUMPRODUCT(TRANSPOSE(D1037:K1037),$R$35:$R$42))</f>
        <v>16263.665419375309</v>
      </c>
      <c r="N1037" s="13">
        <f t="shared" si="90"/>
        <v>4139.460842340186</v>
      </c>
      <c r="O1037" s="13">
        <f t="shared" si="91"/>
        <v>28387.869996410431</v>
      </c>
    </row>
    <row r="1038" spans="1:15" x14ac:dyDescent="0.25">
      <c r="A1038" s="1" t="s">
        <v>0</v>
      </c>
      <c r="B1038" s="1" t="s">
        <v>4</v>
      </c>
      <c r="C1038" s="1" t="s">
        <v>2</v>
      </c>
      <c r="D1038" s="1">
        <v>54</v>
      </c>
      <c r="E1038" s="1">
        <v>23</v>
      </c>
      <c r="F1038" s="1">
        <v>3</v>
      </c>
      <c r="G1038" s="7">
        <f t="shared" si="89"/>
        <v>1</v>
      </c>
      <c r="H1038" s="7">
        <f t="shared" si="92"/>
        <v>0</v>
      </c>
      <c r="I1038" s="7">
        <f t="shared" si="93"/>
        <v>0</v>
      </c>
      <c r="J1038" s="7">
        <f t="shared" si="93"/>
        <v>0</v>
      </c>
      <c r="K1038" s="7">
        <f t="shared" si="93"/>
        <v>0</v>
      </c>
      <c r="L1038" s="11">
        <v>12094.477999999999</v>
      </c>
      <c r="M1038" s="12" cm="1">
        <f t="array" ref="M1038">IF(($R$34+SUMPRODUCT(TRANSPOSE(D1038:K1038),$R$35:$R$42))&lt;0,"-",$R$34+SUMPRODUCT(TRANSPOSE(D1038:K1038),$R$35:$R$42))</f>
        <v>10199.604538045471</v>
      </c>
      <c r="N1038" s="13" t="str">
        <f t="shared" si="90"/>
        <v>-</v>
      </c>
      <c r="O1038" s="13">
        <f t="shared" si="91"/>
        <v>22323.809115080592</v>
      </c>
    </row>
    <row r="1039" spans="1:15" x14ac:dyDescent="0.25">
      <c r="A1039" s="1" t="s">
        <v>3</v>
      </c>
      <c r="B1039" s="1" t="s">
        <v>1</v>
      </c>
      <c r="C1039" s="1" t="s">
        <v>5</v>
      </c>
      <c r="D1039" s="1">
        <v>22</v>
      </c>
      <c r="E1039" s="1">
        <v>37.07</v>
      </c>
      <c r="F1039" s="1">
        <v>2</v>
      </c>
      <c r="G1039" s="7">
        <f t="shared" si="89"/>
        <v>0</v>
      </c>
      <c r="H1039" s="7">
        <f t="shared" si="92"/>
        <v>1</v>
      </c>
      <c r="I1039" s="7">
        <f t="shared" si="93"/>
        <v>1</v>
      </c>
      <c r="J1039" s="7">
        <f t="shared" si="93"/>
        <v>0</v>
      </c>
      <c r="K1039" s="7">
        <f t="shared" si="93"/>
        <v>0</v>
      </c>
      <c r="L1039" s="11">
        <v>37484.4493</v>
      </c>
      <c r="M1039" s="12" cm="1">
        <f t="array" ref="M1039">IF(($R$34+SUMPRODUCT(TRANSPOSE(D1039:K1039),$R$35:$R$42))&lt;0,"-",$R$34+SUMPRODUCT(TRANSPOSE(D1039:K1039),$R$35:$R$42))</f>
        <v>29919.401728436424</v>
      </c>
      <c r="N1039" s="13">
        <f t="shared" si="90"/>
        <v>17795.197151401298</v>
      </c>
      <c r="O1039" s="13">
        <f t="shared" si="91"/>
        <v>42043.606305471549</v>
      </c>
    </row>
    <row r="1040" spans="1:15" x14ac:dyDescent="0.25">
      <c r="A1040" s="1" t="s">
        <v>0</v>
      </c>
      <c r="B1040" s="1" t="s">
        <v>1</v>
      </c>
      <c r="C1040" s="1" t="s">
        <v>6</v>
      </c>
      <c r="D1040" s="1">
        <v>45</v>
      </c>
      <c r="E1040" s="1">
        <v>30.495000000000001</v>
      </c>
      <c r="F1040" s="1">
        <v>1</v>
      </c>
      <c r="G1040" s="7">
        <f t="shared" si="89"/>
        <v>1</v>
      </c>
      <c r="H1040" s="7">
        <f t="shared" si="92"/>
        <v>1</v>
      </c>
      <c r="I1040" s="7">
        <f t="shared" si="93"/>
        <v>0</v>
      </c>
      <c r="J1040" s="7">
        <f t="shared" si="93"/>
        <v>1</v>
      </c>
      <c r="K1040" s="7">
        <f t="shared" si="93"/>
        <v>0</v>
      </c>
      <c r="L1040" s="11">
        <v>39725.518049999999</v>
      </c>
      <c r="M1040" s="12" cm="1">
        <f t="array" ref="M1040">IF(($R$34+SUMPRODUCT(TRANSPOSE(D1040:K1040),$R$35:$R$42))&lt;0,"-",$R$34+SUMPRODUCT(TRANSPOSE(D1040:K1040),$R$35:$R$42))</f>
        <v>33934.772843513296</v>
      </c>
      <c r="N1040" s="13">
        <f t="shared" si="90"/>
        <v>21810.568266478171</v>
      </c>
      <c r="O1040" s="13">
        <f t="shared" si="91"/>
        <v>46058.977420548421</v>
      </c>
    </row>
    <row r="1041" spans="1:15" x14ac:dyDescent="0.25">
      <c r="A1041" s="1" t="s">
        <v>3</v>
      </c>
      <c r="B1041" s="1" t="s">
        <v>4</v>
      </c>
      <c r="C1041" s="1" t="s">
        <v>7</v>
      </c>
      <c r="D1041" s="1">
        <v>22</v>
      </c>
      <c r="E1041" s="1">
        <v>28.88</v>
      </c>
      <c r="F1041" s="1">
        <v>0</v>
      </c>
      <c r="G1041" s="7">
        <f t="shared" si="89"/>
        <v>0</v>
      </c>
      <c r="H1041" s="7">
        <f t="shared" si="92"/>
        <v>0</v>
      </c>
      <c r="I1041" s="7">
        <f t="shared" si="93"/>
        <v>0</v>
      </c>
      <c r="J1041" s="7">
        <f t="shared" si="93"/>
        <v>0</v>
      </c>
      <c r="K1041" s="7">
        <f t="shared" si="93"/>
        <v>1</v>
      </c>
      <c r="L1041" s="11">
        <v>2250.8352</v>
      </c>
      <c r="M1041" s="12" cm="1">
        <f t="array" ref="M1041">IF(($R$34+SUMPRODUCT(TRANSPOSE(D1041:K1041),$R$35:$R$42))&lt;0,"-",$R$34+SUMPRODUCT(TRANSPOSE(D1041:K1041),$R$35:$R$42))</f>
        <v>3376.8937605403989</v>
      </c>
      <c r="N1041" s="13" t="str">
        <f t="shared" si="90"/>
        <v>-</v>
      </c>
      <c r="O1041" s="13">
        <f t="shared" si="91"/>
        <v>15501.098337575522</v>
      </c>
    </row>
    <row r="1042" spans="1:15" x14ac:dyDescent="0.25">
      <c r="A1042" s="1" t="s">
        <v>3</v>
      </c>
      <c r="B1042" s="1" t="s">
        <v>4</v>
      </c>
      <c r="C1042" s="1" t="s">
        <v>6</v>
      </c>
      <c r="D1042" s="1">
        <v>19</v>
      </c>
      <c r="E1042" s="1">
        <v>27.265000000000001</v>
      </c>
      <c r="F1042" s="1">
        <v>2</v>
      </c>
      <c r="G1042" s="7">
        <f t="shared" si="89"/>
        <v>0</v>
      </c>
      <c r="H1042" s="7">
        <f t="shared" si="92"/>
        <v>0</v>
      </c>
      <c r="I1042" s="7">
        <f t="shared" si="93"/>
        <v>0</v>
      </c>
      <c r="J1042" s="7">
        <f t="shared" si="93"/>
        <v>1</v>
      </c>
      <c r="K1042" s="7">
        <f t="shared" si="93"/>
        <v>0</v>
      </c>
      <c r="L1042" s="11">
        <v>22493.659640000002</v>
      </c>
      <c r="M1042" s="12" cm="1">
        <f t="array" ref="M1042">IF(($R$34+SUMPRODUCT(TRANSPOSE(D1042:K1042),$R$35:$R$42))&lt;0,"-",$R$34+SUMPRODUCT(TRANSPOSE(D1042:K1042),$R$35:$R$42))</f>
        <v>2656.5644662204741</v>
      </c>
      <c r="N1042" s="13" t="str">
        <f t="shared" si="90"/>
        <v>-</v>
      </c>
      <c r="O1042" s="13">
        <f t="shared" si="91"/>
        <v>14780.769043255597</v>
      </c>
    </row>
    <row r="1043" spans="1:15" x14ac:dyDescent="0.25">
      <c r="A1043" s="1" t="s">
        <v>0</v>
      </c>
      <c r="B1043" s="1" t="s">
        <v>1</v>
      </c>
      <c r="C1043" s="1" t="s">
        <v>6</v>
      </c>
      <c r="D1043" s="1">
        <v>35</v>
      </c>
      <c r="E1043" s="1">
        <v>28.024999999999999</v>
      </c>
      <c r="F1043" s="1">
        <v>0</v>
      </c>
      <c r="G1043" s="7">
        <f t="shared" si="89"/>
        <v>1</v>
      </c>
      <c r="H1043" s="7">
        <f t="shared" si="92"/>
        <v>1</v>
      </c>
      <c r="I1043" s="7">
        <f t="shared" si="93"/>
        <v>0</v>
      </c>
      <c r="J1043" s="7">
        <f t="shared" si="93"/>
        <v>1</v>
      </c>
      <c r="K1043" s="7">
        <f t="shared" si="93"/>
        <v>0</v>
      </c>
      <c r="L1043" s="11">
        <v>20234.854749999999</v>
      </c>
      <c r="M1043" s="12" cm="1">
        <f t="array" ref="M1043">IF(($R$34+SUMPRODUCT(TRANSPOSE(D1043:K1043),$R$35:$R$42))&lt;0,"-",$R$34+SUMPRODUCT(TRANSPOSE(D1043:K1043),$R$35:$R$42))</f>
        <v>30052.900942571912</v>
      </c>
      <c r="N1043" s="13">
        <f t="shared" si="90"/>
        <v>17928.696365536787</v>
      </c>
      <c r="O1043" s="13">
        <f t="shared" si="91"/>
        <v>42177.105519607037</v>
      </c>
    </row>
    <row r="1044" spans="1:15" x14ac:dyDescent="0.25">
      <c r="A1044" s="1" t="s">
        <v>3</v>
      </c>
      <c r="B1044" s="1" t="s">
        <v>4</v>
      </c>
      <c r="C1044" s="1" t="s">
        <v>7</v>
      </c>
      <c r="D1044" s="1">
        <v>18</v>
      </c>
      <c r="E1044" s="1">
        <v>23.085000000000001</v>
      </c>
      <c r="F1044" s="1">
        <v>0</v>
      </c>
      <c r="G1044" s="7">
        <f t="shared" si="89"/>
        <v>0</v>
      </c>
      <c r="H1044" s="7">
        <f t="shared" si="92"/>
        <v>0</v>
      </c>
      <c r="I1044" s="7">
        <f t="shared" si="93"/>
        <v>0</v>
      </c>
      <c r="J1044" s="7">
        <f t="shared" si="93"/>
        <v>0</v>
      </c>
      <c r="K1044" s="7">
        <f t="shared" si="93"/>
        <v>1</v>
      </c>
      <c r="L1044" s="11">
        <v>1704.7001499999999</v>
      </c>
      <c r="M1044" s="12" cm="1">
        <f t="array" ref="M1044">IF(($R$34+SUMPRODUCT(TRANSPOSE(D1044:K1044),$R$35:$R$42))&lt;0,"-",$R$34+SUMPRODUCT(TRANSPOSE(D1044:K1044),$R$35:$R$42))</f>
        <v>383.84228671619167</v>
      </c>
      <c r="N1044" s="13" t="str">
        <f t="shared" si="90"/>
        <v>-</v>
      </c>
      <c r="O1044" s="13">
        <f t="shared" si="91"/>
        <v>12508.046863751315</v>
      </c>
    </row>
    <row r="1045" spans="1:15" x14ac:dyDescent="0.25">
      <c r="A1045" s="1" t="s">
        <v>3</v>
      </c>
      <c r="B1045" s="1" t="s">
        <v>1</v>
      </c>
      <c r="C1045" s="1" t="s">
        <v>7</v>
      </c>
      <c r="D1045" s="1">
        <v>20</v>
      </c>
      <c r="E1045" s="1">
        <v>30.684999999999999</v>
      </c>
      <c r="F1045" s="1">
        <v>0</v>
      </c>
      <c r="G1045" s="7">
        <f t="shared" si="89"/>
        <v>0</v>
      </c>
      <c r="H1045" s="7">
        <f t="shared" si="92"/>
        <v>1</v>
      </c>
      <c r="I1045" s="7">
        <f t="shared" si="93"/>
        <v>0</v>
      </c>
      <c r="J1045" s="7">
        <f t="shared" si="93"/>
        <v>0</v>
      </c>
      <c r="K1045" s="7">
        <f t="shared" si="93"/>
        <v>1</v>
      </c>
      <c r="L1045" s="11">
        <v>33475.817150000003</v>
      </c>
      <c r="M1045" s="12" cm="1">
        <f t="array" ref="M1045">IF(($R$34+SUMPRODUCT(TRANSPOSE(D1045:K1045),$R$35:$R$42))&lt;0,"-",$R$34+SUMPRODUCT(TRANSPOSE(D1045:K1045),$R$35:$R$42))</f>
        <v>27323.959781146063</v>
      </c>
      <c r="N1045" s="13">
        <f t="shared" si="90"/>
        <v>15199.755204110939</v>
      </c>
      <c r="O1045" s="13">
        <f t="shared" si="91"/>
        <v>39448.164358181188</v>
      </c>
    </row>
    <row r="1046" spans="1:15" x14ac:dyDescent="0.25">
      <c r="A1046" s="1" t="s">
        <v>0</v>
      </c>
      <c r="B1046" s="1" t="s">
        <v>4</v>
      </c>
      <c r="C1046" s="1" t="s">
        <v>2</v>
      </c>
      <c r="D1046" s="1">
        <v>28</v>
      </c>
      <c r="E1046" s="1">
        <v>25.8</v>
      </c>
      <c r="F1046" s="1">
        <v>0</v>
      </c>
      <c r="G1046" s="7">
        <f t="shared" si="89"/>
        <v>1</v>
      </c>
      <c r="H1046" s="7">
        <f t="shared" si="92"/>
        <v>0</v>
      </c>
      <c r="I1046" s="7">
        <f t="shared" si="93"/>
        <v>0</v>
      </c>
      <c r="J1046" s="7">
        <f t="shared" si="93"/>
        <v>0</v>
      </c>
      <c r="K1046" s="7">
        <f t="shared" si="93"/>
        <v>0</v>
      </c>
      <c r="L1046" s="11">
        <v>3161.4540000000002</v>
      </c>
      <c r="M1046" s="12" cm="1">
        <f t="array" ref="M1046">IF(($R$34+SUMPRODUCT(TRANSPOSE(D1046:K1046),$R$35:$R$42))&lt;0,"-",$R$34+SUMPRODUCT(TRANSPOSE(D1046:K1046),$R$35:$R$42))</f>
        <v>3044.5794067373772</v>
      </c>
      <c r="N1046" s="13" t="str">
        <f t="shared" si="90"/>
        <v>-</v>
      </c>
      <c r="O1046" s="13">
        <f t="shared" si="91"/>
        <v>15168.783983772501</v>
      </c>
    </row>
    <row r="1047" spans="1:15" x14ac:dyDescent="0.25">
      <c r="A1047" s="1" t="s">
        <v>3</v>
      </c>
      <c r="B1047" s="1" t="s">
        <v>4</v>
      </c>
      <c r="C1047" s="1" t="s">
        <v>7</v>
      </c>
      <c r="D1047" s="1">
        <v>55</v>
      </c>
      <c r="E1047" s="1">
        <v>35.244999999999997</v>
      </c>
      <c r="F1047" s="1">
        <v>1</v>
      </c>
      <c r="G1047" s="7">
        <f t="shared" si="89"/>
        <v>0</v>
      </c>
      <c r="H1047" s="7">
        <f t="shared" si="92"/>
        <v>0</v>
      </c>
      <c r="I1047" s="7">
        <f t="shared" si="93"/>
        <v>0</v>
      </c>
      <c r="J1047" s="7">
        <f t="shared" si="93"/>
        <v>0</v>
      </c>
      <c r="K1047" s="7">
        <f t="shared" si="93"/>
        <v>1</v>
      </c>
      <c r="L1047" s="11">
        <v>11394.065549999999</v>
      </c>
      <c r="M1047" s="12" cm="1">
        <f t="array" ref="M1047">IF(($R$34+SUMPRODUCT(TRANSPOSE(D1047:K1047),$R$35:$R$42))&lt;0,"-",$R$34+SUMPRODUCT(TRANSPOSE(D1047:K1047),$R$35:$R$42))</f>
        <v>14487.620271655014</v>
      </c>
      <c r="N1047" s="13">
        <f t="shared" si="90"/>
        <v>2363.4156946198909</v>
      </c>
      <c r="O1047" s="13">
        <f t="shared" si="91"/>
        <v>26611.824848690136</v>
      </c>
    </row>
    <row r="1048" spans="1:15" x14ac:dyDescent="0.25">
      <c r="A1048" s="1" t="s">
        <v>0</v>
      </c>
      <c r="B1048" s="1" t="s">
        <v>1</v>
      </c>
      <c r="C1048" s="1" t="s">
        <v>6</v>
      </c>
      <c r="D1048" s="1">
        <v>43</v>
      </c>
      <c r="E1048" s="1">
        <v>24.7</v>
      </c>
      <c r="F1048" s="1">
        <v>2</v>
      </c>
      <c r="G1048" s="7">
        <f t="shared" si="89"/>
        <v>1</v>
      </c>
      <c r="H1048" s="7">
        <f t="shared" si="92"/>
        <v>1</v>
      </c>
      <c r="I1048" s="7">
        <f t="shared" si="93"/>
        <v>0</v>
      </c>
      <c r="J1048" s="7">
        <f t="shared" si="93"/>
        <v>1</v>
      </c>
      <c r="K1048" s="7">
        <f t="shared" si="93"/>
        <v>0</v>
      </c>
      <c r="L1048" s="11">
        <v>21880.82</v>
      </c>
      <c r="M1048" s="12" cm="1">
        <f t="array" ref="M1048">IF(($R$34+SUMPRODUCT(TRANSPOSE(D1048:K1048),$R$35:$R$42))&lt;0,"-",$R$34+SUMPRODUCT(TRANSPOSE(D1048:K1048),$R$35:$R$42))</f>
        <v>31930.934619912914</v>
      </c>
      <c r="N1048" s="13">
        <f t="shared" si="90"/>
        <v>19806.730042877789</v>
      </c>
      <c r="O1048" s="13">
        <f t="shared" si="91"/>
        <v>44055.139196948039</v>
      </c>
    </row>
    <row r="1049" spans="1:15" x14ac:dyDescent="0.25">
      <c r="A1049" s="1" t="s">
        <v>0</v>
      </c>
      <c r="B1049" s="1" t="s">
        <v>4</v>
      </c>
      <c r="C1049" s="1" t="s">
        <v>7</v>
      </c>
      <c r="D1049" s="1">
        <v>43</v>
      </c>
      <c r="E1049" s="1">
        <v>25.08</v>
      </c>
      <c r="F1049" s="1">
        <v>0</v>
      </c>
      <c r="G1049" s="7">
        <f t="shared" si="89"/>
        <v>1</v>
      </c>
      <c r="H1049" s="7">
        <f t="shared" si="92"/>
        <v>0</v>
      </c>
      <c r="I1049" s="7">
        <f t="shared" si="93"/>
        <v>0</v>
      </c>
      <c r="J1049" s="7">
        <f t="shared" si="93"/>
        <v>0</v>
      </c>
      <c r="K1049" s="7">
        <f t="shared" si="93"/>
        <v>1</v>
      </c>
      <c r="L1049" s="11">
        <v>7325.0482000000002</v>
      </c>
      <c r="M1049" s="12" cm="1">
        <f t="array" ref="M1049">IF(($R$34+SUMPRODUCT(TRANSPOSE(D1049:K1049),$R$35:$R$42))&lt;0,"-",$R$34+SUMPRODUCT(TRANSPOSE(D1049:K1049),$R$35:$R$42))</f>
        <v>7613.2563994986231</v>
      </c>
      <c r="N1049" s="13" t="str">
        <f t="shared" si="90"/>
        <v>-</v>
      </c>
      <c r="O1049" s="13">
        <f t="shared" si="91"/>
        <v>19737.460976533745</v>
      </c>
    </row>
    <row r="1050" spans="1:15" x14ac:dyDescent="0.25">
      <c r="A1050" s="1" t="s">
        <v>3</v>
      </c>
      <c r="B1050" s="1" t="s">
        <v>1</v>
      </c>
      <c r="C1050" s="1" t="s">
        <v>5</v>
      </c>
      <c r="D1050" s="1">
        <v>22</v>
      </c>
      <c r="E1050" s="1">
        <v>52.58</v>
      </c>
      <c r="F1050" s="1">
        <v>1</v>
      </c>
      <c r="G1050" s="7">
        <f t="shared" si="89"/>
        <v>0</v>
      </c>
      <c r="H1050" s="7">
        <f t="shared" si="92"/>
        <v>1</v>
      </c>
      <c r="I1050" s="7">
        <f t="shared" si="93"/>
        <v>1</v>
      </c>
      <c r="J1050" s="7">
        <f t="shared" si="93"/>
        <v>0</v>
      </c>
      <c r="K1050" s="7">
        <f t="shared" si="93"/>
        <v>0</v>
      </c>
      <c r="L1050" s="11">
        <v>44501.398200000003</v>
      </c>
      <c r="M1050" s="12" cm="1">
        <f t="array" ref="M1050">IF(($R$34+SUMPRODUCT(TRANSPOSE(D1050:K1050),$R$35:$R$42))&lt;0,"-",$R$34+SUMPRODUCT(TRANSPOSE(D1050:K1050),$R$35:$R$42))</f>
        <v>34704.791648791419</v>
      </c>
      <c r="N1050" s="13">
        <f t="shared" si="90"/>
        <v>22580.587071756294</v>
      </c>
      <c r="O1050" s="13">
        <f t="shared" si="91"/>
        <v>46828.996225826544</v>
      </c>
    </row>
    <row r="1051" spans="1:15" x14ac:dyDescent="0.25">
      <c r="A1051" s="1" t="s">
        <v>0</v>
      </c>
      <c r="B1051" s="1" t="s">
        <v>4</v>
      </c>
      <c r="C1051" s="1" t="s">
        <v>6</v>
      </c>
      <c r="D1051" s="1">
        <v>25</v>
      </c>
      <c r="E1051" s="1">
        <v>22.515000000000001</v>
      </c>
      <c r="F1051" s="1">
        <v>1</v>
      </c>
      <c r="G1051" s="7">
        <f t="shared" si="89"/>
        <v>1</v>
      </c>
      <c r="H1051" s="7">
        <f t="shared" si="92"/>
        <v>0</v>
      </c>
      <c r="I1051" s="7">
        <f t="shared" si="93"/>
        <v>0</v>
      </c>
      <c r="J1051" s="7">
        <f t="shared" si="93"/>
        <v>1</v>
      </c>
      <c r="K1051" s="7">
        <f t="shared" si="93"/>
        <v>0</v>
      </c>
      <c r="L1051" s="11">
        <v>3594.17085</v>
      </c>
      <c r="M1051" s="12" cm="1">
        <f t="array" ref="M1051">IF(($R$34+SUMPRODUCT(TRANSPOSE(D1051:K1051),$R$35:$R$42))&lt;0,"-",$R$34+SUMPRODUCT(TRANSPOSE(D1051:K1051),$R$35:$R$42))</f>
        <v>2242.3474910390451</v>
      </c>
      <c r="N1051" s="13" t="str">
        <f t="shared" si="90"/>
        <v>-</v>
      </c>
      <c r="O1051" s="13">
        <f t="shared" si="91"/>
        <v>14366.552068074168</v>
      </c>
    </row>
    <row r="1052" spans="1:15" x14ac:dyDescent="0.25">
      <c r="A1052" s="1" t="s">
        <v>3</v>
      </c>
      <c r="B1052" s="1" t="s">
        <v>1</v>
      </c>
      <c r="C1052" s="1" t="s">
        <v>2</v>
      </c>
      <c r="D1052" s="1">
        <v>49</v>
      </c>
      <c r="E1052" s="1">
        <v>30.9</v>
      </c>
      <c r="F1052" s="1">
        <v>0</v>
      </c>
      <c r="G1052" s="7">
        <f t="shared" si="89"/>
        <v>0</v>
      </c>
      <c r="H1052" s="7">
        <f t="shared" si="92"/>
        <v>1</v>
      </c>
      <c r="I1052" s="7">
        <f t="shared" si="93"/>
        <v>0</v>
      </c>
      <c r="J1052" s="7">
        <f t="shared" si="93"/>
        <v>0</v>
      </c>
      <c r="K1052" s="7">
        <f t="shared" si="93"/>
        <v>0</v>
      </c>
      <c r="L1052" s="11">
        <v>39727.614000000001</v>
      </c>
      <c r="M1052" s="12" cm="1">
        <f t="array" ref="M1052">IF(($R$34+SUMPRODUCT(TRANSPOSE(D1052:K1052),$R$35:$R$42))&lt;0,"-",$R$34+SUMPRODUCT(TRANSPOSE(D1052:K1052),$R$35:$R$42))</f>
        <v>33885.669605954652</v>
      </c>
      <c r="N1052" s="13">
        <f t="shared" si="90"/>
        <v>21761.465028919527</v>
      </c>
      <c r="O1052" s="13">
        <f t="shared" si="91"/>
        <v>46009.874182989777</v>
      </c>
    </row>
    <row r="1053" spans="1:15" x14ac:dyDescent="0.25">
      <c r="A1053" s="1" t="s">
        <v>0</v>
      </c>
      <c r="B1053" s="1" t="s">
        <v>4</v>
      </c>
      <c r="C1053" s="1" t="s">
        <v>6</v>
      </c>
      <c r="D1053" s="1">
        <v>44</v>
      </c>
      <c r="E1053" s="1">
        <v>36.954999999999998</v>
      </c>
      <c r="F1053" s="1">
        <v>1</v>
      </c>
      <c r="G1053" s="7">
        <f t="shared" si="89"/>
        <v>1</v>
      </c>
      <c r="H1053" s="7">
        <f t="shared" si="92"/>
        <v>0</v>
      </c>
      <c r="I1053" s="7">
        <f t="shared" si="93"/>
        <v>0</v>
      </c>
      <c r="J1053" s="7">
        <f t="shared" si="93"/>
        <v>1</v>
      </c>
      <c r="K1053" s="7">
        <f t="shared" si="93"/>
        <v>0</v>
      </c>
      <c r="L1053" s="11">
        <v>8023.1354499999998</v>
      </c>
      <c r="M1053" s="12" cm="1">
        <f t="array" ref="M1053">IF(($R$34+SUMPRODUCT(TRANSPOSE(D1053:K1053),$R$35:$R$42))&lt;0,"-",$R$34+SUMPRODUCT(TRANSPOSE(D1053:K1053),$R$35:$R$42))</f>
        <v>12020.571659389188</v>
      </c>
      <c r="N1053" s="13" t="str">
        <f t="shared" si="90"/>
        <v>-</v>
      </c>
      <c r="O1053" s="13">
        <f t="shared" si="91"/>
        <v>24144.77623642431</v>
      </c>
    </row>
    <row r="1054" spans="1:15" x14ac:dyDescent="0.25">
      <c r="A1054" s="1" t="s">
        <v>3</v>
      </c>
      <c r="B1054" s="1" t="s">
        <v>4</v>
      </c>
      <c r="C1054" s="1" t="s">
        <v>7</v>
      </c>
      <c r="D1054" s="1">
        <v>64</v>
      </c>
      <c r="E1054" s="1">
        <v>26.41</v>
      </c>
      <c r="F1054" s="1">
        <v>0</v>
      </c>
      <c r="G1054" s="7">
        <f t="shared" si="89"/>
        <v>0</v>
      </c>
      <c r="H1054" s="7">
        <f t="shared" si="92"/>
        <v>0</v>
      </c>
      <c r="I1054" s="7">
        <f t="shared" si="93"/>
        <v>0</v>
      </c>
      <c r="J1054" s="7">
        <f t="shared" si="93"/>
        <v>0</v>
      </c>
      <c r="K1054" s="7">
        <f t="shared" si="93"/>
        <v>1</v>
      </c>
      <c r="L1054" s="11">
        <v>14394.5579</v>
      </c>
      <c r="M1054" s="12" cm="1">
        <f t="array" ref="M1054">IF(($R$34+SUMPRODUCT(TRANSPOSE(D1054:K1054),$R$35:$R$42))&lt;0,"-",$R$34+SUMPRODUCT(TRANSPOSE(D1054:K1054),$R$35:$R$42))</f>
        <v>13327.052736690242</v>
      </c>
      <c r="N1054" s="13">
        <f t="shared" si="90"/>
        <v>1202.8481596551192</v>
      </c>
      <c r="O1054" s="13">
        <f t="shared" si="91"/>
        <v>25451.257313725364</v>
      </c>
    </row>
    <row r="1055" spans="1:15" x14ac:dyDescent="0.25">
      <c r="A1055" s="1" t="s">
        <v>3</v>
      </c>
      <c r="B1055" s="1" t="s">
        <v>4</v>
      </c>
      <c r="C1055" s="1" t="s">
        <v>7</v>
      </c>
      <c r="D1055" s="1">
        <v>49</v>
      </c>
      <c r="E1055" s="1">
        <v>29.83</v>
      </c>
      <c r="F1055" s="1">
        <v>1</v>
      </c>
      <c r="G1055" s="7">
        <f t="shared" si="89"/>
        <v>0</v>
      </c>
      <c r="H1055" s="7">
        <f t="shared" si="92"/>
        <v>0</v>
      </c>
      <c r="I1055" s="7">
        <f t="shared" si="93"/>
        <v>0</v>
      </c>
      <c r="J1055" s="7">
        <f t="shared" si="93"/>
        <v>0</v>
      </c>
      <c r="K1055" s="7">
        <f t="shared" si="93"/>
        <v>1</v>
      </c>
      <c r="L1055" s="11">
        <v>9288.0267000000003</v>
      </c>
      <c r="M1055" s="12" cm="1">
        <f t="array" ref="M1055">IF(($R$34+SUMPRODUCT(TRANSPOSE(D1055:K1055),$R$35:$R$42))&lt;0,"-",$R$34+SUMPRODUCT(TRANSPOSE(D1055:K1055),$R$35:$R$42))</f>
        <v>11109.749605128229</v>
      </c>
      <c r="N1055" s="13" t="str">
        <f t="shared" si="90"/>
        <v>-</v>
      </c>
      <c r="O1055" s="13">
        <f t="shared" si="91"/>
        <v>23233.954182163354</v>
      </c>
    </row>
    <row r="1056" spans="1:15" x14ac:dyDescent="0.25">
      <c r="A1056" s="1" t="s">
        <v>3</v>
      </c>
      <c r="B1056" s="1" t="s">
        <v>1</v>
      </c>
      <c r="C1056" s="1" t="s">
        <v>2</v>
      </c>
      <c r="D1056" s="1">
        <v>47</v>
      </c>
      <c r="E1056" s="1">
        <v>29.8</v>
      </c>
      <c r="F1056" s="1">
        <v>3</v>
      </c>
      <c r="G1056" s="7">
        <f t="shared" si="89"/>
        <v>0</v>
      </c>
      <c r="H1056" s="7">
        <f t="shared" si="92"/>
        <v>1</v>
      </c>
      <c r="I1056" s="7">
        <f t="shared" si="93"/>
        <v>0</v>
      </c>
      <c r="J1056" s="7">
        <f t="shared" si="93"/>
        <v>0</v>
      </c>
      <c r="K1056" s="7">
        <f t="shared" si="93"/>
        <v>0</v>
      </c>
      <c r="L1056" s="11">
        <v>25309.489000000001</v>
      </c>
      <c r="M1056" s="12" cm="1">
        <f t="array" ref="M1056">IF(($R$34+SUMPRODUCT(TRANSPOSE(D1056:K1056),$R$35:$R$42))&lt;0,"-",$R$34+SUMPRODUCT(TRANSPOSE(D1056:K1056),$R$35:$R$42))</f>
        <v>34425.345737355441</v>
      </c>
      <c r="N1056" s="13">
        <f t="shared" si="90"/>
        <v>22301.141160320316</v>
      </c>
      <c r="O1056" s="13">
        <f t="shared" si="91"/>
        <v>46549.550314390566</v>
      </c>
    </row>
    <row r="1057" spans="1:15" x14ac:dyDescent="0.25">
      <c r="A1057" s="1" t="s">
        <v>0</v>
      </c>
      <c r="B1057" s="1" t="s">
        <v>4</v>
      </c>
      <c r="C1057" s="1" t="s">
        <v>6</v>
      </c>
      <c r="D1057" s="1">
        <v>27</v>
      </c>
      <c r="E1057" s="1">
        <v>21.47</v>
      </c>
      <c r="F1057" s="1">
        <v>0</v>
      </c>
      <c r="G1057" s="7">
        <f t="shared" si="89"/>
        <v>1</v>
      </c>
      <c r="H1057" s="7">
        <f t="shared" si="92"/>
        <v>0</v>
      </c>
      <c r="I1057" s="7">
        <f t="shared" si="93"/>
        <v>0</v>
      </c>
      <c r="J1057" s="7">
        <f t="shared" si="93"/>
        <v>1</v>
      </c>
      <c r="K1057" s="7">
        <f t="shared" si="93"/>
        <v>0</v>
      </c>
      <c r="L1057" s="11">
        <v>3353.4703</v>
      </c>
      <c r="M1057" s="12" cm="1">
        <f t="array" ref="M1057">IF(($R$34+SUMPRODUCT(TRANSPOSE(D1057:K1057),$R$35:$R$42))&lt;0,"-",$R$34+SUMPRODUCT(TRANSPOSE(D1057:K1057),$R$35:$R$42))</f>
        <v>1926.1024919412812</v>
      </c>
      <c r="N1057" s="13" t="str">
        <f t="shared" si="90"/>
        <v>-</v>
      </c>
      <c r="O1057" s="13">
        <f t="shared" si="91"/>
        <v>14050.307068976404</v>
      </c>
    </row>
    <row r="1058" spans="1:15" x14ac:dyDescent="0.25">
      <c r="A1058" s="1" t="s">
        <v>3</v>
      </c>
      <c r="B1058" s="1" t="s">
        <v>4</v>
      </c>
      <c r="C1058" s="1" t="s">
        <v>6</v>
      </c>
      <c r="D1058" s="1">
        <v>55</v>
      </c>
      <c r="E1058" s="1">
        <v>27.645</v>
      </c>
      <c r="F1058" s="1">
        <v>0</v>
      </c>
      <c r="G1058" s="7">
        <f t="shared" si="89"/>
        <v>0</v>
      </c>
      <c r="H1058" s="7">
        <f t="shared" si="92"/>
        <v>0</v>
      </c>
      <c r="I1058" s="7">
        <f t="shared" si="93"/>
        <v>0</v>
      </c>
      <c r="J1058" s="7">
        <f t="shared" si="93"/>
        <v>1</v>
      </c>
      <c r="K1058" s="7">
        <f t="shared" si="93"/>
        <v>0</v>
      </c>
      <c r="L1058" s="11">
        <v>10594.501550000001</v>
      </c>
      <c r="M1058" s="12" cm="1">
        <f t="array" ref="M1058">IF(($R$34+SUMPRODUCT(TRANSPOSE(D1058:K1058),$R$35:$R$42))&lt;0,"-",$R$34+SUMPRODUCT(TRANSPOSE(D1058:K1058),$R$35:$R$42))</f>
        <v>11081.285579638854</v>
      </c>
      <c r="N1058" s="13" t="str">
        <f t="shared" si="90"/>
        <v>-</v>
      </c>
      <c r="O1058" s="13">
        <f t="shared" si="91"/>
        <v>23205.490156673979</v>
      </c>
    </row>
    <row r="1059" spans="1:15" x14ac:dyDescent="0.25">
      <c r="A1059" s="1" t="s">
        <v>0</v>
      </c>
      <c r="B1059" s="1" t="s">
        <v>4</v>
      </c>
      <c r="C1059" s="1" t="s">
        <v>2</v>
      </c>
      <c r="D1059" s="1">
        <v>48</v>
      </c>
      <c r="E1059" s="1">
        <v>28.9</v>
      </c>
      <c r="F1059" s="1">
        <v>0</v>
      </c>
      <c r="G1059" s="7">
        <f t="shared" si="89"/>
        <v>1</v>
      </c>
      <c r="H1059" s="7">
        <f t="shared" si="92"/>
        <v>0</v>
      </c>
      <c r="I1059" s="7">
        <f t="shared" si="93"/>
        <v>0</v>
      </c>
      <c r="J1059" s="7">
        <f t="shared" si="93"/>
        <v>0</v>
      </c>
      <c r="K1059" s="7">
        <f t="shared" si="93"/>
        <v>0</v>
      </c>
      <c r="L1059" s="11">
        <v>8277.5229999999992</v>
      </c>
      <c r="M1059" s="12" cm="1">
        <f t="array" ref="M1059">IF(($R$34+SUMPRODUCT(TRANSPOSE(D1059:K1059),$R$35:$R$42))&lt;0,"-",$R$34+SUMPRODUCT(TRANSPOSE(D1059:K1059),$R$35:$R$42))</f>
        <v>9233.2061636779399</v>
      </c>
      <c r="N1059" s="13" t="str">
        <f t="shared" si="90"/>
        <v>-</v>
      </c>
      <c r="O1059" s="13">
        <f t="shared" si="91"/>
        <v>21357.410740713065</v>
      </c>
    </row>
    <row r="1060" spans="1:15" x14ac:dyDescent="0.25">
      <c r="A1060" s="1" t="s">
        <v>0</v>
      </c>
      <c r="B1060" s="1" t="s">
        <v>4</v>
      </c>
      <c r="C1060" s="1" t="s">
        <v>5</v>
      </c>
      <c r="D1060" s="1">
        <v>45</v>
      </c>
      <c r="E1060" s="1">
        <v>31.79</v>
      </c>
      <c r="F1060" s="1">
        <v>0</v>
      </c>
      <c r="G1060" s="7">
        <f t="shared" si="89"/>
        <v>1</v>
      </c>
      <c r="H1060" s="7">
        <f t="shared" si="92"/>
        <v>0</v>
      </c>
      <c r="I1060" s="7">
        <f t="shared" si="93"/>
        <v>1</v>
      </c>
      <c r="J1060" s="7">
        <f t="shared" si="93"/>
        <v>0</v>
      </c>
      <c r="K1060" s="7">
        <f t="shared" si="93"/>
        <v>0</v>
      </c>
      <c r="L1060" s="11">
        <v>17929.303370000001</v>
      </c>
      <c r="M1060" s="12" cm="1">
        <f t="array" ref="M1060">IF(($R$34+SUMPRODUCT(TRANSPOSE(D1060:K1060),$R$35:$R$42))&lt;0,"-",$R$34+SUMPRODUCT(TRANSPOSE(D1060:K1060),$R$35:$R$42))</f>
        <v>9367.935128914236</v>
      </c>
      <c r="N1060" s="13" t="str">
        <f t="shared" si="90"/>
        <v>-</v>
      </c>
      <c r="O1060" s="13">
        <f t="shared" si="91"/>
        <v>21492.139705949361</v>
      </c>
    </row>
    <row r="1061" spans="1:15" x14ac:dyDescent="0.25">
      <c r="A1061" s="1" t="s">
        <v>0</v>
      </c>
      <c r="B1061" s="1" t="s">
        <v>4</v>
      </c>
      <c r="C1061" s="1" t="s">
        <v>5</v>
      </c>
      <c r="D1061" s="1">
        <v>24</v>
      </c>
      <c r="E1061" s="1">
        <v>39.49</v>
      </c>
      <c r="F1061" s="1">
        <v>0</v>
      </c>
      <c r="G1061" s="7">
        <f t="shared" si="89"/>
        <v>1</v>
      </c>
      <c r="H1061" s="7">
        <f t="shared" si="92"/>
        <v>0</v>
      </c>
      <c r="I1061" s="7">
        <f t="shared" si="93"/>
        <v>1</v>
      </c>
      <c r="J1061" s="7">
        <f t="shared" si="93"/>
        <v>0</v>
      </c>
      <c r="K1061" s="7">
        <f t="shared" si="93"/>
        <v>0</v>
      </c>
      <c r="L1061" s="11">
        <v>2480.9791</v>
      </c>
      <c r="M1061" s="12" cm="1">
        <f t="array" ref="M1061">IF(($R$34+SUMPRODUCT(TRANSPOSE(D1061:K1061),$R$35:$R$42))&lt;0,"-",$R$34+SUMPRODUCT(TRANSPOSE(D1061:K1061),$R$35:$R$42))</f>
        <v>6585.7413184333964</v>
      </c>
      <c r="N1061" s="13" t="str">
        <f t="shared" si="90"/>
        <v>-</v>
      </c>
      <c r="O1061" s="13">
        <f t="shared" si="91"/>
        <v>18709.945895468518</v>
      </c>
    </row>
    <row r="1062" spans="1:15" x14ac:dyDescent="0.25">
      <c r="A1062" s="1" t="s">
        <v>3</v>
      </c>
      <c r="B1062" s="1" t="s">
        <v>4</v>
      </c>
      <c r="C1062" s="1" t="s">
        <v>6</v>
      </c>
      <c r="D1062" s="1">
        <v>32</v>
      </c>
      <c r="E1062" s="1">
        <v>33.82</v>
      </c>
      <c r="F1062" s="1">
        <v>1</v>
      </c>
      <c r="G1062" s="7">
        <f t="shared" si="89"/>
        <v>0</v>
      </c>
      <c r="H1062" s="7">
        <f t="shared" si="92"/>
        <v>0</v>
      </c>
      <c r="I1062" s="7">
        <f t="shared" si="93"/>
        <v>0</v>
      </c>
      <c r="J1062" s="7">
        <f t="shared" si="93"/>
        <v>1</v>
      </c>
      <c r="K1062" s="7">
        <f t="shared" si="93"/>
        <v>0</v>
      </c>
      <c r="L1062" s="11">
        <v>4462.7218000000003</v>
      </c>
      <c r="M1062" s="12" cm="1">
        <f t="array" ref="M1062">IF(($R$34+SUMPRODUCT(TRANSPOSE(D1062:K1062),$R$35:$R$42))&lt;0,"-",$R$34+SUMPRODUCT(TRANSPOSE(D1062:K1062),$R$35:$R$42))</f>
        <v>7743.6095924759211</v>
      </c>
      <c r="N1062" s="13" t="str">
        <f t="shared" si="90"/>
        <v>-</v>
      </c>
      <c r="O1062" s="13">
        <f t="shared" si="91"/>
        <v>19867.814169511046</v>
      </c>
    </row>
    <row r="1063" spans="1:15" x14ac:dyDescent="0.25">
      <c r="A1063" s="1" t="s">
        <v>3</v>
      </c>
      <c r="B1063" s="1" t="s">
        <v>4</v>
      </c>
      <c r="C1063" s="1" t="s">
        <v>5</v>
      </c>
      <c r="D1063" s="1">
        <v>24</v>
      </c>
      <c r="E1063" s="1">
        <v>32.01</v>
      </c>
      <c r="F1063" s="1">
        <v>0</v>
      </c>
      <c r="G1063" s="7">
        <f t="shared" si="89"/>
        <v>0</v>
      </c>
      <c r="H1063" s="7">
        <f t="shared" si="92"/>
        <v>0</v>
      </c>
      <c r="I1063" s="7">
        <f t="shared" si="93"/>
        <v>1</v>
      </c>
      <c r="J1063" s="7">
        <f t="shared" si="93"/>
        <v>0</v>
      </c>
      <c r="K1063" s="7">
        <f t="shared" si="93"/>
        <v>0</v>
      </c>
      <c r="L1063" s="11">
        <v>1981.5818999999999</v>
      </c>
      <c r="M1063" s="12" cm="1">
        <f t="array" ref="M1063">IF(($R$34+SUMPRODUCT(TRANSPOSE(D1063:K1063),$R$35:$R$42))&lt;0,"-",$R$34+SUMPRODUCT(TRANSPOSE(D1063:K1063),$R$35:$R$42))</f>
        <v>3917.2599260292081</v>
      </c>
      <c r="N1063" s="13" t="str">
        <f t="shared" si="90"/>
        <v>-</v>
      </c>
      <c r="O1063" s="13">
        <f t="shared" si="91"/>
        <v>16041.464503064331</v>
      </c>
    </row>
    <row r="1064" spans="1:15" x14ac:dyDescent="0.25">
      <c r="A1064" s="1" t="s">
        <v>3</v>
      </c>
      <c r="B1064" s="1" t="s">
        <v>4</v>
      </c>
      <c r="C1064" s="1" t="s">
        <v>5</v>
      </c>
      <c r="D1064" s="1">
        <v>57</v>
      </c>
      <c r="E1064" s="1">
        <v>27.94</v>
      </c>
      <c r="F1064" s="1">
        <v>1</v>
      </c>
      <c r="G1064" s="7">
        <f t="shared" si="89"/>
        <v>0</v>
      </c>
      <c r="H1064" s="7">
        <f t="shared" si="92"/>
        <v>0</v>
      </c>
      <c r="I1064" s="7">
        <f t="shared" si="93"/>
        <v>1</v>
      </c>
      <c r="J1064" s="7">
        <f t="shared" si="93"/>
        <v>0</v>
      </c>
      <c r="K1064" s="7">
        <f t="shared" si="93"/>
        <v>0</v>
      </c>
      <c r="L1064" s="11">
        <v>11554.223599999999</v>
      </c>
      <c r="M1064" s="12" cm="1">
        <f t="array" ref="M1064">IF(($R$34+SUMPRODUCT(TRANSPOSE(D1064:K1064),$R$35:$R$42))&lt;0,"-",$R$34+SUMPRODUCT(TRANSPOSE(D1064:K1064),$R$35:$R$42))</f>
        <v>11488.502748714705</v>
      </c>
      <c r="N1064" s="13" t="str">
        <f t="shared" si="90"/>
        <v>-</v>
      </c>
      <c r="O1064" s="13">
        <f t="shared" si="91"/>
        <v>23612.707325749827</v>
      </c>
    </row>
    <row r="1065" spans="1:15" x14ac:dyDescent="0.25">
      <c r="A1065" s="1" t="s">
        <v>3</v>
      </c>
      <c r="B1065" s="1" t="s">
        <v>1</v>
      </c>
      <c r="C1065" s="1" t="s">
        <v>5</v>
      </c>
      <c r="D1065" s="1">
        <v>59</v>
      </c>
      <c r="E1065" s="1">
        <v>41.14</v>
      </c>
      <c r="F1065" s="1">
        <v>1</v>
      </c>
      <c r="G1065" s="7">
        <f t="shared" si="89"/>
        <v>0</v>
      </c>
      <c r="H1065" s="7">
        <f t="shared" si="92"/>
        <v>1</v>
      </c>
      <c r="I1065" s="7">
        <f t="shared" si="93"/>
        <v>1</v>
      </c>
      <c r="J1065" s="7">
        <f t="shared" si="93"/>
        <v>0</v>
      </c>
      <c r="K1065" s="7">
        <f t="shared" si="93"/>
        <v>0</v>
      </c>
      <c r="L1065" s="11">
        <v>48970.247600000002</v>
      </c>
      <c r="M1065" s="12" cm="1">
        <f t="array" ref="M1065">IF(($R$34+SUMPRODUCT(TRANSPOSE(D1065:K1065),$R$35:$R$42))&lt;0,"-",$R$34+SUMPRODUCT(TRANSPOSE(D1065:K1065),$R$35:$R$42))</f>
        <v>40328.103583365286</v>
      </c>
      <c r="N1065" s="13">
        <f t="shared" si="90"/>
        <v>28203.899006330161</v>
      </c>
      <c r="O1065" s="13">
        <f t="shared" si="91"/>
        <v>52452.308160400411</v>
      </c>
    </row>
    <row r="1066" spans="1:15" x14ac:dyDescent="0.25">
      <c r="A1066" s="1" t="s">
        <v>3</v>
      </c>
      <c r="B1066" s="1" t="s">
        <v>4</v>
      </c>
      <c r="C1066" s="1" t="s">
        <v>6</v>
      </c>
      <c r="D1066" s="1">
        <v>36</v>
      </c>
      <c r="E1066" s="1">
        <v>28.594999999999999</v>
      </c>
      <c r="F1066" s="1">
        <v>3</v>
      </c>
      <c r="G1066" s="7">
        <f t="shared" si="89"/>
        <v>0</v>
      </c>
      <c r="H1066" s="7">
        <f t="shared" si="92"/>
        <v>0</v>
      </c>
      <c r="I1066" s="7">
        <f t="shared" si="93"/>
        <v>0</v>
      </c>
      <c r="J1066" s="7">
        <f t="shared" si="93"/>
        <v>1</v>
      </c>
      <c r="K1066" s="7">
        <f t="shared" si="93"/>
        <v>0</v>
      </c>
      <c r="L1066" s="11">
        <v>6548.1950500000003</v>
      </c>
      <c r="M1066" s="12" cm="1">
        <f t="array" ref="M1066">IF(($R$34+SUMPRODUCT(TRANSPOSE(D1066:K1066),$R$35:$R$42))&lt;0,"-",$R$34+SUMPRODUCT(TRANSPOSE(D1066:K1066),$R$35:$R$42))</f>
        <v>7949.7502978069424</v>
      </c>
      <c r="N1066" s="13" t="str">
        <f t="shared" si="90"/>
        <v>-</v>
      </c>
      <c r="O1066" s="13">
        <f t="shared" si="91"/>
        <v>20073.954874842064</v>
      </c>
    </row>
    <row r="1067" spans="1:15" x14ac:dyDescent="0.25">
      <c r="A1067" s="1" t="s">
        <v>0</v>
      </c>
      <c r="B1067" s="1" t="s">
        <v>4</v>
      </c>
      <c r="C1067" s="1" t="s">
        <v>2</v>
      </c>
      <c r="D1067" s="1">
        <v>29</v>
      </c>
      <c r="E1067" s="1">
        <v>25.6</v>
      </c>
      <c r="F1067" s="1">
        <v>4</v>
      </c>
      <c r="G1067" s="7">
        <f t="shared" si="89"/>
        <v>1</v>
      </c>
      <c r="H1067" s="7">
        <f t="shared" si="92"/>
        <v>0</v>
      </c>
      <c r="I1067" s="7">
        <f t="shared" si="93"/>
        <v>0</v>
      </c>
      <c r="J1067" s="7">
        <f t="shared" si="93"/>
        <v>0</v>
      </c>
      <c r="K1067" s="7">
        <f t="shared" si="93"/>
        <v>0</v>
      </c>
      <c r="L1067" s="11">
        <v>5708.8670000000002</v>
      </c>
      <c r="M1067" s="12" cm="1">
        <f t="array" ref="M1067">IF(($R$34+SUMPRODUCT(TRANSPOSE(D1067:K1067),$R$35:$R$42))&lt;0,"-",$R$34+SUMPRODUCT(TRANSPOSE(D1067:K1067),$R$35:$R$42))</f>
        <v>5135.599249149087</v>
      </c>
      <c r="N1067" s="13" t="str">
        <f t="shared" si="90"/>
        <v>-</v>
      </c>
      <c r="O1067" s="13">
        <f t="shared" si="91"/>
        <v>17259.803826184208</v>
      </c>
    </row>
    <row r="1068" spans="1:15" x14ac:dyDescent="0.25">
      <c r="A1068" s="1" t="s">
        <v>0</v>
      </c>
      <c r="B1068" s="1" t="s">
        <v>4</v>
      </c>
      <c r="C1068" s="1" t="s">
        <v>2</v>
      </c>
      <c r="D1068" s="1">
        <v>42</v>
      </c>
      <c r="E1068" s="1">
        <v>25.3</v>
      </c>
      <c r="F1068" s="1">
        <v>1</v>
      </c>
      <c r="G1068" s="7">
        <f t="shared" si="89"/>
        <v>1</v>
      </c>
      <c r="H1068" s="7">
        <f t="shared" si="92"/>
        <v>0</v>
      </c>
      <c r="I1068" s="7">
        <f t="shared" si="93"/>
        <v>0</v>
      </c>
      <c r="J1068" s="7">
        <f t="shared" si="93"/>
        <v>0</v>
      </c>
      <c r="K1068" s="7">
        <f t="shared" si="93"/>
        <v>0</v>
      </c>
      <c r="L1068" s="11">
        <v>7045.4989999999998</v>
      </c>
      <c r="M1068" s="12" cm="1">
        <f t="array" ref="M1068">IF(($R$34+SUMPRODUCT(TRANSPOSE(D1068:K1068),$R$35:$R$42))&lt;0,"-",$R$34+SUMPRODUCT(TRANSPOSE(D1068:K1068),$R$35:$R$42))</f>
        <v>6946.4721606039602</v>
      </c>
      <c r="N1068" s="13" t="str">
        <f t="shared" si="90"/>
        <v>-</v>
      </c>
      <c r="O1068" s="13">
        <f t="shared" si="91"/>
        <v>19070.676737639085</v>
      </c>
    </row>
    <row r="1069" spans="1:15" x14ac:dyDescent="0.25">
      <c r="A1069" s="1" t="s">
        <v>3</v>
      </c>
      <c r="B1069" s="1" t="s">
        <v>4</v>
      </c>
      <c r="C1069" s="1" t="s">
        <v>5</v>
      </c>
      <c r="D1069" s="1">
        <v>48</v>
      </c>
      <c r="E1069" s="1">
        <v>37.29</v>
      </c>
      <c r="F1069" s="1">
        <v>2</v>
      </c>
      <c r="G1069" s="7">
        <f t="shared" si="89"/>
        <v>0</v>
      </c>
      <c r="H1069" s="7">
        <f t="shared" si="92"/>
        <v>0</v>
      </c>
      <c r="I1069" s="7">
        <f t="shared" si="93"/>
        <v>1</v>
      </c>
      <c r="J1069" s="7">
        <f t="shared" si="93"/>
        <v>0</v>
      </c>
      <c r="K1069" s="7">
        <f t="shared" si="93"/>
        <v>0</v>
      </c>
      <c r="L1069" s="11">
        <v>8978.1851000000006</v>
      </c>
      <c r="M1069" s="12" cm="1">
        <f t="array" ref="M1069">IF(($R$34+SUMPRODUCT(TRANSPOSE(D1069:K1069),$R$35:$R$42))&lt;0,"-",$R$34+SUMPRODUCT(TRANSPOSE(D1069:K1069),$R$35:$R$42))</f>
        <v>12823.75491228906</v>
      </c>
      <c r="N1069" s="13">
        <f t="shared" si="90"/>
        <v>699.55033525393628</v>
      </c>
      <c r="O1069" s="13">
        <f t="shared" si="91"/>
        <v>24947.959489324181</v>
      </c>
    </row>
    <row r="1070" spans="1:15" x14ac:dyDescent="0.25">
      <c r="A1070" s="1" t="s">
        <v>3</v>
      </c>
      <c r="B1070" s="1" t="s">
        <v>4</v>
      </c>
      <c r="C1070" s="1" t="s">
        <v>7</v>
      </c>
      <c r="D1070" s="1">
        <v>39</v>
      </c>
      <c r="E1070" s="1">
        <v>42.655000000000001</v>
      </c>
      <c r="F1070" s="1">
        <v>0</v>
      </c>
      <c r="G1070" s="7">
        <f t="shared" si="89"/>
        <v>0</v>
      </c>
      <c r="H1070" s="7">
        <f t="shared" si="92"/>
        <v>0</v>
      </c>
      <c r="I1070" s="7">
        <f t="shared" si="93"/>
        <v>0</v>
      </c>
      <c r="J1070" s="7">
        <f t="shared" si="93"/>
        <v>0</v>
      </c>
      <c r="K1070" s="7">
        <f t="shared" si="93"/>
        <v>1</v>
      </c>
      <c r="L1070" s="11">
        <v>5757.41345</v>
      </c>
      <c r="M1070" s="12" cm="1">
        <f t="array" ref="M1070">IF(($R$34+SUMPRODUCT(TRANSPOSE(D1070:K1070),$R$35:$R$42))&lt;0,"-",$R$34+SUMPRODUCT(TRANSPOSE(D1070:K1070),$R$35:$R$42))</f>
        <v>12415.841577164636</v>
      </c>
      <c r="N1070" s="13">
        <f t="shared" si="90"/>
        <v>291.63700012951267</v>
      </c>
      <c r="O1070" s="13">
        <f t="shared" si="91"/>
        <v>24540.046154199757</v>
      </c>
    </row>
    <row r="1071" spans="1:15" x14ac:dyDescent="0.25">
      <c r="A1071" s="1" t="s">
        <v>3</v>
      </c>
      <c r="B1071" s="1" t="s">
        <v>4</v>
      </c>
      <c r="C1071" s="1" t="s">
        <v>6</v>
      </c>
      <c r="D1071" s="1">
        <v>63</v>
      </c>
      <c r="E1071" s="1">
        <v>21.66</v>
      </c>
      <c r="F1071" s="1">
        <v>1</v>
      </c>
      <c r="G1071" s="7">
        <f t="shared" si="89"/>
        <v>0</v>
      </c>
      <c r="H1071" s="7">
        <f t="shared" si="92"/>
        <v>0</v>
      </c>
      <c r="I1071" s="7">
        <f t="shared" si="93"/>
        <v>0</v>
      </c>
      <c r="J1071" s="7">
        <f t="shared" si="93"/>
        <v>1</v>
      </c>
      <c r="K1071" s="7">
        <f t="shared" si="93"/>
        <v>0</v>
      </c>
      <c r="L1071" s="11">
        <v>14349.8544</v>
      </c>
      <c r="M1071" s="12" cm="1">
        <f t="array" ref="M1071">IF(($R$34+SUMPRODUCT(TRANSPOSE(D1071:K1071),$R$35:$R$42))&lt;0,"-",$R$34+SUMPRODUCT(TRANSPOSE(D1071:K1071),$R$35:$R$42))</f>
        <v>11581.564125225894</v>
      </c>
      <c r="N1071" s="13" t="str">
        <f t="shared" si="90"/>
        <v>-</v>
      </c>
      <c r="O1071" s="13">
        <f t="shared" si="91"/>
        <v>23705.768702261019</v>
      </c>
    </row>
    <row r="1072" spans="1:15" x14ac:dyDescent="0.25">
      <c r="A1072" s="1" t="s">
        <v>0</v>
      </c>
      <c r="B1072" s="1" t="s">
        <v>4</v>
      </c>
      <c r="C1072" s="1" t="s">
        <v>5</v>
      </c>
      <c r="D1072" s="1">
        <v>54</v>
      </c>
      <c r="E1072" s="1">
        <v>31.9</v>
      </c>
      <c r="F1072" s="1">
        <v>1</v>
      </c>
      <c r="G1072" s="7">
        <f t="shared" si="89"/>
        <v>1</v>
      </c>
      <c r="H1072" s="7">
        <f t="shared" si="92"/>
        <v>0</v>
      </c>
      <c r="I1072" s="7">
        <f t="shared" si="93"/>
        <v>1</v>
      </c>
      <c r="J1072" s="7">
        <f t="shared" si="93"/>
        <v>0</v>
      </c>
      <c r="K1072" s="7">
        <f t="shared" si="93"/>
        <v>0</v>
      </c>
      <c r="L1072" s="11">
        <v>10928.849</v>
      </c>
      <c r="M1072" s="12" cm="1">
        <f t="array" ref="M1072">IF(($R$34+SUMPRODUCT(TRANSPOSE(D1072:K1072),$R$35:$R$42))&lt;0,"-",$R$34+SUMPRODUCT(TRANSPOSE(D1072:K1072),$R$35:$R$42))</f>
        <v>12192.454126796692</v>
      </c>
      <c r="N1072" s="13">
        <f t="shared" si="90"/>
        <v>68.249549761569142</v>
      </c>
      <c r="O1072" s="13">
        <f t="shared" si="91"/>
        <v>24316.658703831818</v>
      </c>
    </row>
    <row r="1073" spans="1:15" x14ac:dyDescent="0.25">
      <c r="A1073" s="1" t="s">
        <v>3</v>
      </c>
      <c r="B1073" s="1" t="s">
        <v>1</v>
      </c>
      <c r="C1073" s="1" t="s">
        <v>5</v>
      </c>
      <c r="D1073" s="1">
        <v>37</v>
      </c>
      <c r="E1073" s="1">
        <v>37.07</v>
      </c>
      <c r="F1073" s="1">
        <v>1</v>
      </c>
      <c r="G1073" s="7">
        <f t="shared" si="89"/>
        <v>0</v>
      </c>
      <c r="H1073" s="7">
        <f t="shared" si="92"/>
        <v>1</v>
      </c>
      <c r="I1073" s="7">
        <f t="shared" si="93"/>
        <v>1</v>
      </c>
      <c r="J1073" s="7">
        <f t="shared" si="93"/>
        <v>0</v>
      </c>
      <c r="K1073" s="7">
        <f t="shared" si="93"/>
        <v>0</v>
      </c>
      <c r="L1073" s="11">
        <v>39871.704299999998</v>
      </c>
      <c r="M1073" s="12" cm="1">
        <f t="array" ref="M1073">IF(($R$34+SUMPRODUCT(TRANSPOSE(D1073:K1073),$R$35:$R$42))&lt;0,"-",$R$34+SUMPRODUCT(TRANSPOSE(D1073:K1073),$R$35:$R$42))</f>
        <v>33296.746471347513</v>
      </c>
      <c r="N1073" s="13">
        <f t="shared" si="90"/>
        <v>21172.541894312388</v>
      </c>
      <c r="O1073" s="13">
        <f t="shared" si="91"/>
        <v>45420.951048382638</v>
      </c>
    </row>
    <row r="1074" spans="1:15" x14ac:dyDescent="0.25">
      <c r="A1074" s="1" t="s">
        <v>3</v>
      </c>
      <c r="B1074" s="1" t="s">
        <v>4</v>
      </c>
      <c r="C1074" s="1" t="s">
        <v>7</v>
      </c>
      <c r="D1074" s="1">
        <v>63</v>
      </c>
      <c r="E1074" s="1">
        <v>31.445</v>
      </c>
      <c r="F1074" s="1">
        <v>0</v>
      </c>
      <c r="G1074" s="7">
        <f t="shared" si="89"/>
        <v>0</v>
      </c>
      <c r="H1074" s="7">
        <f t="shared" si="92"/>
        <v>0</v>
      </c>
      <c r="I1074" s="7">
        <f t="shared" si="93"/>
        <v>0</v>
      </c>
      <c r="J1074" s="7">
        <f t="shared" si="93"/>
        <v>0</v>
      </c>
      <c r="K1074" s="7">
        <f t="shared" si="93"/>
        <v>1</v>
      </c>
      <c r="L1074" s="11">
        <v>13974.455550000001</v>
      </c>
      <c r="M1074" s="12" cm="1">
        <f t="array" ref="M1074">IF(($R$34+SUMPRODUCT(TRANSPOSE(D1074:K1074),$R$35:$R$42))&lt;0,"-",$R$34+SUMPRODUCT(TRANSPOSE(D1074:K1074),$R$35:$R$42))</f>
        <v>14778.035423083475</v>
      </c>
      <c r="N1074" s="13">
        <f t="shared" si="90"/>
        <v>2653.8308460483513</v>
      </c>
      <c r="O1074" s="13">
        <f t="shared" si="91"/>
        <v>26902.240000118596</v>
      </c>
    </row>
    <row r="1075" spans="1:15" x14ac:dyDescent="0.25">
      <c r="A1075" s="1" t="s">
        <v>3</v>
      </c>
      <c r="B1075" s="1" t="s">
        <v>4</v>
      </c>
      <c r="C1075" s="1" t="s">
        <v>6</v>
      </c>
      <c r="D1075" s="1">
        <v>21</v>
      </c>
      <c r="E1075" s="1">
        <v>31.254999999999999</v>
      </c>
      <c r="F1075" s="1">
        <v>0</v>
      </c>
      <c r="G1075" s="7">
        <f t="shared" si="89"/>
        <v>0</v>
      </c>
      <c r="H1075" s="7">
        <f t="shared" si="92"/>
        <v>0</v>
      </c>
      <c r="I1075" s="7">
        <f t="shared" si="93"/>
        <v>0</v>
      </c>
      <c r="J1075" s="7">
        <f t="shared" si="93"/>
        <v>1</v>
      </c>
      <c r="K1075" s="7">
        <f t="shared" si="93"/>
        <v>0</v>
      </c>
      <c r="L1075" s="11">
        <v>1909.52745</v>
      </c>
      <c r="M1075" s="12" cm="1">
        <f t="array" ref="M1075">IF(($R$34+SUMPRODUCT(TRANSPOSE(D1075:K1075),$R$35:$R$42))&lt;0,"-",$R$34+SUMPRODUCT(TRANSPOSE(D1075:K1075),$R$35:$R$42))</f>
        <v>3572.6579609041582</v>
      </c>
      <c r="N1075" s="13" t="str">
        <f t="shared" si="90"/>
        <v>-</v>
      </c>
      <c r="O1075" s="13">
        <f t="shared" si="91"/>
        <v>15696.862537939282</v>
      </c>
    </row>
    <row r="1076" spans="1:15" x14ac:dyDescent="0.25">
      <c r="A1076" s="1" t="s">
        <v>0</v>
      </c>
      <c r="B1076" s="1" t="s">
        <v>4</v>
      </c>
      <c r="C1076" s="1" t="s">
        <v>7</v>
      </c>
      <c r="D1076" s="1">
        <v>54</v>
      </c>
      <c r="E1076" s="1">
        <v>28.88</v>
      </c>
      <c r="F1076" s="1">
        <v>2</v>
      </c>
      <c r="G1076" s="7">
        <f t="shared" si="89"/>
        <v>1</v>
      </c>
      <c r="H1076" s="7">
        <f t="shared" si="92"/>
        <v>0</v>
      </c>
      <c r="I1076" s="7">
        <f t="shared" si="93"/>
        <v>0</v>
      </c>
      <c r="J1076" s="7">
        <f t="shared" si="93"/>
        <v>0</v>
      </c>
      <c r="K1076" s="7">
        <f t="shared" si="93"/>
        <v>1</v>
      </c>
      <c r="L1076" s="11">
        <v>12096.6512</v>
      </c>
      <c r="M1076" s="12" cm="1">
        <f t="array" ref="M1076">IF(($R$34+SUMPRODUCT(TRANSPOSE(D1076:K1076),$R$35:$R$42))&lt;0,"-",$R$34+SUMPRODUCT(TRANSPOSE(D1076:K1076),$R$35:$R$42))</f>
        <v>12678.612491428907</v>
      </c>
      <c r="N1076" s="13">
        <f t="shared" si="90"/>
        <v>554.40791439378336</v>
      </c>
      <c r="O1076" s="13">
        <f t="shared" si="91"/>
        <v>24802.817068464028</v>
      </c>
    </row>
    <row r="1077" spans="1:15" x14ac:dyDescent="0.25">
      <c r="A1077" s="1" t="s">
        <v>0</v>
      </c>
      <c r="B1077" s="1" t="s">
        <v>4</v>
      </c>
      <c r="C1077" s="1" t="s">
        <v>7</v>
      </c>
      <c r="D1077" s="1">
        <v>60</v>
      </c>
      <c r="E1077" s="1">
        <v>18.335000000000001</v>
      </c>
      <c r="F1077" s="1">
        <v>0</v>
      </c>
      <c r="G1077" s="7">
        <f t="shared" si="89"/>
        <v>1</v>
      </c>
      <c r="H1077" s="7">
        <f t="shared" si="92"/>
        <v>0</v>
      </c>
      <c r="I1077" s="7">
        <f t="shared" si="93"/>
        <v>0</v>
      </c>
      <c r="J1077" s="7">
        <f t="shared" si="93"/>
        <v>0</v>
      </c>
      <c r="K1077" s="7">
        <f t="shared" si="93"/>
        <v>1</v>
      </c>
      <c r="L1077" s="11">
        <v>13204.28565</v>
      </c>
      <c r="M1077" s="12" cm="1">
        <f t="array" ref="M1077">IF(($R$34+SUMPRODUCT(TRANSPOSE(D1077:K1077),$R$35:$R$42))&lt;0,"-",$R$34+SUMPRODUCT(TRANSPOSE(D1077:K1077),$R$35:$R$42))</f>
        <v>9691.9545480284214</v>
      </c>
      <c r="N1077" s="13" t="str">
        <f t="shared" si="90"/>
        <v>-</v>
      </c>
      <c r="O1077" s="13">
        <f t="shared" si="91"/>
        <v>21816.159125063547</v>
      </c>
    </row>
    <row r="1078" spans="1:15" x14ac:dyDescent="0.25">
      <c r="A1078" s="1" t="s">
        <v>0</v>
      </c>
      <c r="B1078" s="1" t="s">
        <v>4</v>
      </c>
      <c r="C1078" s="1" t="s">
        <v>5</v>
      </c>
      <c r="D1078" s="1">
        <v>32</v>
      </c>
      <c r="E1078" s="1">
        <v>29.59</v>
      </c>
      <c r="F1078" s="1">
        <v>1</v>
      </c>
      <c r="G1078" s="7">
        <f t="shared" si="89"/>
        <v>1</v>
      </c>
      <c r="H1078" s="7">
        <f t="shared" si="92"/>
        <v>0</v>
      </c>
      <c r="I1078" s="7">
        <f t="shared" si="93"/>
        <v>1</v>
      </c>
      <c r="J1078" s="7">
        <f t="shared" si="93"/>
        <v>0</v>
      </c>
      <c r="K1078" s="7">
        <f t="shared" si="93"/>
        <v>0</v>
      </c>
      <c r="L1078" s="11">
        <v>4562.8420999999998</v>
      </c>
      <c r="M1078" s="12" cm="1">
        <f t="array" ref="M1078">IF(($R$34+SUMPRODUCT(TRANSPOSE(D1078:K1078),$R$35:$R$42))&lt;0,"-",$R$34+SUMPRODUCT(TRANSPOSE(D1078:K1078),$R$35:$R$42))</f>
        <v>5758.0774931339984</v>
      </c>
      <c r="N1078" s="13" t="str">
        <f t="shared" si="90"/>
        <v>-</v>
      </c>
      <c r="O1078" s="13">
        <f t="shared" si="91"/>
        <v>17882.282070169123</v>
      </c>
    </row>
    <row r="1079" spans="1:15" x14ac:dyDescent="0.25">
      <c r="A1079" s="1" t="s">
        <v>0</v>
      </c>
      <c r="B1079" s="1" t="s">
        <v>4</v>
      </c>
      <c r="C1079" s="1" t="s">
        <v>2</v>
      </c>
      <c r="D1079" s="1">
        <v>47</v>
      </c>
      <c r="E1079" s="1">
        <v>32</v>
      </c>
      <c r="F1079" s="1">
        <v>1</v>
      </c>
      <c r="G1079" s="7">
        <f t="shared" si="89"/>
        <v>1</v>
      </c>
      <c r="H1079" s="7">
        <f t="shared" si="92"/>
        <v>0</v>
      </c>
      <c r="I1079" s="7">
        <f t="shared" si="93"/>
        <v>0</v>
      </c>
      <c r="J1079" s="7">
        <f t="shared" si="93"/>
        <v>0</v>
      </c>
      <c r="K1079" s="7">
        <f t="shared" si="93"/>
        <v>0</v>
      </c>
      <c r="L1079" s="11">
        <v>8551.3469999999998</v>
      </c>
      <c r="M1079" s="12" cm="1">
        <f t="array" ref="M1079">IF(($R$34+SUMPRODUCT(TRANSPOSE(D1079:K1079),$R$35:$R$42))&lt;0,"-",$R$34+SUMPRODUCT(TRANSPOSE(D1079:K1079),$R$35:$R$42))</f>
        <v>10503.350062483332</v>
      </c>
      <c r="N1079" s="13" t="str">
        <f t="shared" si="90"/>
        <v>-</v>
      </c>
      <c r="O1079" s="13">
        <f t="shared" si="91"/>
        <v>22627.554639518457</v>
      </c>
    </row>
    <row r="1080" spans="1:15" x14ac:dyDescent="0.25">
      <c r="A1080" s="1" t="s">
        <v>3</v>
      </c>
      <c r="B1080" s="1" t="s">
        <v>4</v>
      </c>
      <c r="C1080" s="1" t="s">
        <v>7</v>
      </c>
      <c r="D1080" s="1">
        <v>21</v>
      </c>
      <c r="E1080" s="1">
        <v>26.03</v>
      </c>
      <c r="F1080" s="1">
        <v>0</v>
      </c>
      <c r="G1080" s="7">
        <f t="shared" si="89"/>
        <v>0</v>
      </c>
      <c r="H1080" s="7">
        <f t="shared" si="92"/>
        <v>0</v>
      </c>
      <c r="I1080" s="7">
        <f t="shared" si="93"/>
        <v>0</v>
      </c>
      <c r="J1080" s="7">
        <f t="shared" si="93"/>
        <v>0</v>
      </c>
      <c r="K1080" s="7">
        <f t="shared" si="93"/>
        <v>1</v>
      </c>
      <c r="L1080" s="11">
        <v>2102.2647000000002</v>
      </c>
      <c r="M1080" s="12" cm="1">
        <f t="array" ref="M1080">IF(($R$34+SUMPRODUCT(TRANSPOSE(D1080:K1080),$R$35:$R$42))&lt;0,"-",$R$34+SUMPRODUCT(TRANSPOSE(D1080:K1080),$R$35:$R$42))</f>
        <v>2153.3360652121592</v>
      </c>
      <c r="N1080" s="13" t="str">
        <f t="shared" si="90"/>
        <v>-</v>
      </c>
      <c r="O1080" s="13">
        <f t="shared" si="91"/>
        <v>14277.540642247282</v>
      </c>
    </row>
    <row r="1081" spans="1:15" x14ac:dyDescent="0.25">
      <c r="A1081" s="1" t="s">
        <v>3</v>
      </c>
      <c r="B1081" s="1" t="s">
        <v>1</v>
      </c>
      <c r="C1081" s="1" t="s">
        <v>5</v>
      </c>
      <c r="D1081" s="1">
        <v>28</v>
      </c>
      <c r="E1081" s="1">
        <v>31.68</v>
      </c>
      <c r="F1081" s="1">
        <v>0</v>
      </c>
      <c r="G1081" s="7">
        <f t="shared" si="89"/>
        <v>0</v>
      </c>
      <c r="H1081" s="7">
        <f t="shared" si="92"/>
        <v>1</v>
      </c>
      <c r="I1081" s="7">
        <f t="shared" si="93"/>
        <v>1</v>
      </c>
      <c r="J1081" s="7">
        <f t="shared" si="93"/>
        <v>0</v>
      </c>
      <c r="K1081" s="7">
        <f t="shared" si="93"/>
        <v>0</v>
      </c>
      <c r="L1081" s="11">
        <v>34672.147199999999</v>
      </c>
      <c r="M1081" s="12" cm="1">
        <f t="array" ref="M1081">IF(($R$34+SUMPRODUCT(TRANSPOSE(D1081:K1081),$R$35:$R$42))&lt;0,"-",$R$34+SUMPRODUCT(TRANSPOSE(D1081:K1081),$R$35:$R$42))</f>
        <v>28681.28603839982</v>
      </c>
      <c r="N1081" s="13">
        <f t="shared" si="90"/>
        <v>16557.081461364694</v>
      </c>
      <c r="O1081" s="13">
        <f t="shared" si="91"/>
        <v>40805.490615434945</v>
      </c>
    </row>
    <row r="1082" spans="1:15" x14ac:dyDescent="0.25">
      <c r="A1082" s="1" t="s">
        <v>3</v>
      </c>
      <c r="B1082" s="1" t="s">
        <v>4</v>
      </c>
      <c r="C1082" s="1" t="s">
        <v>5</v>
      </c>
      <c r="D1082" s="1">
        <v>63</v>
      </c>
      <c r="E1082" s="1">
        <v>33.659999999999997</v>
      </c>
      <c r="F1082" s="1">
        <v>3</v>
      </c>
      <c r="G1082" s="7">
        <f t="shared" si="89"/>
        <v>0</v>
      </c>
      <c r="H1082" s="7">
        <f t="shared" si="92"/>
        <v>0</v>
      </c>
      <c r="I1082" s="7">
        <f t="shared" si="93"/>
        <v>1</v>
      </c>
      <c r="J1082" s="7">
        <f t="shared" si="93"/>
        <v>0</v>
      </c>
      <c r="K1082" s="7">
        <f t="shared" si="93"/>
        <v>0</v>
      </c>
      <c r="L1082" s="11">
        <v>15161.5344</v>
      </c>
      <c r="M1082" s="12" cm="1">
        <f t="array" ref="M1082">IF(($R$34+SUMPRODUCT(TRANSPOSE(D1082:K1082),$R$35:$R$42))&lt;0,"-",$R$34+SUMPRODUCT(TRANSPOSE(D1082:K1082),$R$35:$R$42))</f>
        <v>15920.828508891063</v>
      </c>
      <c r="N1082" s="13">
        <f t="shared" si="90"/>
        <v>3796.6239318559401</v>
      </c>
      <c r="O1082" s="13">
        <f t="shared" si="91"/>
        <v>28045.033085926189</v>
      </c>
    </row>
    <row r="1083" spans="1:15" x14ac:dyDescent="0.25">
      <c r="A1083" s="1" t="s">
        <v>3</v>
      </c>
      <c r="B1083" s="1" t="s">
        <v>4</v>
      </c>
      <c r="C1083" s="1" t="s">
        <v>5</v>
      </c>
      <c r="D1083" s="1">
        <v>18</v>
      </c>
      <c r="E1083" s="1">
        <v>21.78</v>
      </c>
      <c r="F1083" s="1">
        <v>2</v>
      </c>
      <c r="G1083" s="7">
        <f t="shared" si="89"/>
        <v>0</v>
      </c>
      <c r="H1083" s="7">
        <f t="shared" si="92"/>
        <v>0</v>
      </c>
      <c r="I1083" s="7">
        <f t="shared" si="93"/>
        <v>1</v>
      </c>
      <c r="J1083" s="7">
        <f t="shared" si="93"/>
        <v>0</v>
      </c>
      <c r="K1083" s="7">
        <f t="shared" si="93"/>
        <v>0</v>
      </c>
      <c r="L1083" s="11">
        <v>11884.048580000001</v>
      </c>
      <c r="M1083" s="12" t="str" cm="1">
        <f t="array" ref="M1083">IF(($R$34+SUMPRODUCT(TRANSPOSE(D1083:K1083),$R$35:$R$42))&lt;0,"-",$R$34+SUMPRODUCT(TRANSPOSE(D1083:K1083),$R$35:$R$42))</f>
        <v>-</v>
      </c>
      <c r="N1083" s="13" t="str">
        <f t="shared" si="90"/>
        <v>-</v>
      </c>
      <c r="O1083" s="13" t="str">
        <f t="shared" si="91"/>
        <v>-</v>
      </c>
    </row>
    <row r="1084" spans="1:15" x14ac:dyDescent="0.25">
      <c r="A1084" s="1" t="s">
        <v>3</v>
      </c>
      <c r="B1084" s="1" t="s">
        <v>4</v>
      </c>
      <c r="C1084" s="1" t="s">
        <v>6</v>
      </c>
      <c r="D1084" s="1">
        <v>32</v>
      </c>
      <c r="E1084" s="1">
        <v>27.835000000000001</v>
      </c>
      <c r="F1084" s="1">
        <v>1</v>
      </c>
      <c r="G1084" s="7">
        <f t="shared" si="89"/>
        <v>0</v>
      </c>
      <c r="H1084" s="7">
        <f t="shared" si="92"/>
        <v>0</v>
      </c>
      <c r="I1084" s="7">
        <f t="shared" si="93"/>
        <v>0</v>
      </c>
      <c r="J1084" s="7">
        <f t="shared" si="93"/>
        <v>1</v>
      </c>
      <c r="K1084" s="7">
        <f t="shared" si="93"/>
        <v>0</v>
      </c>
      <c r="L1084" s="11">
        <v>4454.40265</v>
      </c>
      <c r="M1084" s="12" cm="1">
        <f t="array" ref="M1084">IF(($R$34+SUMPRODUCT(TRANSPOSE(D1084:K1084),$R$35:$R$42))&lt;0,"-",$R$34+SUMPRODUCT(TRANSPOSE(D1084:K1084),$R$35:$R$42))</f>
        <v>5713.5367726150434</v>
      </c>
      <c r="N1084" s="13" t="str">
        <f t="shared" si="90"/>
        <v>-</v>
      </c>
      <c r="O1084" s="13">
        <f t="shared" si="91"/>
        <v>17837.741349650169</v>
      </c>
    </row>
    <row r="1085" spans="1:15" x14ac:dyDescent="0.25">
      <c r="A1085" s="1" t="s">
        <v>3</v>
      </c>
      <c r="B1085" s="1" t="s">
        <v>4</v>
      </c>
      <c r="C1085" s="1" t="s">
        <v>6</v>
      </c>
      <c r="D1085" s="1">
        <v>38</v>
      </c>
      <c r="E1085" s="1">
        <v>19.95</v>
      </c>
      <c r="F1085" s="1">
        <v>1</v>
      </c>
      <c r="G1085" s="7">
        <f t="shared" si="89"/>
        <v>0</v>
      </c>
      <c r="H1085" s="7">
        <f t="shared" si="92"/>
        <v>0</v>
      </c>
      <c r="I1085" s="7">
        <f t="shared" si="93"/>
        <v>0</v>
      </c>
      <c r="J1085" s="7">
        <f t="shared" si="93"/>
        <v>1</v>
      </c>
      <c r="K1085" s="7">
        <f t="shared" si="93"/>
        <v>0</v>
      </c>
      <c r="L1085" s="11">
        <v>5855.9025000000001</v>
      </c>
      <c r="M1085" s="12" cm="1">
        <f t="array" ref="M1085">IF(($R$34+SUMPRODUCT(TRANSPOSE(D1085:K1085),$R$35:$R$42))&lt;0,"-",$R$34+SUMPRODUCT(TRANSPOSE(D1085:K1085),$R$35:$R$42))</f>
        <v>4580.1345061176617</v>
      </c>
      <c r="N1085" s="13" t="str">
        <f t="shared" si="90"/>
        <v>-</v>
      </c>
      <c r="O1085" s="13">
        <f t="shared" si="91"/>
        <v>16704.339083152787</v>
      </c>
    </row>
    <row r="1086" spans="1:15" x14ac:dyDescent="0.25">
      <c r="A1086" s="1" t="s">
        <v>3</v>
      </c>
      <c r="B1086" s="1" t="s">
        <v>4</v>
      </c>
      <c r="C1086" s="1" t="s">
        <v>2</v>
      </c>
      <c r="D1086" s="1">
        <v>32</v>
      </c>
      <c r="E1086" s="1">
        <v>31.5</v>
      </c>
      <c r="F1086" s="1">
        <v>1</v>
      </c>
      <c r="G1086" s="7">
        <f t="shared" si="89"/>
        <v>0</v>
      </c>
      <c r="H1086" s="7">
        <f t="shared" si="92"/>
        <v>0</v>
      </c>
      <c r="I1086" s="7">
        <f t="shared" si="93"/>
        <v>0</v>
      </c>
      <c r="J1086" s="7">
        <f t="shared" si="93"/>
        <v>0</v>
      </c>
      <c r="K1086" s="7">
        <f t="shared" si="93"/>
        <v>0</v>
      </c>
      <c r="L1086" s="11">
        <v>4076.4969999999998</v>
      </c>
      <c r="M1086" s="12" cm="1">
        <f t="array" ref="M1086">IF(($R$34+SUMPRODUCT(TRANSPOSE(D1086:K1086),$R$35:$R$42))&lt;0,"-",$R$34+SUMPRODUCT(TRANSPOSE(D1086:K1086),$R$35:$R$42))</f>
        <v>6349.5936882225833</v>
      </c>
      <c r="N1086" s="13" t="str">
        <f t="shared" si="90"/>
        <v>-</v>
      </c>
      <c r="O1086" s="13">
        <f t="shared" si="91"/>
        <v>18473.798265257705</v>
      </c>
    </row>
    <row r="1087" spans="1:15" x14ac:dyDescent="0.25">
      <c r="A1087" s="1" t="s">
        <v>0</v>
      </c>
      <c r="B1087" s="1" t="s">
        <v>4</v>
      </c>
      <c r="C1087" s="1" t="s">
        <v>6</v>
      </c>
      <c r="D1087" s="1">
        <v>62</v>
      </c>
      <c r="E1087" s="1">
        <v>30.495000000000001</v>
      </c>
      <c r="F1087" s="1">
        <v>2</v>
      </c>
      <c r="G1087" s="7">
        <f t="shared" si="89"/>
        <v>1</v>
      </c>
      <c r="H1087" s="7">
        <f t="shared" si="92"/>
        <v>0</v>
      </c>
      <c r="I1087" s="7">
        <f t="shared" si="93"/>
        <v>0</v>
      </c>
      <c r="J1087" s="7">
        <f t="shared" si="93"/>
        <v>1</v>
      </c>
      <c r="K1087" s="7">
        <f t="shared" si="93"/>
        <v>0</v>
      </c>
      <c r="L1087" s="11">
        <v>15019.760050000001</v>
      </c>
      <c r="M1087" s="12" cm="1">
        <f t="array" ref="M1087">IF(($R$34+SUMPRODUCT(TRANSPOSE(D1087:K1087),$R$35:$R$42))&lt;0,"-",$R$34+SUMPRODUCT(TRANSPOSE(D1087:K1087),$R$35:$R$42))</f>
        <v>14928.296839884555</v>
      </c>
      <c r="N1087" s="13">
        <f t="shared" si="90"/>
        <v>2804.0922628494318</v>
      </c>
      <c r="O1087" s="13">
        <f t="shared" si="91"/>
        <v>27052.50141691968</v>
      </c>
    </row>
    <row r="1088" spans="1:15" x14ac:dyDescent="0.25">
      <c r="A1088" s="1" t="s">
        <v>0</v>
      </c>
      <c r="B1088" s="1" t="s">
        <v>1</v>
      </c>
      <c r="C1088" s="1" t="s">
        <v>2</v>
      </c>
      <c r="D1088" s="1">
        <v>39</v>
      </c>
      <c r="E1088" s="1">
        <v>18.3</v>
      </c>
      <c r="F1088" s="1">
        <v>5</v>
      </c>
      <c r="G1088" s="7">
        <f t="shared" si="89"/>
        <v>1</v>
      </c>
      <c r="H1088" s="7">
        <f t="shared" si="92"/>
        <v>1</v>
      </c>
      <c r="I1088" s="7">
        <f t="shared" si="93"/>
        <v>0</v>
      </c>
      <c r="J1088" s="7">
        <f t="shared" si="93"/>
        <v>0</v>
      </c>
      <c r="K1088" s="7">
        <f t="shared" si="93"/>
        <v>0</v>
      </c>
      <c r="L1088" s="11">
        <v>19023.259999999998</v>
      </c>
      <c r="M1088" s="12" cm="1">
        <f t="array" ref="M1088">IF(($R$34+SUMPRODUCT(TRANSPOSE(D1088:K1088),$R$35:$R$42))&lt;0,"-",$R$34+SUMPRODUCT(TRANSPOSE(D1088:K1088),$R$35:$R$42))</f>
        <v>29552.085650225359</v>
      </c>
      <c r="N1088" s="13">
        <f t="shared" si="90"/>
        <v>17427.881073190234</v>
      </c>
      <c r="O1088" s="13">
        <f t="shared" si="91"/>
        <v>41676.290227260484</v>
      </c>
    </row>
    <row r="1089" spans="1:15" x14ac:dyDescent="0.25">
      <c r="A1089" s="1" t="s">
        <v>3</v>
      </c>
      <c r="B1089" s="1" t="s">
        <v>4</v>
      </c>
      <c r="C1089" s="1" t="s">
        <v>7</v>
      </c>
      <c r="D1089" s="1">
        <v>55</v>
      </c>
      <c r="E1089" s="1">
        <v>28.975000000000001</v>
      </c>
      <c r="F1089" s="1">
        <v>0</v>
      </c>
      <c r="G1089" s="7">
        <f t="shared" si="89"/>
        <v>0</v>
      </c>
      <c r="H1089" s="7">
        <f t="shared" si="92"/>
        <v>0</v>
      </c>
      <c r="I1089" s="7">
        <f t="shared" si="93"/>
        <v>0</v>
      </c>
      <c r="J1089" s="7">
        <f t="shared" si="93"/>
        <v>0</v>
      </c>
      <c r="K1089" s="7">
        <f t="shared" si="93"/>
        <v>1</v>
      </c>
      <c r="L1089" s="11">
        <v>10796.35025</v>
      </c>
      <c r="M1089" s="12" cm="1">
        <f t="array" ref="M1089">IF(($R$34+SUMPRODUCT(TRANSPOSE(D1089:K1089),$R$35:$R$42))&lt;0,"-",$R$34+SUMPRODUCT(TRANSPOSE(D1089:K1089),$R$35:$R$42))</f>
        <v>11885.376772365915</v>
      </c>
      <c r="N1089" s="13" t="str">
        <f t="shared" si="90"/>
        <v>-</v>
      </c>
      <c r="O1089" s="13">
        <f t="shared" si="91"/>
        <v>24009.581349401036</v>
      </c>
    </row>
    <row r="1090" spans="1:15" x14ac:dyDescent="0.25">
      <c r="A1090" s="1" t="s">
        <v>3</v>
      </c>
      <c r="B1090" s="1" t="s">
        <v>4</v>
      </c>
      <c r="C1090" s="1" t="s">
        <v>6</v>
      </c>
      <c r="D1090" s="1">
        <v>57</v>
      </c>
      <c r="E1090" s="1">
        <v>31.54</v>
      </c>
      <c r="F1090" s="1">
        <v>0</v>
      </c>
      <c r="G1090" s="7">
        <f t="shared" si="89"/>
        <v>0</v>
      </c>
      <c r="H1090" s="7">
        <f t="shared" si="92"/>
        <v>0</v>
      </c>
      <c r="I1090" s="7">
        <f t="shared" si="93"/>
        <v>0</v>
      </c>
      <c r="J1090" s="7">
        <f t="shared" si="93"/>
        <v>1</v>
      </c>
      <c r="K1090" s="7">
        <f t="shared" si="93"/>
        <v>0</v>
      </c>
      <c r="L1090" s="11">
        <v>11353.2276</v>
      </c>
      <c r="M1090" s="12" cm="1">
        <f t="array" ref="M1090">IF(($R$34+SUMPRODUCT(TRANSPOSE(D1090:K1090),$R$35:$R$42))&lt;0,"-",$R$34+SUMPRODUCT(TRANSPOSE(D1090:K1090),$R$35:$R$42))</f>
        <v>12916.156786527772</v>
      </c>
      <c r="N1090" s="13">
        <f t="shared" si="90"/>
        <v>791.95220949264876</v>
      </c>
      <c r="O1090" s="13">
        <f t="shared" si="91"/>
        <v>25040.361363562894</v>
      </c>
    </row>
    <row r="1091" spans="1:15" x14ac:dyDescent="0.25">
      <c r="A1091" s="1" t="s">
        <v>3</v>
      </c>
      <c r="B1091" s="1" t="s">
        <v>4</v>
      </c>
      <c r="C1091" s="1" t="s">
        <v>5</v>
      </c>
      <c r="D1091" s="1">
        <v>52</v>
      </c>
      <c r="E1091" s="1">
        <v>47.74</v>
      </c>
      <c r="F1091" s="1">
        <v>1</v>
      </c>
      <c r="G1091" s="7">
        <f t="shared" ref="G1091:G1154" si="94">IF($A1091=G$2,1,0)</f>
        <v>0</v>
      </c>
      <c r="H1091" s="7">
        <f t="shared" si="92"/>
        <v>0</v>
      </c>
      <c r="I1091" s="7">
        <f t="shared" si="93"/>
        <v>1</v>
      </c>
      <c r="J1091" s="7">
        <f t="shared" si="93"/>
        <v>0</v>
      </c>
      <c r="K1091" s="7">
        <f t="shared" si="93"/>
        <v>0</v>
      </c>
      <c r="L1091" s="11">
        <v>9748.9105999999992</v>
      </c>
      <c r="M1091" s="12" cm="1">
        <f t="array" ref="M1091">IF(($R$34+SUMPRODUCT(TRANSPOSE(D1091:K1091),$R$35:$R$42))&lt;0,"-",$R$34+SUMPRODUCT(TRANSPOSE(D1091:K1091),$R$35:$R$42))</f>
        <v>16920.2513675226</v>
      </c>
      <c r="N1091" s="13">
        <f t="shared" ref="N1091:N1154" si="95">IFERROR(IF($M1091-(2*$R$24)&lt;0,"-",($M1091-(2*$R$24))),"-")</f>
        <v>4796.0467904874768</v>
      </c>
      <c r="O1091" s="13">
        <f t="shared" ref="O1091:O1154" si="96">IFERROR(IF($L1091+(2*$R$24)&lt;0,"-",($M1091+(2*$R$24))),"-")</f>
        <v>29044.455944557725</v>
      </c>
    </row>
    <row r="1092" spans="1:15" x14ac:dyDescent="0.25">
      <c r="A1092" s="1" t="s">
        <v>3</v>
      </c>
      <c r="B1092" s="1" t="s">
        <v>4</v>
      </c>
      <c r="C1092" s="1" t="s">
        <v>2</v>
      </c>
      <c r="D1092" s="1">
        <v>56</v>
      </c>
      <c r="E1092" s="1">
        <v>22.1</v>
      </c>
      <c r="F1092" s="1">
        <v>0</v>
      </c>
      <c r="G1092" s="7">
        <f t="shared" si="94"/>
        <v>0</v>
      </c>
      <c r="H1092" s="7">
        <f t="shared" ref="H1092:H1155" si="97">IF(B1092="yes",1,0)</f>
        <v>0</v>
      </c>
      <c r="I1092" s="7">
        <f t="shared" ref="I1092:K1155" si="98">IF($C1092=I$2,1,0)</f>
        <v>0</v>
      </c>
      <c r="J1092" s="7">
        <f t="shared" si="98"/>
        <v>0</v>
      </c>
      <c r="K1092" s="7">
        <f t="shared" si="98"/>
        <v>0</v>
      </c>
      <c r="L1092" s="11">
        <v>10577.087</v>
      </c>
      <c r="M1092" s="12" cm="1">
        <f t="array" ref="M1092">IF(($R$34+SUMPRODUCT(TRANSPOSE(D1092:K1092),$R$35:$R$42))&lt;0,"-",$R$34+SUMPRODUCT(TRANSPOSE(D1092:K1092),$R$35:$R$42))</f>
        <v>8850.227140027906</v>
      </c>
      <c r="N1092" s="13" t="str">
        <f t="shared" si="95"/>
        <v>-</v>
      </c>
      <c r="O1092" s="13">
        <f t="shared" si="96"/>
        <v>20974.431717063031</v>
      </c>
    </row>
    <row r="1093" spans="1:15" x14ac:dyDescent="0.25">
      <c r="A1093" s="1" t="s">
        <v>3</v>
      </c>
      <c r="B1093" s="1" t="s">
        <v>1</v>
      </c>
      <c r="C1093" s="1" t="s">
        <v>5</v>
      </c>
      <c r="D1093" s="1">
        <v>47</v>
      </c>
      <c r="E1093" s="1">
        <v>36.19</v>
      </c>
      <c r="F1093" s="1">
        <v>0</v>
      </c>
      <c r="G1093" s="7">
        <f t="shared" si="94"/>
        <v>0</v>
      </c>
      <c r="H1093" s="7">
        <f t="shared" si="97"/>
        <v>1</v>
      </c>
      <c r="I1093" s="7">
        <f t="shared" si="98"/>
        <v>1</v>
      </c>
      <c r="J1093" s="7">
        <f t="shared" si="98"/>
        <v>0</v>
      </c>
      <c r="K1093" s="7">
        <f t="shared" si="98"/>
        <v>0</v>
      </c>
      <c r="L1093" s="11">
        <v>41676.081100000003</v>
      </c>
      <c r="M1093" s="12" cm="1">
        <f t="array" ref="M1093">IF(($R$34+SUMPRODUCT(TRANSPOSE(D1093:K1093),$R$35:$R$42))&lt;0,"-",$R$34+SUMPRODUCT(TRANSPOSE(D1093:K1093),$R$35:$R$42))</f>
        <v>35091.319212394315</v>
      </c>
      <c r="N1093" s="13">
        <f t="shared" si="95"/>
        <v>22967.11463535919</v>
      </c>
      <c r="O1093" s="13">
        <f t="shared" si="96"/>
        <v>47215.523789429441</v>
      </c>
    </row>
    <row r="1094" spans="1:15" x14ac:dyDescent="0.25">
      <c r="A1094" s="1" t="s">
        <v>0</v>
      </c>
      <c r="B1094" s="1" t="s">
        <v>4</v>
      </c>
      <c r="C1094" s="1" t="s">
        <v>7</v>
      </c>
      <c r="D1094" s="1">
        <v>55</v>
      </c>
      <c r="E1094" s="1">
        <v>29.83</v>
      </c>
      <c r="F1094" s="1">
        <v>0</v>
      </c>
      <c r="G1094" s="7">
        <f t="shared" si="94"/>
        <v>1</v>
      </c>
      <c r="H1094" s="7">
        <f t="shared" si="97"/>
        <v>0</v>
      </c>
      <c r="I1094" s="7">
        <f t="shared" si="98"/>
        <v>0</v>
      </c>
      <c r="J1094" s="7">
        <f t="shared" si="98"/>
        <v>0</v>
      </c>
      <c r="K1094" s="7">
        <f t="shared" si="98"/>
        <v>1</v>
      </c>
      <c r="L1094" s="11">
        <v>11286.538699999999</v>
      </c>
      <c r="M1094" s="12" cm="1">
        <f t="array" ref="M1094">IF(($R$34+SUMPRODUCT(TRANSPOSE(D1094:K1094),$R$35:$R$42))&lt;0,"-",$R$34+SUMPRODUCT(TRANSPOSE(D1094:K1094),$R$35:$R$42))</f>
        <v>12306.701534598287</v>
      </c>
      <c r="N1094" s="13">
        <f t="shared" si="95"/>
        <v>182.49695756316396</v>
      </c>
      <c r="O1094" s="13">
        <f t="shared" si="96"/>
        <v>24430.906111633412</v>
      </c>
    </row>
    <row r="1095" spans="1:15" x14ac:dyDescent="0.25">
      <c r="A1095" s="1" t="s">
        <v>3</v>
      </c>
      <c r="B1095" s="1" t="s">
        <v>4</v>
      </c>
      <c r="C1095" s="1" t="s">
        <v>2</v>
      </c>
      <c r="D1095" s="1">
        <v>23</v>
      </c>
      <c r="E1095" s="1">
        <v>32.700000000000003</v>
      </c>
      <c r="F1095" s="1">
        <v>3</v>
      </c>
      <c r="G1095" s="7">
        <f t="shared" si="94"/>
        <v>0</v>
      </c>
      <c r="H1095" s="7">
        <f t="shared" si="97"/>
        <v>0</v>
      </c>
      <c r="I1095" s="7">
        <f t="shared" si="98"/>
        <v>0</v>
      </c>
      <c r="J1095" s="7">
        <f t="shared" si="98"/>
        <v>0</v>
      </c>
      <c r="K1095" s="7">
        <f t="shared" si="98"/>
        <v>0</v>
      </c>
      <c r="L1095" s="11">
        <v>3591.48</v>
      </c>
      <c r="M1095" s="12" cm="1">
        <f t="array" ref="M1095">IF(($R$34+SUMPRODUCT(TRANSPOSE(D1095:K1095),$R$35:$R$42))&lt;0,"-",$R$34+SUMPRODUCT(TRANSPOSE(D1095:K1095),$R$35:$R$42))</f>
        <v>5395.9197500177252</v>
      </c>
      <c r="N1095" s="13" t="str">
        <f t="shared" si="95"/>
        <v>-</v>
      </c>
      <c r="O1095" s="13">
        <f t="shared" si="96"/>
        <v>17520.12432705285</v>
      </c>
    </row>
    <row r="1096" spans="1:15" x14ac:dyDescent="0.25">
      <c r="A1096" s="1" t="s">
        <v>0</v>
      </c>
      <c r="B1096" s="1" t="s">
        <v>1</v>
      </c>
      <c r="C1096" s="1" t="s">
        <v>6</v>
      </c>
      <c r="D1096" s="1">
        <v>22</v>
      </c>
      <c r="E1096" s="1">
        <v>30.4</v>
      </c>
      <c r="F1096" s="1">
        <v>0</v>
      </c>
      <c r="G1096" s="7">
        <f t="shared" si="94"/>
        <v>1</v>
      </c>
      <c r="H1096" s="7">
        <f t="shared" si="97"/>
        <v>1</v>
      </c>
      <c r="I1096" s="7">
        <f t="shared" si="98"/>
        <v>0</v>
      </c>
      <c r="J1096" s="7">
        <f t="shared" si="98"/>
        <v>1</v>
      </c>
      <c r="K1096" s="7">
        <f t="shared" si="98"/>
        <v>0</v>
      </c>
      <c r="L1096" s="11">
        <v>33907.548000000003</v>
      </c>
      <c r="M1096" s="12" cm="1">
        <f t="array" ref="M1096">IF(($R$34+SUMPRODUCT(TRANSPOSE(D1096:K1096),$R$35:$R$42))&lt;0,"-",$R$34+SUMPRODUCT(TRANSPOSE(D1096:K1096),$R$35:$R$42))</f>
        <v>27519.352811912133</v>
      </c>
      <c r="N1096" s="13">
        <f t="shared" si="95"/>
        <v>15395.14823487701</v>
      </c>
      <c r="O1096" s="13">
        <f t="shared" si="96"/>
        <v>39643.557388947258</v>
      </c>
    </row>
    <row r="1097" spans="1:15" x14ac:dyDescent="0.25">
      <c r="A1097" s="1" t="s">
        <v>0</v>
      </c>
      <c r="B1097" s="1" t="s">
        <v>4</v>
      </c>
      <c r="C1097" s="1" t="s">
        <v>2</v>
      </c>
      <c r="D1097" s="1">
        <v>50</v>
      </c>
      <c r="E1097" s="1">
        <v>33.700000000000003</v>
      </c>
      <c r="F1097" s="1">
        <v>4</v>
      </c>
      <c r="G1097" s="7">
        <f t="shared" si="94"/>
        <v>1</v>
      </c>
      <c r="H1097" s="7">
        <f t="shared" si="97"/>
        <v>0</v>
      </c>
      <c r="I1097" s="7">
        <f t="shared" si="98"/>
        <v>0</v>
      </c>
      <c r="J1097" s="7">
        <f t="shared" si="98"/>
        <v>0</v>
      </c>
      <c r="K1097" s="7">
        <f t="shared" si="98"/>
        <v>0</v>
      </c>
      <c r="L1097" s="11">
        <v>11299.343000000001</v>
      </c>
      <c r="M1097" s="12" cm="1">
        <f t="array" ref="M1097">IF(($R$34+SUMPRODUCT(TRANSPOSE(D1097:K1097),$R$35:$R$42))&lt;0,"-",$R$34+SUMPRODUCT(TRANSPOSE(D1097:K1097),$R$35:$R$42))</f>
        <v>13277.049626681201</v>
      </c>
      <c r="N1097" s="13">
        <f t="shared" si="95"/>
        <v>1152.8450496460773</v>
      </c>
      <c r="O1097" s="13">
        <f t="shared" si="96"/>
        <v>25401.254203716322</v>
      </c>
    </row>
    <row r="1098" spans="1:15" x14ac:dyDescent="0.25">
      <c r="A1098" s="1" t="s">
        <v>0</v>
      </c>
      <c r="B1098" s="1" t="s">
        <v>4</v>
      </c>
      <c r="C1098" s="1" t="s">
        <v>7</v>
      </c>
      <c r="D1098" s="1">
        <v>18</v>
      </c>
      <c r="E1098" s="1">
        <v>31.35</v>
      </c>
      <c r="F1098" s="1">
        <v>4</v>
      </c>
      <c r="G1098" s="7">
        <f t="shared" si="94"/>
        <v>1</v>
      </c>
      <c r="H1098" s="7">
        <f t="shared" si="97"/>
        <v>0</v>
      </c>
      <c r="I1098" s="7">
        <f t="shared" si="98"/>
        <v>0</v>
      </c>
      <c r="J1098" s="7">
        <f t="shared" si="98"/>
        <v>0</v>
      </c>
      <c r="K1098" s="7">
        <f t="shared" si="98"/>
        <v>1</v>
      </c>
      <c r="L1098" s="11">
        <v>4561.1885000000002</v>
      </c>
      <c r="M1098" s="12" cm="1">
        <f t="array" ref="M1098">IF(($R$34+SUMPRODUCT(TRANSPOSE(D1098:K1098),$R$35:$R$42))&lt;0,"-",$R$34+SUMPRODUCT(TRANSPOSE(D1098:K1098),$R$35:$R$42))</f>
        <v>5220.5927208014218</v>
      </c>
      <c r="N1098" s="13" t="str">
        <f t="shared" si="95"/>
        <v>-</v>
      </c>
      <c r="O1098" s="13">
        <f t="shared" si="96"/>
        <v>17344.797297836543</v>
      </c>
    </row>
    <row r="1099" spans="1:15" x14ac:dyDescent="0.25">
      <c r="A1099" s="1" t="s">
        <v>0</v>
      </c>
      <c r="B1099" s="1" t="s">
        <v>1</v>
      </c>
      <c r="C1099" s="1" t="s">
        <v>7</v>
      </c>
      <c r="D1099" s="1">
        <v>51</v>
      </c>
      <c r="E1099" s="1">
        <v>34.96</v>
      </c>
      <c r="F1099" s="1">
        <v>2</v>
      </c>
      <c r="G1099" s="7">
        <f t="shared" si="94"/>
        <v>1</v>
      </c>
      <c r="H1099" s="7">
        <f t="shared" si="97"/>
        <v>1</v>
      </c>
      <c r="I1099" s="7">
        <f t="shared" si="98"/>
        <v>0</v>
      </c>
      <c r="J1099" s="7">
        <f t="shared" si="98"/>
        <v>0</v>
      </c>
      <c r="K1099" s="7">
        <f t="shared" si="98"/>
        <v>1</v>
      </c>
      <c r="L1099" s="11">
        <v>44641.197399999997</v>
      </c>
      <c r="M1099" s="12" cm="1">
        <f t="array" ref="M1099">IF(($R$34+SUMPRODUCT(TRANSPOSE(D1099:K1099),$R$35:$R$42))&lt;0,"-",$R$34+SUMPRODUCT(TRANSPOSE(D1099:K1099),$R$35:$R$42))</f>
        <v>37818.874173683565</v>
      </c>
      <c r="N1099" s="13">
        <f t="shared" si="95"/>
        <v>25694.66959664844</v>
      </c>
      <c r="O1099" s="13">
        <f t="shared" si="96"/>
        <v>49943.078750718691</v>
      </c>
    </row>
    <row r="1100" spans="1:15" x14ac:dyDescent="0.25">
      <c r="A1100" s="1" t="s">
        <v>3</v>
      </c>
      <c r="B1100" s="1" t="s">
        <v>4</v>
      </c>
      <c r="C1100" s="1" t="s">
        <v>5</v>
      </c>
      <c r="D1100" s="1">
        <v>22</v>
      </c>
      <c r="E1100" s="1">
        <v>33.770000000000003</v>
      </c>
      <c r="F1100" s="1">
        <v>0</v>
      </c>
      <c r="G1100" s="7">
        <f t="shared" si="94"/>
        <v>0</v>
      </c>
      <c r="H1100" s="7">
        <f t="shared" si="97"/>
        <v>0</v>
      </c>
      <c r="I1100" s="7">
        <f t="shared" si="98"/>
        <v>1</v>
      </c>
      <c r="J1100" s="7">
        <f t="shared" si="98"/>
        <v>0</v>
      </c>
      <c r="K1100" s="7">
        <f t="shared" si="98"/>
        <v>0</v>
      </c>
      <c r="L1100" s="11">
        <v>1674.6323</v>
      </c>
      <c r="M1100" s="12" cm="1">
        <f t="array" ref="M1100">IF(($R$34+SUMPRODUCT(TRANSPOSE(D1100:K1100),$R$35:$R$42))&lt;0,"-",$R$34+SUMPRODUCT(TRANSPOSE(D1100:K1100),$R$35:$R$42))</f>
        <v>4000.5276993095904</v>
      </c>
      <c r="N1100" s="13" t="str">
        <f t="shared" si="95"/>
        <v>-</v>
      </c>
      <c r="O1100" s="13">
        <f t="shared" si="96"/>
        <v>16124.732276344714</v>
      </c>
    </row>
    <row r="1101" spans="1:15" x14ac:dyDescent="0.25">
      <c r="A1101" s="1" t="s">
        <v>0</v>
      </c>
      <c r="B1101" s="1" t="s">
        <v>4</v>
      </c>
      <c r="C1101" s="1" t="s">
        <v>7</v>
      </c>
      <c r="D1101" s="1">
        <v>52</v>
      </c>
      <c r="E1101" s="1">
        <v>30.875</v>
      </c>
      <c r="F1101" s="1">
        <v>0</v>
      </c>
      <c r="G1101" s="7">
        <f t="shared" si="94"/>
        <v>1</v>
      </c>
      <c r="H1101" s="7">
        <f t="shared" si="97"/>
        <v>0</v>
      </c>
      <c r="I1101" s="7">
        <f t="shared" si="98"/>
        <v>0</v>
      </c>
      <c r="J1101" s="7">
        <f t="shared" si="98"/>
        <v>0</v>
      </c>
      <c r="K1101" s="7">
        <f t="shared" si="98"/>
        <v>1</v>
      </c>
      <c r="L1101" s="11">
        <v>23045.566159999998</v>
      </c>
      <c r="M1101" s="12" cm="1">
        <f t="array" ref="M1101">IF(($R$34+SUMPRODUCT(TRANSPOSE(D1101:K1101),$R$35:$R$42))&lt;0,"-",$R$34+SUMPRODUCT(TRANSPOSE(D1101:K1101),$R$35:$R$42))</f>
        <v>11890.589636009572</v>
      </c>
      <c r="N1101" s="13" t="str">
        <f t="shared" si="95"/>
        <v>-</v>
      </c>
      <c r="O1101" s="13">
        <f t="shared" si="96"/>
        <v>24014.794213044697</v>
      </c>
    </row>
    <row r="1102" spans="1:15" x14ac:dyDescent="0.25">
      <c r="A1102" s="1" t="s">
        <v>0</v>
      </c>
      <c r="B1102" s="1" t="s">
        <v>4</v>
      </c>
      <c r="C1102" s="1" t="s">
        <v>5</v>
      </c>
      <c r="D1102" s="1">
        <v>25</v>
      </c>
      <c r="E1102" s="1">
        <v>33.99</v>
      </c>
      <c r="F1102" s="1">
        <v>1</v>
      </c>
      <c r="G1102" s="7">
        <f t="shared" si="94"/>
        <v>1</v>
      </c>
      <c r="H1102" s="7">
        <f t="shared" si="97"/>
        <v>0</v>
      </c>
      <c r="I1102" s="7">
        <f t="shared" si="98"/>
        <v>1</v>
      </c>
      <c r="J1102" s="7">
        <f t="shared" si="98"/>
        <v>0</v>
      </c>
      <c r="K1102" s="7">
        <f t="shared" si="98"/>
        <v>0</v>
      </c>
      <c r="L1102" s="11">
        <v>3227.1210999999998</v>
      </c>
      <c r="M1102" s="12" cm="1">
        <f t="array" ref="M1102">IF(($R$34+SUMPRODUCT(TRANSPOSE(D1102:K1102),$R$35:$R$42))&lt;0,"-",$R$34+SUMPRODUCT(TRANSPOSE(D1102:K1102),$R$35:$R$42))</f>
        <v>5452.5342212602591</v>
      </c>
      <c r="N1102" s="13" t="str">
        <f t="shared" si="95"/>
        <v>-</v>
      </c>
      <c r="O1102" s="13">
        <f t="shared" si="96"/>
        <v>17576.738798295381</v>
      </c>
    </row>
    <row r="1103" spans="1:15" x14ac:dyDescent="0.25">
      <c r="A1103" s="1" t="s">
        <v>0</v>
      </c>
      <c r="B1103" s="1" t="s">
        <v>1</v>
      </c>
      <c r="C1103" s="1" t="s">
        <v>7</v>
      </c>
      <c r="D1103" s="1">
        <v>33</v>
      </c>
      <c r="E1103" s="1">
        <v>19.094999999999999</v>
      </c>
      <c r="F1103" s="1">
        <v>2</v>
      </c>
      <c r="G1103" s="7">
        <f t="shared" si="94"/>
        <v>1</v>
      </c>
      <c r="H1103" s="7">
        <f t="shared" si="97"/>
        <v>1</v>
      </c>
      <c r="I1103" s="7">
        <f t="shared" si="98"/>
        <v>0</v>
      </c>
      <c r="J1103" s="7">
        <f t="shared" si="98"/>
        <v>0</v>
      </c>
      <c r="K1103" s="7">
        <f t="shared" si="98"/>
        <v>1</v>
      </c>
      <c r="L1103" s="11">
        <v>16776.304049999999</v>
      </c>
      <c r="M1103" s="12" cm="1">
        <f t="array" ref="M1103">IF(($R$34+SUMPRODUCT(TRANSPOSE(D1103:K1103),$R$35:$R$42))&lt;0,"-",$R$34+SUMPRODUCT(TRANSPOSE(D1103:K1103),$R$35:$R$42))</f>
        <v>27814.155686475322</v>
      </c>
      <c r="N1103" s="13">
        <f t="shared" si="95"/>
        <v>15689.951109440199</v>
      </c>
      <c r="O1103" s="13">
        <f t="shared" si="96"/>
        <v>39938.360263510447</v>
      </c>
    </row>
    <row r="1104" spans="1:15" x14ac:dyDescent="0.25">
      <c r="A1104" s="1" t="s">
        <v>3</v>
      </c>
      <c r="B1104" s="1" t="s">
        <v>4</v>
      </c>
      <c r="C1104" s="1" t="s">
        <v>2</v>
      </c>
      <c r="D1104" s="1">
        <v>53</v>
      </c>
      <c r="E1104" s="1">
        <v>28.6</v>
      </c>
      <c r="F1104" s="1">
        <v>3</v>
      </c>
      <c r="G1104" s="7">
        <f t="shared" si="94"/>
        <v>0</v>
      </c>
      <c r="H1104" s="7">
        <f t="shared" si="97"/>
        <v>0</v>
      </c>
      <c r="I1104" s="7">
        <f t="shared" si="98"/>
        <v>0</v>
      </c>
      <c r="J1104" s="7">
        <f t="shared" si="98"/>
        <v>0</v>
      </c>
      <c r="K1104" s="7">
        <f t="shared" si="98"/>
        <v>0</v>
      </c>
      <c r="L1104" s="11">
        <v>11253.421</v>
      </c>
      <c r="M1104" s="12" cm="1">
        <f t="array" ref="M1104">IF(($R$34+SUMPRODUCT(TRANSPOSE(D1104:K1104),$R$35:$R$42))&lt;0,"-",$R$34+SUMPRODUCT(TRANSPOSE(D1104:K1104),$R$35:$R$42))</f>
        <v>11710.917166333718</v>
      </c>
      <c r="N1104" s="13" t="str">
        <f t="shared" si="95"/>
        <v>-</v>
      </c>
      <c r="O1104" s="13">
        <f t="shared" si="96"/>
        <v>23835.121743368843</v>
      </c>
    </row>
    <row r="1105" spans="1:15" x14ac:dyDescent="0.25">
      <c r="A1105" s="1" t="s">
        <v>3</v>
      </c>
      <c r="B1105" s="1" t="s">
        <v>4</v>
      </c>
      <c r="C1105" s="1" t="s">
        <v>5</v>
      </c>
      <c r="D1105" s="1">
        <v>29</v>
      </c>
      <c r="E1105" s="1">
        <v>38.94</v>
      </c>
      <c r="F1105" s="1">
        <v>1</v>
      </c>
      <c r="G1105" s="7">
        <f t="shared" si="94"/>
        <v>0</v>
      </c>
      <c r="H1105" s="7">
        <f t="shared" si="97"/>
        <v>0</v>
      </c>
      <c r="I1105" s="7">
        <f t="shared" si="98"/>
        <v>1</v>
      </c>
      <c r="J1105" s="7">
        <f t="shared" si="98"/>
        <v>0</v>
      </c>
      <c r="K1105" s="7">
        <f t="shared" si="98"/>
        <v>0</v>
      </c>
      <c r="L1105" s="11">
        <v>3471.4096</v>
      </c>
      <c r="M1105" s="12" cm="1">
        <f t="array" ref="M1105">IF(($R$34+SUMPRODUCT(TRANSPOSE(D1105:K1105),$R$35:$R$42))&lt;0,"-",$R$34+SUMPRODUCT(TRANSPOSE(D1105:K1105),$R$35:$R$42))</f>
        <v>8027.6528673882021</v>
      </c>
      <c r="N1105" s="13" t="str">
        <f t="shared" si="95"/>
        <v>-</v>
      </c>
      <c r="O1105" s="13">
        <f t="shared" si="96"/>
        <v>20151.857444423324</v>
      </c>
    </row>
    <row r="1106" spans="1:15" x14ac:dyDescent="0.25">
      <c r="A1106" s="1" t="s">
        <v>3</v>
      </c>
      <c r="B1106" s="1" t="s">
        <v>4</v>
      </c>
      <c r="C1106" s="1" t="s">
        <v>5</v>
      </c>
      <c r="D1106" s="1">
        <v>58</v>
      </c>
      <c r="E1106" s="1">
        <v>36.08</v>
      </c>
      <c r="F1106" s="1">
        <v>0</v>
      </c>
      <c r="G1106" s="7">
        <f t="shared" si="94"/>
        <v>0</v>
      </c>
      <c r="H1106" s="7">
        <f t="shared" si="97"/>
        <v>0</v>
      </c>
      <c r="I1106" s="7">
        <f t="shared" si="98"/>
        <v>1</v>
      </c>
      <c r="J1106" s="7">
        <f t="shared" si="98"/>
        <v>0</v>
      </c>
      <c r="K1106" s="7">
        <f t="shared" si="98"/>
        <v>0</v>
      </c>
      <c r="L1106" s="11">
        <v>11363.2832</v>
      </c>
      <c r="M1106" s="12" cm="1">
        <f t="array" ref="M1106">IF(($R$34+SUMPRODUCT(TRANSPOSE(D1106:K1106),$R$35:$R$42))&lt;0,"-",$R$34+SUMPRODUCT(TRANSPOSE(D1106:K1106),$R$35:$R$42))</f>
        <v>14030.893268495158</v>
      </c>
      <c r="N1106" s="13">
        <f t="shared" si="95"/>
        <v>1906.6886914600345</v>
      </c>
      <c r="O1106" s="13">
        <f t="shared" si="96"/>
        <v>26155.097845530283</v>
      </c>
    </row>
    <row r="1107" spans="1:15" x14ac:dyDescent="0.25">
      <c r="A1107" s="1" t="s">
        <v>3</v>
      </c>
      <c r="B1107" s="1" t="s">
        <v>4</v>
      </c>
      <c r="C1107" s="1" t="s">
        <v>2</v>
      </c>
      <c r="D1107" s="1">
        <v>37</v>
      </c>
      <c r="E1107" s="1">
        <v>29.8</v>
      </c>
      <c r="F1107" s="1">
        <v>0</v>
      </c>
      <c r="G1107" s="7">
        <f t="shared" si="94"/>
        <v>0</v>
      </c>
      <c r="H1107" s="7">
        <f t="shared" si="97"/>
        <v>0</v>
      </c>
      <c r="I1107" s="7">
        <f t="shared" si="98"/>
        <v>0</v>
      </c>
      <c r="J1107" s="7">
        <f t="shared" si="98"/>
        <v>0</v>
      </c>
      <c r="K1107" s="7">
        <f t="shared" si="98"/>
        <v>0</v>
      </c>
      <c r="L1107" s="11">
        <v>20420.604650000001</v>
      </c>
      <c r="M1107" s="12" cm="1">
        <f t="array" ref="M1107">IF(($R$34+SUMPRODUCT(TRANSPOSE(D1107:K1107),$R$35:$R$42))&lt;0,"-",$R$34+SUMPRODUCT(TRANSPOSE(D1107:K1107),$R$35:$R$42))</f>
        <v>6581.7460346217631</v>
      </c>
      <c r="N1107" s="13" t="str">
        <f t="shared" si="95"/>
        <v>-</v>
      </c>
      <c r="O1107" s="13">
        <f t="shared" si="96"/>
        <v>18705.950611656888</v>
      </c>
    </row>
    <row r="1108" spans="1:15" x14ac:dyDescent="0.25">
      <c r="A1108" s="1" t="s">
        <v>0</v>
      </c>
      <c r="B1108" s="1" t="s">
        <v>4</v>
      </c>
      <c r="C1108" s="1" t="s">
        <v>5</v>
      </c>
      <c r="D1108" s="1">
        <v>54</v>
      </c>
      <c r="E1108" s="1">
        <v>31.24</v>
      </c>
      <c r="F1108" s="1">
        <v>0</v>
      </c>
      <c r="G1108" s="7">
        <f t="shared" si="94"/>
        <v>1</v>
      </c>
      <c r="H1108" s="7">
        <f t="shared" si="97"/>
        <v>0</v>
      </c>
      <c r="I1108" s="7">
        <f t="shared" si="98"/>
        <v>1</v>
      </c>
      <c r="J1108" s="7">
        <f t="shared" si="98"/>
        <v>0</v>
      </c>
      <c r="K1108" s="7">
        <f t="shared" si="98"/>
        <v>0</v>
      </c>
      <c r="L1108" s="11">
        <v>10338.9316</v>
      </c>
      <c r="M1108" s="12" cm="1">
        <f t="array" ref="M1108">IF(($R$34+SUMPRODUCT(TRANSPOSE(D1108:K1108),$R$35:$R$42))&lt;0,"-",$R$34+SUMPRODUCT(TRANSPOSE(D1108:K1108),$R$35:$R$42))</f>
        <v>11493.085902264404</v>
      </c>
      <c r="N1108" s="13" t="str">
        <f t="shared" si="95"/>
        <v>-</v>
      </c>
      <c r="O1108" s="13">
        <f t="shared" si="96"/>
        <v>23617.290479299525</v>
      </c>
    </row>
    <row r="1109" spans="1:15" x14ac:dyDescent="0.25">
      <c r="A1109" s="1" t="s">
        <v>0</v>
      </c>
      <c r="B1109" s="1" t="s">
        <v>4</v>
      </c>
      <c r="C1109" s="1" t="s">
        <v>6</v>
      </c>
      <c r="D1109" s="1">
        <v>49</v>
      </c>
      <c r="E1109" s="1">
        <v>29.925000000000001</v>
      </c>
      <c r="F1109" s="1">
        <v>0</v>
      </c>
      <c r="G1109" s="7">
        <f t="shared" si="94"/>
        <v>1</v>
      </c>
      <c r="H1109" s="7">
        <f t="shared" si="97"/>
        <v>0</v>
      </c>
      <c r="I1109" s="7">
        <f t="shared" si="98"/>
        <v>0</v>
      </c>
      <c r="J1109" s="7">
        <f t="shared" si="98"/>
        <v>1</v>
      </c>
      <c r="K1109" s="7">
        <f t="shared" si="98"/>
        <v>0</v>
      </c>
      <c r="L1109" s="11">
        <v>8988.1587500000005</v>
      </c>
      <c r="M1109" s="12" cm="1">
        <f t="array" ref="M1109">IF(($R$34+SUMPRODUCT(TRANSPOSE(D1109:K1109),$R$35:$R$42))&lt;0,"-",$R$34+SUMPRODUCT(TRANSPOSE(D1109:K1109),$R$35:$R$42))</f>
        <v>10444.822898042588</v>
      </c>
      <c r="N1109" s="13" t="str">
        <f t="shared" si="95"/>
        <v>-</v>
      </c>
      <c r="O1109" s="13">
        <f t="shared" si="96"/>
        <v>22569.02747507771</v>
      </c>
    </row>
    <row r="1110" spans="1:15" x14ac:dyDescent="0.25">
      <c r="A1110" s="1" t="s">
        <v>0</v>
      </c>
      <c r="B1110" s="1" t="s">
        <v>4</v>
      </c>
      <c r="C1110" s="1" t="s">
        <v>6</v>
      </c>
      <c r="D1110" s="1">
        <v>50</v>
      </c>
      <c r="E1110" s="1">
        <v>26.22</v>
      </c>
      <c r="F1110" s="1">
        <v>2</v>
      </c>
      <c r="G1110" s="7">
        <f t="shared" si="94"/>
        <v>1</v>
      </c>
      <c r="H1110" s="7">
        <f t="shared" si="97"/>
        <v>0</v>
      </c>
      <c r="I1110" s="7">
        <f t="shared" si="98"/>
        <v>0</v>
      </c>
      <c r="J1110" s="7">
        <f t="shared" si="98"/>
        <v>1</v>
      </c>
      <c r="K1110" s="7">
        <f t="shared" si="98"/>
        <v>0</v>
      </c>
      <c r="L1110" s="11">
        <v>10493.9458</v>
      </c>
      <c r="M1110" s="12" cm="1">
        <f t="array" ref="M1110">IF(($R$34+SUMPRODUCT(TRANSPOSE(D1110:K1110),$R$35:$R$42))&lt;0,"-",$R$34+SUMPRODUCT(TRANSPOSE(D1110:K1110),$R$35:$R$42))</f>
        <v>10395.96859525004</v>
      </c>
      <c r="N1110" s="13" t="str">
        <f t="shared" si="95"/>
        <v>-</v>
      </c>
      <c r="O1110" s="13">
        <f t="shared" si="96"/>
        <v>22520.173172285162</v>
      </c>
    </row>
    <row r="1111" spans="1:15" x14ac:dyDescent="0.25">
      <c r="A1111" s="1" t="s">
        <v>3</v>
      </c>
      <c r="B1111" s="1" t="s">
        <v>4</v>
      </c>
      <c r="C1111" s="1" t="s">
        <v>2</v>
      </c>
      <c r="D1111" s="1">
        <v>26</v>
      </c>
      <c r="E1111" s="1">
        <v>30</v>
      </c>
      <c r="F1111" s="1">
        <v>1</v>
      </c>
      <c r="G1111" s="7">
        <f t="shared" si="94"/>
        <v>0</v>
      </c>
      <c r="H1111" s="7">
        <f t="shared" si="97"/>
        <v>0</v>
      </c>
      <c r="I1111" s="7">
        <f t="shared" si="98"/>
        <v>0</v>
      </c>
      <c r="J1111" s="7">
        <f t="shared" si="98"/>
        <v>0</v>
      </c>
      <c r="K1111" s="7">
        <f t="shared" si="98"/>
        <v>0</v>
      </c>
      <c r="L1111" s="11">
        <v>2904.0880000000002</v>
      </c>
      <c r="M1111" s="12" cm="1">
        <f t="array" ref="M1111">IF(($R$34+SUMPRODUCT(TRANSPOSE(D1111:K1111),$R$35:$R$42))&lt;0,"-",$R$34+SUMPRODUCT(TRANSPOSE(D1111:K1111),$R$35:$R$42))</f>
        <v>4299.6653925822357</v>
      </c>
      <c r="N1111" s="13" t="str">
        <f t="shared" si="95"/>
        <v>-</v>
      </c>
      <c r="O1111" s="13">
        <f t="shared" si="96"/>
        <v>16423.869969617357</v>
      </c>
    </row>
    <row r="1112" spans="1:15" x14ac:dyDescent="0.25">
      <c r="A1112" s="1" t="s">
        <v>3</v>
      </c>
      <c r="B1112" s="1" t="s">
        <v>4</v>
      </c>
      <c r="C1112" s="1" t="s">
        <v>5</v>
      </c>
      <c r="D1112" s="1">
        <v>45</v>
      </c>
      <c r="E1112" s="1">
        <v>20.350000000000001</v>
      </c>
      <c r="F1112" s="1">
        <v>3</v>
      </c>
      <c r="G1112" s="7">
        <f t="shared" si="94"/>
        <v>0</v>
      </c>
      <c r="H1112" s="7">
        <f t="shared" si="97"/>
        <v>0</v>
      </c>
      <c r="I1112" s="7">
        <f t="shared" si="98"/>
        <v>1</v>
      </c>
      <c r="J1112" s="7">
        <f t="shared" si="98"/>
        <v>0</v>
      </c>
      <c r="K1112" s="7">
        <f t="shared" si="98"/>
        <v>0</v>
      </c>
      <c r="L1112" s="11">
        <v>8605.3615000000009</v>
      </c>
      <c r="M1112" s="12" cm="1">
        <f t="array" ref="M1112">IF(($R$34+SUMPRODUCT(TRANSPOSE(D1112:K1112),$R$35:$R$42))&lt;0,"-",$R$34+SUMPRODUCT(TRANSPOSE(D1112:K1112),$R$35:$R$42))</f>
        <v>6782.7492956585193</v>
      </c>
      <c r="N1112" s="13" t="str">
        <f t="shared" si="95"/>
        <v>-</v>
      </c>
      <c r="O1112" s="13">
        <f t="shared" si="96"/>
        <v>18906.953872693644</v>
      </c>
    </row>
    <row r="1113" spans="1:15" x14ac:dyDescent="0.25">
      <c r="A1113" s="1" t="s">
        <v>0</v>
      </c>
      <c r="B1113" s="1" t="s">
        <v>4</v>
      </c>
      <c r="C1113" s="1" t="s">
        <v>7</v>
      </c>
      <c r="D1113" s="1">
        <v>54</v>
      </c>
      <c r="E1113" s="1">
        <v>32.299999999999997</v>
      </c>
      <c r="F1113" s="1">
        <v>1</v>
      </c>
      <c r="G1113" s="7">
        <f t="shared" si="94"/>
        <v>1</v>
      </c>
      <c r="H1113" s="7">
        <f t="shared" si="97"/>
        <v>0</v>
      </c>
      <c r="I1113" s="7">
        <f t="shared" si="98"/>
        <v>0</v>
      </c>
      <c r="J1113" s="7">
        <f t="shared" si="98"/>
        <v>0</v>
      </c>
      <c r="K1113" s="7">
        <f t="shared" si="98"/>
        <v>1</v>
      </c>
      <c r="L1113" s="11">
        <v>11512.405000000001</v>
      </c>
      <c r="M1113" s="12" cm="1">
        <f t="array" ref="M1113">IF(($R$34+SUMPRODUCT(TRANSPOSE(D1113:K1113),$R$35:$R$42))&lt;0,"-",$R$34+SUMPRODUCT(TRANSPOSE(D1113:K1113),$R$35:$R$42))</f>
        <v>13363.153557628848</v>
      </c>
      <c r="N1113" s="13">
        <f t="shared" si="95"/>
        <v>1238.9489805937246</v>
      </c>
      <c r="O1113" s="13">
        <f t="shared" si="96"/>
        <v>25487.358134663969</v>
      </c>
    </row>
    <row r="1114" spans="1:15" x14ac:dyDescent="0.25">
      <c r="A1114" s="1" t="s">
        <v>3</v>
      </c>
      <c r="B1114" s="1" t="s">
        <v>1</v>
      </c>
      <c r="C1114" s="1" t="s">
        <v>5</v>
      </c>
      <c r="D1114" s="1">
        <v>38</v>
      </c>
      <c r="E1114" s="1">
        <v>38.39</v>
      </c>
      <c r="F1114" s="1">
        <v>3</v>
      </c>
      <c r="G1114" s="7">
        <f t="shared" si="94"/>
        <v>0</v>
      </c>
      <c r="H1114" s="7">
        <f t="shared" si="97"/>
        <v>1</v>
      </c>
      <c r="I1114" s="7">
        <f t="shared" si="98"/>
        <v>1</v>
      </c>
      <c r="J1114" s="7">
        <f t="shared" si="98"/>
        <v>0</v>
      </c>
      <c r="K1114" s="7">
        <f t="shared" si="98"/>
        <v>0</v>
      </c>
      <c r="L1114" s="11">
        <v>41949.244100000004</v>
      </c>
      <c r="M1114" s="12" cm="1">
        <f t="array" ref="M1114">IF(($R$34+SUMPRODUCT(TRANSPOSE(D1114:K1114),$R$35:$R$42))&lt;0,"-",$R$34+SUMPRODUCT(TRANSPOSE(D1114:K1114),$R$35:$R$42))</f>
        <v>34952.339272949437</v>
      </c>
      <c r="N1114" s="13">
        <f t="shared" si="95"/>
        <v>22828.134695914312</v>
      </c>
      <c r="O1114" s="13">
        <f t="shared" si="96"/>
        <v>47076.543849984562</v>
      </c>
    </row>
    <row r="1115" spans="1:15" x14ac:dyDescent="0.25">
      <c r="A1115" s="1" t="s">
        <v>0</v>
      </c>
      <c r="B1115" s="1" t="s">
        <v>1</v>
      </c>
      <c r="C1115" s="1" t="s">
        <v>5</v>
      </c>
      <c r="D1115" s="1">
        <v>48</v>
      </c>
      <c r="E1115" s="1">
        <v>25.85</v>
      </c>
      <c r="F1115" s="1">
        <v>3</v>
      </c>
      <c r="G1115" s="7">
        <f t="shared" si="94"/>
        <v>1</v>
      </c>
      <c r="H1115" s="7">
        <f t="shared" si="97"/>
        <v>1</v>
      </c>
      <c r="I1115" s="7">
        <f t="shared" si="98"/>
        <v>1</v>
      </c>
      <c r="J1115" s="7">
        <f t="shared" si="98"/>
        <v>0</v>
      </c>
      <c r="K1115" s="7">
        <f t="shared" si="98"/>
        <v>0</v>
      </c>
      <c r="L1115" s="11">
        <v>24180.933499999999</v>
      </c>
      <c r="M1115" s="12" cm="1">
        <f t="array" ref="M1115">IF(($R$34+SUMPRODUCT(TRANSPOSE(D1115:K1115),$R$35:$R$42))&lt;0,"-",$R$34+SUMPRODUCT(TRANSPOSE(D1115:K1115),$R$35:$R$42))</f>
        <v>33398.731249438089</v>
      </c>
      <c r="N1115" s="13">
        <f t="shared" si="95"/>
        <v>21274.526672402964</v>
      </c>
      <c r="O1115" s="13">
        <f t="shared" si="96"/>
        <v>45522.935826473215</v>
      </c>
    </row>
    <row r="1116" spans="1:15" x14ac:dyDescent="0.25">
      <c r="A1116" s="1" t="s">
        <v>0</v>
      </c>
      <c r="B1116" s="1" t="s">
        <v>4</v>
      </c>
      <c r="C1116" s="1" t="s">
        <v>6</v>
      </c>
      <c r="D1116" s="1">
        <v>28</v>
      </c>
      <c r="E1116" s="1">
        <v>26.315000000000001</v>
      </c>
      <c r="F1116" s="1">
        <v>3</v>
      </c>
      <c r="G1116" s="7">
        <f t="shared" si="94"/>
        <v>1</v>
      </c>
      <c r="H1116" s="7">
        <f t="shared" si="97"/>
        <v>0</v>
      </c>
      <c r="I1116" s="7">
        <f t="shared" si="98"/>
        <v>0</v>
      </c>
      <c r="J1116" s="7">
        <f t="shared" si="98"/>
        <v>1</v>
      </c>
      <c r="K1116" s="7">
        <f t="shared" si="98"/>
        <v>0</v>
      </c>
      <c r="L1116" s="11">
        <v>5312.1698500000002</v>
      </c>
      <c r="M1116" s="12" cm="1">
        <f t="array" ref="M1116">IF(($R$34+SUMPRODUCT(TRANSPOSE(D1116:K1116),$R$35:$R$42))&lt;0,"-",$R$34+SUMPRODUCT(TRANSPOSE(D1116:K1116),$R$35:$R$42))</f>
        <v>5252.8527626705472</v>
      </c>
      <c r="N1116" s="13" t="str">
        <f t="shared" si="95"/>
        <v>-</v>
      </c>
      <c r="O1116" s="13">
        <f t="shared" si="96"/>
        <v>17377.057339705672</v>
      </c>
    </row>
    <row r="1117" spans="1:15" x14ac:dyDescent="0.25">
      <c r="A1117" s="1" t="s">
        <v>3</v>
      </c>
      <c r="B1117" s="1" t="s">
        <v>4</v>
      </c>
      <c r="C1117" s="1" t="s">
        <v>7</v>
      </c>
      <c r="D1117" s="1">
        <v>23</v>
      </c>
      <c r="E1117" s="1">
        <v>24.51</v>
      </c>
      <c r="F1117" s="1">
        <v>0</v>
      </c>
      <c r="G1117" s="7">
        <f t="shared" si="94"/>
        <v>0</v>
      </c>
      <c r="H1117" s="7">
        <f t="shared" si="97"/>
        <v>0</v>
      </c>
      <c r="I1117" s="7">
        <f t="shared" si="98"/>
        <v>0</v>
      </c>
      <c r="J1117" s="7">
        <f t="shared" si="98"/>
        <v>0</v>
      </c>
      <c r="K1117" s="7">
        <f t="shared" si="98"/>
        <v>1</v>
      </c>
      <c r="L1117" s="11">
        <v>2396.0958999999998</v>
      </c>
      <c r="M1117" s="12" cm="1">
        <f t="array" ref="M1117">IF(($R$34+SUMPRODUCT(TRANSPOSE(D1117:K1117),$R$35:$R$42))&lt;0,"-",$R$34+SUMPRODUCT(TRANSPOSE(D1117:K1117),$R$35:$R$42))</f>
        <v>2151.4747207983783</v>
      </c>
      <c r="N1117" s="13" t="str">
        <f t="shared" si="95"/>
        <v>-</v>
      </c>
      <c r="O1117" s="13">
        <f t="shared" si="96"/>
        <v>14275.679297833502</v>
      </c>
    </row>
    <row r="1118" spans="1:15" x14ac:dyDescent="0.25">
      <c r="A1118" s="1" t="s">
        <v>3</v>
      </c>
      <c r="B1118" s="1" t="s">
        <v>4</v>
      </c>
      <c r="C1118" s="1" t="s">
        <v>5</v>
      </c>
      <c r="D1118" s="1">
        <v>55</v>
      </c>
      <c r="E1118" s="1">
        <v>32.67</v>
      </c>
      <c r="F1118" s="1">
        <v>1</v>
      </c>
      <c r="G1118" s="7">
        <f t="shared" si="94"/>
        <v>0</v>
      </c>
      <c r="H1118" s="7">
        <f t="shared" si="97"/>
        <v>0</v>
      </c>
      <c r="I1118" s="7">
        <f t="shared" si="98"/>
        <v>1</v>
      </c>
      <c r="J1118" s="7">
        <f t="shared" si="98"/>
        <v>0</v>
      </c>
      <c r="K1118" s="7">
        <f t="shared" si="98"/>
        <v>0</v>
      </c>
      <c r="L1118" s="11">
        <v>10807.4863</v>
      </c>
      <c r="M1118" s="12" cm="1">
        <f t="array" ref="M1118">IF(($R$34+SUMPRODUCT(TRANSPOSE(D1118:K1118),$R$35:$R$42))&lt;0,"-",$R$34+SUMPRODUCT(TRANSPOSE(D1118:K1118),$R$35:$R$42))</f>
        <v>12579.175079219283</v>
      </c>
      <c r="N1118" s="13">
        <f t="shared" si="95"/>
        <v>454.97050218416007</v>
      </c>
      <c r="O1118" s="13">
        <f t="shared" si="96"/>
        <v>24703.379656254408</v>
      </c>
    </row>
    <row r="1119" spans="1:15" x14ac:dyDescent="0.25">
      <c r="A1119" s="1" t="s">
        <v>3</v>
      </c>
      <c r="B1119" s="1" t="s">
        <v>4</v>
      </c>
      <c r="C1119" s="1" t="s">
        <v>7</v>
      </c>
      <c r="D1119" s="1">
        <v>41</v>
      </c>
      <c r="E1119" s="1">
        <v>29.64</v>
      </c>
      <c r="F1119" s="1">
        <v>5</v>
      </c>
      <c r="G1119" s="7">
        <f t="shared" si="94"/>
        <v>0</v>
      </c>
      <c r="H1119" s="7">
        <f t="shared" si="97"/>
        <v>0</v>
      </c>
      <c r="I1119" s="7">
        <f t="shared" si="98"/>
        <v>0</v>
      </c>
      <c r="J1119" s="7">
        <f t="shared" si="98"/>
        <v>0</v>
      </c>
      <c r="K1119" s="7">
        <f t="shared" si="98"/>
        <v>1</v>
      </c>
      <c r="L1119" s="11">
        <v>9222.4025999999994</v>
      </c>
      <c r="M1119" s="12" cm="1">
        <f t="array" ref="M1119">IF(($R$34+SUMPRODUCT(TRANSPOSE(D1119:K1119),$R$35:$R$42))&lt;0,"-",$R$34+SUMPRODUCT(TRANSPOSE(D1119:K1119),$R$35:$R$42))</f>
        <v>10892.454209239913</v>
      </c>
      <c r="N1119" s="13" t="str">
        <f t="shared" si="95"/>
        <v>-</v>
      </c>
      <c r="O1119" s="13">
        <f t="shared" si="96"/>
        <v>23016.658786275038</v>
      </c>
    </row>
    <row r="1120" spans="1:15" x14ac:dyDescent="0.25">
      <c r="A1120" s="1" t="s">
        <v>3</v>
      </c>
      <c r="B1120" s="1" t="s">
        <v>1</v>
      </c>
      <c r="C1120" s="1" t="s">
        <v>5</v>
      </c>
      <c r="D1120" s="1">
        <v>25</v>
      </c>
      <c r="E1120" s="1">
        <v>33.33</v>
      </c>
      <c r="F1120" s="1">
        <v>2</v>
      </c>
      <c r="G1120" s="7">
        <f t="shared" si="94"/>
        <v>0</v>
      </c>
      <c r="H1120" s="7">
        <f t="shared" si="97"/>
        <v>1</v>
      </c>
      <c r="I1120" s="7">
        <f t="shared" si="98"/>
        <v>1</v>
      </c>
      <c r="J1120" s="7">
        <f t="shared" si="98"/>
        <v>0</v>
      </c>
      <c r="K1120" s="7">
        <f t="shared" si="98"/>
        <v>0</v>
      </c>
      <c r="L1120" s="11">
        <v>36124.573700000001</v>
      </c>
      <c r="M1120" s="12" cm="1">
        <f t="array" ref="M1120">IF(($R$34+SUMPRODUCT(TRANSPOSE(D1120:K1120),$R$35:$R$42))&lt;0,"-",$R$34+SUMPRODUCT(TRANSPOSE(D1120:K1120),$R$35:$R$42))</f>
        <v>29421.38726954392</v>
      </c>
      <c r="N1120" s="13">
        <f t="shared" si="95"/>
        <v>17297.182692508795</v>
      </c>
      <c r="O1120" s="13">
        <f t="shared" si="96"/>
        <v>41545.591846579046</v>
      </c>
    </row>
    <row r="1121" spans="1:15" x14ac:dyDescent="0.25">
      <c r="A1121" s="1" t="s">
        <v>3</v>
      </c>
      <c r="B1121" s="1" t="s">
        <v>1</v>
      </c>
      <c r="C1121" s="1" t="s">
        <v>5</v>
      </c>
      <c r="D1121" s="1">
        <v>33</v>
      </c>
      <c r="E1121" s="1">
        <v>35.75</v>
      </c>
      <c r="F1121" s="1">
        <v>1</v>
      </c>
      <c r="G1121" s="7">
        <f t="shared" si="94"/>
        <v>0</v>
      </c>
      <c r="H1121" s="7">
        <f t="shared" si="97"/>
        <v>1</v>
      </c>
      <c r="I1121" s="7">
        <f t="shared" si="98"/>
        <v>1</v>
      </c>
      <c r="J1121" s="7">
        <f t="shared" si="98"/>
        <v>0</v>
      </c>
      <c r="K1121" s="7">
        <f t="shared" si="98"/>
        <v>0</v>
      </c>
      <c r="L1121" s="11">
        <v>38282.749499999998</v>
      </c>
      <c r="M1121" s="12" cm="1">
        <f t="array" ref="M1121">IF(($R$34+SUMPRODUCT(TRANSPOSE(D1121:K1121),$R$35:$R$42))&lt;0,"-",$R$34+SUMPRODUCT(TRANSPOSE(D1121:K1121),$R$35:$R$42))</f>
        <v>31821.58570243181</v>
      </c>
      <c r="N1121" s="13">
        <f t="shared" si="95"/>
        <v>19697.381125396685</v>
      </c>
      <c r="O1121" s="13">
        <f t="shared" si="96"/>
        <v>43945.790279466935</v>
      </c>
    </row>
    <row r="1122" spans="1:15" x14ac:dyDescent="0.25">
      <c r="A1122" s="1" t="s">
        <v>0</v>
      </c>
      <c r="B1122" s="1" t="s">
        <v>4</v>
      </c>
      <c r="C1122" s="1" t="s">
        <v>6</v>
      </c>
      <c r="D1122" s="1">
        <v>30</v>
      </c>
      <c r="E1122" s="1">
        <v>19.95</v>
      </c>
      <c r="F1122" s="1">
        <v>3</v>
      </c>
      <c r="G1122" s="7">
        <f t="shared" si="94"/>
        <v>1</v>
      </c>
      <c r="H1122" s="7">
        <f t="shared" si="97"/>
        <v>0</v>
      </c>
      <c r="I1122" s="7">
        <f t="shared" si="98"/>
        <v>0</v>
      </c>
      <c r="J1122" s="7">
        <f t="shared" si="98"/>
        <v>1</v>
      </c>
      <c r="K1122" s="7">
        <f t="shared" si="98"/>
        <v>0</v>
      </c>
      <c r="L1122" s="11">
        <v>5693.4305000000004</v>
      </c>
      <c r="M1122" s="12" cm="1">
        <f t="array" ref="M1122">IF(($R$34+SUMPRODUCT(TRANSPOSE(D1122:K1122),$R$35:$R$42))&lt;0,"-",$R$34+SUMPRODUCT(TRANSPOSE(D1122:K1122),$R$35:$R$42))</f>
        <v>3607.599135512246</v>
      </c>
      <c r="N1122" s="13" t="str">
        <f t="shared" si="95"/>
        <v>-</v>
      </c>
      <c r="O1122" s="13">
        <f t="shared" si="96"/>
        <v>15731.803712547369</v>
      </c>
    </row>
    <row r="1123" spans="1:15" x14ac:dyDescent="0.25">
      <c r="A1123" s="1" t="s">
        <v>0</v>
      </c>
      <c r="B1123" s="1" t="s">
        <v>1</v>
      </c>
      <c r="C1123" s="1" t="s">
        <v>2</v>
      </c>
      <c r="D1123" s="1">
        <v>23</v>
      </c>
      <c r="E1123" s="1">
        <v>31.4</v>
      </c>
      <c r="F1123" s="1">
        <v>0</v>
      </c>
      <c r="G1123" s="7">
        <f t="shared" si="94"/>
        <v>1</v>
      </c>
      <c r="H1123" s="7">
        <f t="shared" si="97"/>
        <v>1</v>
      </c>
      <c r="I1123" s="7">
        <f t="shared" si="98"/>
        <v>0</v>
      </c>
      <c r="J1123" s="7">
        <f t="shared" si="98"/>
        <v>0</v>
      </c>
      <c r="K1123" s="7">
        <f t="shared" si="98"/>
        <v>0</v>
      </c>
      <c r="L1123" s="11">
        <v>34166.273000000001</v>
      </c>
      <c r="M1123" s="12" cm="1">
        <f t="array" ref="M1123">IF(($R$34+SUMPRODUCT(TRANSPOSE(D1123:K1123),$R$35:$R$42))&lt;0,"-",$R$34+SUMPRODUCT(TRANSPOSE(D1123:K1123),$R$35:$R$42))</f>
        <v>27508.315526184131</v>
      </c>
      <c r="N1123" s="13">
        <f t="shared" si="95"/>
        <v>15384.110949149008</v>
      </c>
      <c r="O1123" s="13">
        <f t="shared" si="96"/>
        <v>39632.520103219256</v>
      </c>
    </row>
    <row r="1124" spans="1:15" x14ac:dyDescent="0.25">
      <c r="A1124" s="1" t="s">
        <v>3</v>
      </c>
      <c r="B1124" s="1" t="s">
        <v>4</v>
      </c>
      <c r="C1124" s="1" t="s">
        <v>5</v>
      </c>
      <c r="D1124" s="1">
        <v>46</v>
      </c>
      <c r="E1124" s="1">
        <v>38.17</v>
      </c>
      <c r="F1124" s="1">
        <v>2</v>
      </c>
      <c r="G1124" s="7">
        <f t="shared" si="94"/>
        <v>0</v>
      </c>
      <c r="H1124" s="7">
        <f t="shared" si="97"/>
        <v>0</v>
      </c>
      <c r="I1124" s="7">
        <f t="shared" si="98"/>
        <v>1</v>
      </c>
      <c r="J1124" s="7">
        <f t="shared" si="98"/>
        <v>0</v>
      </c>
      <c r="K1124" s="7">
        <f t="shared" si="98"/>
        <v>0</v>
      </c>
      <c r="L1124" s="11">
        <v>8347.1643000000004</v>
      </c>
      <c r="M1124" s="12" cm="1">
        <f t="array" ref="M1124">IF(($R$34+SUMPRODUCT(TRANSPOSE(D1124:K1124),$R$35:$R$42))&lt;0,"-",$R$34+SUMPRODUCT(TRANSPOSE(D1124:K1124),$R$35:$R$42))</f>
        <v>12608.532446391902</v>
      </c>
      <c r="N1124" s="13">
        <f t="shared" si="95"/>
        <v>484.32786935677905</v>
      </c>
      <c r="O1124" s="13">
        <f t="shared" si="96"/>
        <v>24732.737023427027</v>
      </c>
    </row>
    <row r="1125" spans="1:15" x14ac:dyDescent="0.25">
      <c r="A1125" s="1" t="s">
        <v>0</v>
      </c>
      <c r="B1125" s="1" t="s">
        <v>1</v>
      </c>
      <c r="C1125" s="1" t="s">
        <v>6</v>
      </c>
      <c r="D1125" s="1">
        <v>53</v>
      </c>
      <c r="E1125" s="1">
        <v>36.86</v>
      </c>
      <c r="F1125" s="1">
        <v>3</v>
      </c>
      <c r="G1125" s="7">
        <f t="shared" si="94"/>
        <v>1</v>
      </c>
      <c r="H1125" s="7">
        <f t="shared" si="97"/>
        <v>1</v>
      </c>
      <c r="I1125" s="7">
        <f t="shared" si="98"/>
        <v>0</v>
      </c>
      <c r="J1125" s="7">
        <f t="shared" si="98"/>
        <v>1</v>
      </c>
      <c r="K1125" s="7">
        <f t="shared" si="98"/>
        <v>0</v>
      </c>
      <c r="L1125" s="11">
        <v>46661.4424</v>
      </c>
      <c r="M1125" s="12" cm="1">
        <f t="array" ref="M1125">IF(($R$34+SUMPRODUCT(TRANSPOSE(D1125:K1125),$R$35:$R$42))&lt;0,"-",$R$34+SUMPRODUCT(TRANSPOSE(D1125:K1125),$R$35:$R$42))</f>
        <v>39099.591086343346</v>
      </c>
      <c r="N1125" s="13">
        <f t="shared" si="95"/>
        <v>26975.38650930822</v>
      </c>
      <c r="O1125" s="13">
        <f t="shared" si="96"/>
        <v>51223.795663378471</v>
      </c>
    </row>
    <row r="1126" spans="1:15" x14ac:dyDescent="0.25">
      <c r="A1126" s="1" t="s">
        <v>0</v>
      </c>
      <c r="B1126" s="1" t="s">
        <v>4</v>
      </c>
      <c r="C1126" s="1" t="s">
        <v>7</v>
      </c>
      <c r="D1126" s="1">
        <v>27</v>
      </c>
      <c r="E1126" s="1">
        <v>32.395000000000003</v>
      </c>
      <c r="F1126" s="1">
        <v>1</v>
      </c>
      <c r="G1126" s="7">
        <f t="shared" si="94"/>
        <v>1</v>
      </c>
      <c r="H1126" s="7">
        <f t="shared" si="97"/>
        <v>0</v>
      </c>
      <c r="I1126" s="7">
        <f t="shared" si="98"/>
        <v>0</v>
      </c>
      <c r="J1126" s="7">
        <f t="shared" si="98"/>
        <v>0</v>
      </c>
      <c r="K1126" s="7">
        <f t="shared" si="98"/>
        <v>1</v>
      </c>
      <c r="L1126" s="11">
        <v>18903.491409999999</v>
      </c>
      <c r="M1126" s="12" cm="1">
        <f t="array" ref="M1126">IF(($R$34+SUMPRODUCT(TRANSPOSE(D1126:K1126),$R$35:$R$42))&lt;0,"-",$R$34+SUMPRODUCT(TRANSPOSE(D1126:K1126),$R$35:$R$42))</f>
        <v>6460.2554172134878</v>
      </c>
      <c r="N1126" s="13" t="str">
        <f t="shared" si="95"/>
        <v>-</v>
      </c>
      <c r="O1126" s="13">
        <f t="shared" si="96"/>
        <v>18584.459994248609</v>
      </c>
    </row>
    <row r="1127" spans="1:15" x14ac:dyDescent="0.25">
      <c r="A1127" s="1" t="s">
        <v>0</v>
      </c>
      <c r="B1127" s="1" t="s">
        <v>1</v>
      </c>
      <c r="C1127" s="1" t="s">
        <v>7</v>
      </c>
      <c r="D1127" s="1">
        <v>23</v>
      </c>
      <c r="E1127" s="1">
        <v>42.75</v>
      </c>
      <c r="F1127" s="1">
        <v>1</v>
      </c>
      <c r="G1127" s="7">
        <f t="shared" si="94"/>
        <v>1</v>
      </c>
      <c r="H1127" s="7">
        <f t="shared" si="97"/>
        <v>1</v>
      </c>
      <c r="I1127" s="7">
        <f t="shared" si="98"/>
        <v>0</v>
      </c>
      <c r="J1127" s="7">
        <f t="shared" si="98"/>
        <v>0</v>
      </c>
      <c r="K1127" s="7">
        <f t="shared" si="98"/>
        <v>1</v>
      </c>
      <c r="L1127" s="11">
        <v>40904.199500000002</v>
      </c>
      <c r="M1127" s="12" cm="1">
        <f t="array" ref="M1127">IF(($R$34+SUMPRODUCT(TRANSPOSE(D1127:K1127),$R$35:$R$42))&lt;0,"-",$R$34+SUMPRODUCT(TRANSPOSE(D1127:K1127),$R$35:$R$42))</f>
        <v>32793.712761117131</v>
      </c>
      <c r="N1127" s="13">
        <f t="shared" si="95"/>
        <v>20669.508184082006</v>
      </c>
      <c r="O1127" s="13">
        <f t="shared" si="96"/>
        <v>44917.917338152256</v>
      </c>
    </row>
    <row r="1128" spans="1:15" x14ac:dyDescent="0.25">
      <c r="A1128" s="1" t="s">
        <v>0</v>
      </c>
      <c r="B1128" s="1" t="s">
        <v>4</v>
      </c>
      <c r="C1128" s="1" t="s">
        <v>6</v>
      </c>
      <c r="D1128" s="1">
        <v>63</v>
      </c>
      <c r="E1128" s="1">
        <v>25.08</v>
      </c>
      <c r="F1128" s="1">
        <v>0</v>
      </c>
      <c r="G1128" s="7">
        <f t="shared" si="94"/>
        <v>1</v>
      </c>
      <c r="H1128" s="7">
        <f t="shared" si="97"/>
        <v>0</v>
      </c>
      <c r="I1128" s="7">
        <f t="shared" si="98"/>
        <v>0</v>
      </c>
      <c r="J1128" s="7">
        <f t="shared" si="98"/>
        <v>1</v>
      </c>
      <c r="K1128" s="7">
        <f t="shared" si="98"/>
        <v>0</v>
      </c>
      <c r="L1128" s="11">
        <v>14254.608200000001</v>
      </c>
      <c r="M1128" s="12" cm="1">
        <f t="array" ref="M1128">IF(($R$34+SUMPRODUCT(TRANSPOSE(D1128:K1128),$R$35:$R$42))&lt;0,"-",$R$34+SUMPRODUCT(TRANSPOSE(D1128:K1128),$R$35:$R$42))</f>
        <v>12397.419550820938</v>
      </c>
      <c r="N1128" s="13">
        <f t="shared" si="95"/>
        <v>273.21497378581444</v>
      </c>
      <c r="O1128" s="13">
        <f t="shared" si="96"/>
        <v>24521.624127856063</v>
      </c>
    </row>
    <row r="1129" spans="1:15" x14ac:dyDescent="0.25">
      <c r="A1129" s="1" t="s">
        <v>3</v>
      </c>
      <c r="B1129" s="1" t="s">
        <v>4</v>
      </c>
      <c r="C1129" s="1" t="s">
        <v>2</v>
      </c>
      <c r="D1129" s="1">
        <v>55</v>
      </c>
      <c r="E1129" s="1">
        <v>29.9</v>
      </c>
      <c r="F1129" s="1">
        <v>0</v>
      </c>
      <c r="G1129" s="7">
        <f t="shared" si="94"/>
        <v>0</v>
      </c>
      <c r="H1129" s="7">
        <f t="shared" si="97"/>
        <v>0</v>
      </c>
      <c r="I1129" s="7">
        <f t="shared" si="98"/>
        <v>0</v>
      </c>
      <c r="J1129" s="7">
        <f t="shared" si="98"/>
        <v>0</v>
      </c>
      <c r="K1129" s="7">
        <f t="shared" si="98"/>
        <v>0</v>
      </c>
      <c r="L1129" s="11">
        <v>10214.636</v>
      </c>
      <c r="M1129" s="12" cm="1">
        <f t="array" ref="M1129">IF(($R$34+SUMPRODUCT(TRANSPOSE(D1129:K1129),$R$35:$R$42))&lt;0,"-",$R$34+SUMPRODUCT(TRANSPOSE(D1129:K1129),$R$35:$R$42))</f>
        <v>11239.079725655109</v>
      </c>
      <c r="N1129" s="13" t="str">
        <f t="shared" si="95"/>
        <v>-</v>
      </c>
      <c r="O1129" s="13">
        <f t="shared" si="96"/>
        <v>23363.284302690234</v>
      </c>
    </row>
    <row r="1130" spans="1:15" x14ac:dyDescent="0.25">
      <c r="A1130" s="1" t="s">
        <v>0</v>
      </c>
      <c r="B1130" s="1" t="s">
        <v>4</v>
      </c>
      <c r="C1130" s="1" t="s">
        <v>5</v>
      </c>
      <c r="D1130" s="1">
        <v>35</v>
      </c>
      <c r="E1130" s="1">
        <v>35.86</v>
      </c>
      <c r="F1130" s="1">
        <v>2</v>
      </c>
      <c r="G1130" s="7">
        <f t="shared" si="94"/>
        <v>1</v>
      </c>
      <c r="H1130" s="7">
        <f t="shared" si="97"/>
        <v>0</v>
      </c>
      <c r="I1130" s="7">
        <f t="shared" si="98"/>
        <v>1</v>
      </c>
      <c r="J1130" s="7">
        <f t="shared" si="98"/>
        <v>0</v>
      </c>
      <c r="K1130" s="7">
        <f t="shared" si="98"/>
        <v>0</v>
      </c>
      <c r="L1130" s="11">
        <v>5836.5204000000003</v>
      </c>
      <c r="M1130" s="12" cm="1">
        <f t="array" ref="M1130">IF(($R$34+SUMPRODUCT(TRANSPOSE(D1130:K1130),$R$35:$R$42))&lt;0,"-",$R$34+SUMPRODUCT(TRANSPOSE(D1130:K1130),$R$35:$R$42))</f>
        <v>9130.8900500351374</v>
      </c>
      <c r="N1130" s="13" t="str">
        <f t="shared" si="95"/>
        <v>-</v>
      </c>
      <c r="O1130" s="13">
        <f t="shared" si="96"/>
        <v>21255.094627070263</v>
      </c>
    </row>
    <row r="1131" spans="1:15" x14ac:dyDescent="0.25">
      <c r="A1131" s="1" t="s">
        <v>3</v>
      </c>
      <c r="B1131" s="1" t="s">
        <v>4</v>
      </c>
      <c r="C1131" s="1" t="s">
        <v>2</v>
      </c>
      <c r="D1131" s="1">
        <v>34</v>
      </c>
      <c r="E1131" s="1">
        <v>32.799999999999997</v>
      </c>
      <c r="F1131" s="1">
        <v>1</v>
      </c>
      <c r="G1131" s="7">
        <f t="shared" si="94"/>
        <v>0</v>
      </c>
      <c r="H1131" s="7">
        <f t="shared" si="97"/>
        <v>0</v>
      </c>
      <c r="I1131" s="7">
        <f t="shared" si="98"/>
        <v>0</v>
      </c>
      <c r="J1131" s="7">
        <f t="shared" si="98"/>
        <v>0</v>
      </c>
      <c r="K1131" s="7">
        <f t="shared" si="98"/>
        <v>0</v>
      </c>
      <c r="L1131" s="11">
        <v>14358.364369999999</v>
      </c>
      <c r="M1131" s="12" cm="1">
        <f t="array" ref="M1131">IF(($R$34+SUMPRODUCT(TRANSPOSE(D1131:K1131),$R$35:$R$42))&lt;0,"-",$R$34+SUMPRODUCT(TRANSPOSE(D1131:K1131),$R$35:$R$42))</f>
        <v>7304.2578829913728</v>
      </c>
      <c r="N1131" s="13" t="str">
        <f t="shared" si="95"/>
        <v>-</v>
      </c>
      <c r="O1131" s="13">
        <f t="shared" si="96"/>
        <v>19428.462460026494</v>
      </c>
    </row>
    <row r="1132" spans="1:15" x14ac:dyDescent="0.25">
      <c r="A1132" s="1" t="s">
        <v>0</v>
      </c>
      <c r="B1132" s="1" t="s">
        <v>4</v>
      </c>
      <c r="C1132" s="1" t="s">
        <v>2</v>
      </c>
      <c r="D1132" s="1">
        <v>19</v>
      </c>
      <c r="E1132" s="1">
        <v>18.600000000000001</v>
      </c>
      <c r="F1132" s="1">
        <v>0</v>
      </c>
      <c r="G1132" s="7">
        <f t="shared" si="94"/>
        <v>1</v>
      </c>
      <c r="H1132" s="7">
        <f t="shared" si="97"/>
        <v>0</v>
      </c>
      <c r="I1132" s="7">
        <f t="shared" si="98"/>
        <v>0</v>
      </c>
      <c r="J1132" s="7">
        <f t="shared" si="98"/>
        <v>0</v>
      </c>
      <c r="K1132" s="7">
        <f t="shared" si="98"/>
        <v>0</v>
      </c>
      <c r="L1132" s="11">
        <v>1728.8969999999999</v>
      </c>
      <c r="M1132" s="12" t="str" cm="1">
        <f t="array" ref="M1132">IF(($R$34+SUMPRODUCT(TRANSPOSE(D1132:K1132),$R$35:$R$42))&lt;0,"-",$R$34+SUMPRODUCT(TRANSPOSE(D1132:K1132),$R$35:$R$42))</f>
        <v>-</v>
      </c>
      <c r="N1132" s="13" t="str">
        <f t="shared" si="95"/>
        <v>-</v>
      </c>
      <c r="O1132" s="13" t="str">
        <f t="shared" si="96"/>
        <v>-</v>
      </c>
    </row>
    <row r="1133" spans="1:15" x14ac:dyDescent="0.25">
      <c r="A1133" s="1" t="s">
        <v>0</v>
      </c>
      <c r="B1133" s="1" t="s">
        <v>4</v>
      </c>
      <c r="C1133" s="1" t="s">
        <v>5</v>
      </c>
      <c r="D1133" s="1">
        <v>39</v>
      </c>
      <c r="E1133" s="1">
        <v>23.87</v>
      </c>
      <c r="F1133" s="1">
        <v>5</v>
      </c>
      <c r="G1133" s="7">
        <f t="shared" si="94"/>
        <v>1</v>
      </c>
      <c r="H1133" s="7">
        <f t="shared" si="97"/>
        <v>0</v>
      </c>
      <c r="I1133" s="7">
        <f t="shared" si="98"/>
        <v>1</v>
      </c>
      <c r="J1133" s="7">
        <f t="shared" si="98"/>
        <v>0</v>
      </c>
      <c r="K1133" s="7">
        <f t="shared" si="98"/>
        <v>0</v>
      </c>
      <c r="L1133" s="11">
        <v>8582.3022999999994</v>
      </c>
      <c r="M1133" s="12" cm="1">
        <f t="array" ref="M1133">IF(($R$34+SUMPRODUCT(TRANSPOSE(D1133:K1133),$R$35:$R$42))&lt;0,"-",$R$34+SUMPRODUCT(TRANSPOSE(D1133:K1133),$R$35:$R$42))</f>
        <v>7517.8875868379582</v>
      </c>
      <c r="N1133" s="13" t="str">
        <f t="shared" si="95"/>
        <v>-</v>
      </c>
      <c r="O1133" s="13">
        <f t="shared" si="96"/>
        <v>19642.09216387308</v>
      </c>
    </row>
    <row r="1134" spans="1:15" x14ac:dyDescent="0.25">
      <c r="A1134" s="1" t="s">
        <v>3</v>
      </c>
      <c r="B1134" s="1" t="s">
        <v>4</v>
      </c>
      <c r="C1134" s="1" t="s">
        <v>2</v>
      </c>
      <c r="D1134" s="1">
        <v>27</v>
      </c>
      <c r="E1134" s="1">
        <v>45.9</v>
      </c>
      <c r="F1134" s="1">
        <v>2</v>
      </c>
      <c r="G1134" s="7">
        <f t="shared" si="94"/>
        <v>0</v>
      </c>
      <c r="H1134" s="7">
        <f t="shared" si="97"/>
        <v>0</v>
      </c>
      <c r="I1134" s="7">
        <f t="shared" si="98"/>
        <v>0</v>
      </c>
      <c r="J1134" s="7">
        <f t="shared" si="98"/>
        <v>0</v>
      </c>
      <c r="K1134" s="7">
        <f t="shared" si="98"/>
        <v>0</v>
      </c>
      <c r="L1134" s="11">
        <v>3693.4279999999999</v>
      </c>
      <c r="M1134" s="12" cm="1">
        <f t="array" ref="M1134">IF(($R$34+SUMPRODUCT(TRANSPOSE(D1134:K1134),$R$35:$R$42))&lt;0,"-",$R$34+SUMPRODUCT(TRANSPOSE(D1134:K1134),$R$35:$R$42))</f>
        <v>10425.198202681069</v>
      </c>
      <c r="N1134" s="13" t="str">
        <f t="shared" si="95"/>
        <v>-</v>
      </c>
      <c r="O1134" s="13">
        <f t="shared" si="96"/>
        <v>22549.402779716191</v>
      </c>
    </row>
    <row r="1135" spans="1:15" x14ac:dyDescent="0.25">
      <c r="A1135" s="1" t="s">
        <v>3</v>
      </c>
      <c r="B1135" s="1" t="s">
        <v>4</v>
      </c>
      <c r="C1135" s="1" t="s">
        <v>7</v>
      </c>
      <c r="D1135" s="1">
        <v>57</v>
      </c>
      <c r="E1135" s="1">
        <v>40.28</v>
      </c>
      <c r="F1135" s="1">
        <v>0</v>
      </c>
      <c r="G1135" s="7">
        <f t="shared" si="94"/>
        <v>0</v>
      </c>
      <c r="H1135" s="7">
        <f t="shared" si="97"/>
        <v>0</v>
      </c>
      <c r="I1135" s="7">
        <f t="shared" si="98"/>
        <v>0</v>
      </c>
      <c r="J1135" s="7">
        <f t="shared" si="98"/>
        <v>0</v>
      </c>
      <c r="K1135" s="7">
        <f t="shared" si="98"/>
        <v>1</v>
      </c>
      <c r="L1135" s="11">
        <v>20709.020339999999</v>
      </c>
      <c r="M1135" s="12" cm="1">
        <f t="array" ref="M1135">IF(($R$34+SUMPRODUCT(TRANSPOSE(D1135:K1135),$R$35:$R$42))&lt;0,"-",$R$34+SUMPRODUCT(TRANSPOSE(D1135:K1135),$R$35:$R$42))</f>
        <v>16233.671470511155</v>
      </c>
      <c r="N1135" s="13">
        <f t="shared" si="95"/>
        <v>4109.4668934760321</v>
      </c>
      <c r="O1135" s="13">
        <f t="shared" si="96"/>
        <v>28357.876047546277</v>
      </c>
    </row>
    <row r="1136" spans="1:15" x14ac:dyDescent="0.25">
      <c r="A1136" s="1" t="s">
        <v>0</v>
      </c>
      <c r="B1136" s="1" t="s">
        <v>4</v>
      </c>
      <c r="C1136" s="1" t="s">
        <v>6</v>
      </c>
      <c r="D1136" s="1">
        <v>52</v>
      </c>
      <c r="E1136" s="1">
        <v>18.335000000000001</v>
      </c>
      <c r="F1136" s="1">
        <v>0</v>
      </c>
      <c r="G1136" s="7">
        <f t="shared" si="94"/>
        <v>1</v>
      </c>
      <c r="H1136" s="7">
        <f t="shared" si="97"/>
        <v>0</v>
      </c>
      <c r="I1136" s="7">
        <f t="shared" si="98"/>
        <v>0</v>
      </c>
      <c r="J1136" s="7">
        <f t="shared" si="98"/>
        <v>1</v>
      </c>
      <c r="K1136" s="7">
        <f t="shared" si="98"/>
        <v>0</v>
      </c>
      <c r="L1136" s="11">
        <v>9991.0376500000002</v>
      </c>
      <c r="M1136" s="12" cm="1">
        <f t="array" ref="M1136">IF(($R$34+SUMPRODUCT(TRANSPOSE(D1136:K1136),$R$35:$R$42))&lt;0,"-",$R$34+SUMPRODUCT(TRANSPOSE(D1136:K1136),$R$35:$R$42))</f>
        <v>7284.1398283049966</v>
      </c>
      <c r="N1136" s="13" t="str">
        <f t="shared" si="95"/>
        <v>-</v>
      </c>
      <c r="O1136" s="13">
        <f t="shared" si="96"/>
        <v>19408.344405340118</v>
      </c>
    </row>
    <row r="1137" spans="1:15" x14ac:dyDescent="0.25">
      <c r="A1137" s="1" t="s">
        <v>3</v>
      </c>
      <c r="B1137" s="1" t="s">
        <v>4</v>
      </c>
      <c r="C1137" s="1" t="s">
        <v>6</v>
      </c>
      <c r="D1137" s="1">
        <v>28</v>
      </c>
      <c r="E1137" s="1">
        <v>33.82</v>
      </c>
      <c r="F1137" s="1">
        <v>0</v>
      </c>
      <c r="G1137" s="7">
        <f t="shared" si="94"/>
        <v>0</v>
      </c>
      <c r="H1137" s="7">
        <f t="shared" si="97"/>
        <v>0</v>
      </c>
      <c r="I1137" s="7">
        <f t="shared" si="98"/>
        <v>0</v>
      </c>
      <c r="J1137" s="7">
        <f t="shared" si="98"/>
        <v>1</v>
      </c>
      <c r="K1137" s="7">
        <f t="shared" si="98"/>
        <v>0</v>
      </c>
      <c r="L1137" s="11">
        <v>19673.335729999999</v>
      </c>
      <c r="M1137" s="12" cm="1">
        <f t="array" ref="M1137">IF(($R$34+SUMPRODUCT(TRANSPOSE(D1137:K1137),$R$35:$R$42))&lt;0,"-",$R$34+SUMPRODUCT(TRANSPOSE(D1137:K1137),$R$35:$R$42))</f>
        <v>6240.683637177397</v>
      </c>
      <c r="N1137" s="13" t="str">
        <f t="shared" si="95"/>
        <v>-</v>
      </c>
      <c r="O1137" s="13">
        <f t="shared" si="96"/>
        <v>18364.888214212522</v>
      </c>
    </row>
    <row r="1138" spans="1:15" x14ac:dyDescent="0.25">
      <c r="A1138" s="1" t="s">
        <v>0</v>
      </c>
      <c r="B1138" s="1" t="s">
        <v>4</v>
      </c>
      <c r="C1138" s="1" t="s">
        <v>6</v>
      </c>
      <c r="D1138" s="1">
        <v>50</v>
      </c>
      <c r="E1138" s="1">
        <v>28.12</v>
      </c>
      <c r="F1138" s="1">
        <v>3</v>
      </c>
      <c r="G1138" s="7">
        <f t="shared" si="94"/>
        <v>1</v>
      </c>
      <c r="H1138" s="7">
        <f t="shared" si="97"/>
        <v>0</v>
      </c>
      <c r="I1138" s="7">
        <f t="shared" si="98"/>
        <v>0</v>
      </c>
      <c r="J1138" s="7">
        <f t="shared" si="98"/>
        <v>1</v>
      </c>
      <c r="K1138" s="7">
        <f t="shared" si="98"/>
        <v>0</v>
      </c>
      <c r="L1138" s="11">
        <v>11085.586799999999</v>
      </c>
      <c r="M1138" s="12" cm="1">
        <f t="array" ref="M1138">IF(($R$34+SUMPRODUCT(TRANSPOSE(D1138:K1138),$R$35:$R$42))&lt;0,"-",$R$34+SUMPRODUCT(TRANSPOSE(D1138:K1138),$R$35:$R$42))</f>
        <v>11515.936702259773</v>
      </c>
      <c r="N1138" s="13" t="str">
        <f t="shared" si="95"/>
        <v>-</v>
      </c>
      <c r="O1138" s="13">
        <f t="shared" si="96"/>
        <v>23640.141279294898</v>
      </c>
    </row>
    <row r="1139" spans="1:15" x14ac:dyDescent="0.25">
      <c r="A1139" s="1" t="s">
        <v>0</v>
      </c>
      <c r="B1139" s="1" t="s">
        <v>4</v>
      </c>
      <c r="C1139" s="1" t="s">
        <v>2</v>
      </c>
      <c r="D1139" s="1">
        <v>44</v>
      </c>
      <c r="E1139" s="1">
        <v>25</v>
      </c>
      <c r="F1139" s="1">
        <v>1</v>
      </c>
      <c r="G1139" s="7">
        <f t="shared" si="94"/>
        <v>1</v>
      </c>
      <c r="H1139" s="7">
        <f t="shared" si="97"/>
        <v>0</v>
      </c>
      <c r="I1139" s="7">
        <f t="shared" si="98"/>
        <v>0</v>
      </c>
      <c r="J1139" s="7">
        <f t="shared" si="98"/>
        <v>0</v>
      </c>
      <c r="K1139" s="7">
        <f t="shared" si="98"/>
        <v>0</v>
      </c>
      <c r="L1139" s="11">
        <v>7623.518</v>
      </c>
      <c r="M1139" s="12" cm="1">
        <f t="array" ref="M1139">IF(($R$34+SUMPRODUCT(TRANSPOSE(D1139:K1139),$R$35:$R$42))&lt;0,"-",$R$34+SUMPRODUCT(TRANSPOSE(D1139:K1139),$R$35:$R$42))</f>
        <v>7358.4268295954025</v>
      </c>
      <c r="N1139" s="13" t="str">
        <f t="shared" si="95"/>
        <v>-</v>
      </c>
      <c r="O1139" s="13">
        <f t="shared" si="96"/>
        <v>19482.631406630528</v>
      </c>
    </row>
    <row r="1140" spans="1:15" x14ac:dyDescent="0.25">
      <c r="A1140" s="1" t="s">
        <v>0</v>
      </c>
      <c r="B1140" s="1" t="s">
        <v>4</v>
      </c>
      <c r="C1140" s="1" t="s">
        <v>6</v>
      </c>
      <c r="D1140" s="1">
        <v>26</v>
      </c>
      <c r="E1140" s="1">
        <v>22.23</v>
      </c>
      <c r="F1140" s="1">
        <v>0</v>
      </c>
      <c r="G1140" s="7">
        <f t="shared" si="94"/>
        <v>1</v>
      </c>
      <c r="H1140" s="7">
        <f t="shared" si="97"/>
        <v>0</v>
      </c>
      <c r="I1140" s="7">
        <f t="shared" si="98"/>
        <v>0</v>
      </c>
      <c r="J1140" s="7">
        <f t="shared" si="98"/>
        <v>1</v>
      </c>
      <c r="K1140" s="7">
        <f t="shared" si="98"/>
        <v>0</v>
      </c>
      <c r="L1140" s="11">
        <v>3176.2876999999999</v>
      </c>
      <c r="M1140" s="12" cm="1">
        <f t="array" ref="M1140">IF(($R$34+SUMPRODUCT(TRANSPOSE(D1140:K1140),$R$35:$R$42))&lt;0,"-",$R$34+SUMPRODUCT(TRANSPOSE(D1140:K1140),$R$35:$R$42))</f>
        <v>1927.0331641481716</v>
      </c>
      <c r="N1140" s="13" t="str">
        <f t="shared" si="95"/>
        <v>-</v>
      </c>
      <c r="O1140" s="13">
        <f t="shared" si="96"/>
        <v>14051.237741183295</v>
      </c>
    </row>
    <row r="1141" spans="1:15" x14ac:dyDescent="0.25">
      <c r="A1141" s="1" t="s">
        <v>3</v>
      </c>
      <c r="B1141" s="1" t="s">
        <v>4</v>
      </c>
      <c r="C1141" s="1" t="s">
        <v>5</v>
      </c>
      <c r="D1141" s="1">
        <v>33</v>
      </c>
      <c r="E1141" s="1">
        <v>30.25</v>
      </c>
      <c r="F1141" s="1">
        <v>0</v>
      </c>
      <c r="G1141" s="7">
        <f t="shared" si="94"/>
        <v>0</v>
      </c>
      <c r="H1141" s="7">
        <f t="shared" si="97"/>
        <v>0</v>
      </c>
      <c r="I1141" s="7">
        <f t="shared" si="98"/>
        <v>1</v>
      </c>
      <c r="J1141" s="7">
        <f t="shared" si="98"/>
        <v>0</v>
      </c>
      <c r="K1141" s="7">
        <f t="shared" si="98"/>
        <v>0</v>
      </c>
      <c r="L1141" s="11">
        <v>3704.3544999999999</v>
      </c>
      <c r="M1141" s="12" cm="1">
        <f t="array" ref="M1141">IF(($R$34+SUMPRODUCT(TRANSPOSE(D1141:K1141),$R$35:$R$42))&lt;0,"-",$R$34+SUMPRODUCT(TRANSPOSE(D1141:K1141),$R$35:$R$42))</f>
        <v>5631.9866205102589</v>
      </c>
      <c r="N1141" s="13" t="str">
        <f t="shared" si="95"/>
        <v>-</v>
      </c>
      <c r="O1141" s="13">
        <f t="shared" si="96"/>
        <v>17756.191197545384</v>
      </c>
    </row>
    <row r="1142" spans="1:15" x14ac:dyDescent="0.25">
      <c r="A1142" s="1" t="s">
        <v>0</v>
      </c>
      <c r="B1142" s="1" t="s">
        <v>1</v>
      </c>
      <c r="C1142" s="1" t="s">
        <v>6</v>
      </c>
      <c r="D1142" s="1">
        <v>19</v>
      </c>
      <c r="E1142" s="1">
        <v>32.49</v>
      </c>
      <c r="F1142" s="1">
        <v>0</v>
      </c>
      <c r="G1142" s="7">
        <f t="shared" si="94"/>
        <v>1</v>
      </c>
      <c r="H1142" s="7">
        <f t="shared" si="97"/>
        <v>1</v>
      </c>
      <c r="I1142" s="7">
        <f t="shared" si="98"/>
        <v>0</v>
      </c>
      <c r="J1142" s="7">
        <f t="shared" si="98"/>
        <v>1</v>
      </c>
      <c r="K1142" s="7">
        <f t="shared" si="98"/>
        <v>0</v>
      </c>
      <c r="L1142" s="11">
        <v>36898.733079999998</v>
      </c>
      <c r="M1142" s="12" cm="1">
        <f t="array" ref="M1142">IF(($R$34+SUMPRODUCT(TRANSPOSE(D1142:K1142),$R$35:$R$42))&lt;0,"-",$R$34+SUMPRODUCT(TRANSPOSE(D1142:K1142),$R$35:$R$42))</f>
        <v>27457.69807234675</v>
      </c>
      <c r="N1142" s="13">
        <f t="shared" si="95"/>
        <v>15333.493495311626</v>
      </c>
      <c r="O1142" s="13">
        <f t="shared" si="96"/>
        <v>39581.902649381875</v>
      </c>
    </row>
    <row r="1143" spans="1:15" x14ac:dyDescent="0.25">
      <c r="A1143" s="1" t="s">
        <v>3</v>
      </c>
      <c r="B1143" s="1" t="s">
        <v>4</v>
      </c>
      <c r="C1143" s="1" t="s">
        <v>5</v>
      </c>
      <c r="D1143" s="1">
        <v>50</v>
      </c>
      <c r="E1143" s="1">
        <v>37.07</v>
      </c>
      <c r="F1143" s="1">
        <v>1</v>
      </c>
      <c r="G1143" s="7">
        <f t="shared" si="94"/>
        <v>0</v>
      </c>
      <c r="H1143" s="7">
        <f t="shared" si="97"/>
        <v>0</v>
      </c>
      <c r="I1143" s="7">
        <f t="shared" si="98"/>
        <v>1</v>
      </c>
      <c r="J1143" s="7">
        <f t="shared" si="98"/>
        <v>0</v>
      </c>
      <c r="K1143" s="7">
        <f t="shared" si="98"/>
        <v>0</v>
      </c>
      <c r="L1143" s="11">
        <v>9048.0272999999997</v>
      </c>
      <c r="M1143" s="12" cm="1">
        <f t="array" ref="M1143">IF(($R$34+SUMPRODUCT(TRANSPOSE(D1143:K1143),$R$35:$R$42))&lt;0,"-",$R$34+SUMPRODUCT(TRANSPOSE(D1143:K1143),$R$35:$R$42))</f>
        <v>12787.344512420237</v>
      </c>
      <c r="N1143" s="13">
        <f t="shared" si="95"/>
        <v>663.13993538511386</v>
      </c>
      <c r="O1143" s="13">
        <f t="shared" si="96"/>
        <v>24911.549089455359</v>
      </c>
    </row>
    <row r="1144" spans="1:15" x14ac:dyDescent="0.25">
      <c r="A1144" s="1" t="s">
        <v>0</v>
      </c>
      <c r="B1144" s="1" t="s">
        <v>4</v>
      </c>
      <c r="C1144" s="1" t="s">
        <v>2</v>
      </c>
      <c r="D1144" s="1">
        <v>41</v>
      </c>
      <c r="E1144" s="1">
        <v>32.6</v>
      </c>
      <c r="F1144" s="1">
        <v>3</v>
      </c>
      <c r="G1144" s="7">
        <f t="shared" si="94"/>
        <v>1</v>
      </c>
      <c r="H1144" s="7">
        <f t="shared" si="97"/>
        <v>0</v>
      </c>
      <c r="I1144" s="7">
        <f t="shared" si="98"/>
        <v>0</v>
      </c>
      <c r="J1144" s="7">
        <f t="shared" si="98"/>
        <v>0</v>
      </c>
      <c r="K1144" s="7">
        <f t="shared" si="98"/>
        <v>0</v>
      </c>
      <c r="L1144" s="11">
        <v>7954.5169999999998</v>
      </c>
      <c r="M1144" s="12" cm="1">
        <f t="array" ref="M1144">IF(($R$34+SUMPRODUCT(TRANSPOSE(D1144:K1144),$R$35:$R$42))&lt;0,"-",$R$34+SUMPRODUCT(TRANSPOSE(D1144:K1144),$R$35:$R$42))</f>
        <v>10116.729109724012</v>
      </c>
      <c r="N1144" s="13" t="str">
        <f t="shared" si="95"/>
        <v>-</v>
      </c>
      <c r="O1144" s="13">
        <f t="shared" si="96"/>
        <v>22240.933686759134</v>
      </c>
    </row>
    <row r="1145" spans="1:15" x14ac:dyDescent="0.25">
      <c r="A1145" s="1" t="s">
        <v>0</v>
      </c>
      <c r="B1145" s="1" t="s">
        <v>4</v>
      </c>
      <c r="C1145" s="1" t="s">
        <v>5</v>
      </c>
      <c r="D1145" s="1">
        <v>52</v>
      </c>
      <c r="E1145" s="1">
        <v>24.86</v>
      </c>
      <c r="F1145" s="1">
        <v>0</v>
      </c>
      <c r="G1145" s="7">
        <f t="shared" si="94"/>
        <v>1</v>
      </c>
      <c r="H1145" s="7">
        <f t="shared" si="97"/>
        <v>0</v>
      </c>
      <c r="I1145" s="7">
        <f t="shared" si="98"/>
        <v>1</v>
      </c>
      <c r="J1145" s="7">
        <f t="shared" si="98"/>
        <v>0</v>
      </c>
      <c r="K1145" s="7">
        <f t="shared" si="98"/>
        <v>0</v>
      </c>
      <c r="L1145" s="11">
        <v>27117.993780000001</v>
      </c>
      <c r="M1145" s="12" cm="1">
        <f t="array" ref="M1145">IF(($R$34+SUMPRODUCT(TRANSPOSE(D1145:K1145),$R$35:$R$42))&lt;0,"-",$R$34+SUMPRODUCT(TRANSPOSE(D1145:K1145),$R$35:$R$42))</f>
        <v>8815.3189631525493</v>
      </c>
      <c r="N1145" s="13" t="str">
        <f t="shared" si="95"/>
        <v>-</v>
      </c>
      <c r="O1145" s="13">
        <f t="shared" si="96"/>
        <v>20939.523540187671</v>
      </c>
    </row>
    <row r="1146" spans="1:15" x14ac:dyDescent="0.25">
      <c r="A1146" s="1" t="s">
        <v>3</v>
      </c>
      <c r="B1146" s="1" t="s">
        <v>4</v>
      </c>
      <c r="C1146" s="1" t="s">
        <v>5</v>
      </c>
      <c r="D1146" s="1">
        <v>39</v>
      </c>
      <c r="E1146" s="1">
        <v>32.340000000000003</v>
      </c>
      <c r="F1146" s="1">
        <v>2</v>
      </c>
      <c r="G1146" s="7">
        <f t="shared" si="94"/>
        <v>0</v>
      </c>
      <c r="H1146" s="7">
        <f t="shared" si="97"/>
        <v>0</v>
      </c>
      <c r="I1146" s="7">
        <f t="shared" si="98"/>
        <v>1</v>
      </c>
      <c r="J1146" s="7">
        <f t="shared" si="98"/>
        <v>0</v>
      </c>
      <c r="K1146" s="7">
        <f t="shared" si="98"/>
        <v>0</v>
      </c>
      <c r="L1146" s="11">
        <v>6338.0756000000001</v>
      </c>
      <c r="M1146" s="12" cm="1">
        <f t="array" ref="M1146">IF(($R$34+SUMPRODUCT(TRANSPOSE(D1146:K1146),$R$35:$R$42))&lt;0,"-",$R$34+SUMPRODUCT(TRANSPOSE(D1146:K1146),$R$35:$R$42))</f>
        <v>8833.0401440792702</v>
      </c>
      <c r="N1146" s="13" t="str">
        <f t="shared" si="95"/>
        <v>-</v>
      </c>
      <c r="O1146" s="13">
        <f t="shared" si="96"/>
        <v>20957.244721114395</v>
      </c>
    </row>
    <row r="1147" spans="1:15" x14ac:dyDescent="0.25">
      <c r="A1147" s="1" t="s">
        <v>3</v>
      </c>
      <c r="B1147" s="1" t="s">
        <v>4</v>
      </c>
      <c r="C1147" s="1" t="s">
        <v>2</v>
      </c>
      <c r="D1147" s="1">
        <v>50</v>
      </c>
      <c r="E1147" s="1">
        <v>32.299999999999997</v>
      </c>
      <c r="F1147" s="1">
        <v>2</v>
      </c>
      <c r="G1147" s="7">
        <f t="shared" si="94"/>
        <v>0</v>
      </c>
      <c r="H1147" s="7">
        <f t="shared" si="97"/>
        <v>0</v>
      </c>
      <c r="I1147" s="7">
        <f t="shared" si="98"/>
        <v>0</v>
      </c>
      <c r="J1147" s="7">
        <f t="shared" si="98"/>
        <v>0</v>
      </c>
      <c r="K1147" s="7">
        <f t="shared" si="98"/>
        <v>0</v>
      </c>
      <c r="L1147" s="11">
        <v>9630.3970000000008</v>
      </c>
      <c r="M1147" s="12" cm="1">
        <f t="array" ref="M1147">IF(($R$34+SUMPRODUCT(TRANSPOSE(D1147:K1147),$R$35:$R$42))&lt;0,"-",$R$34+SUMPRODUCT(TRANSPOSE(D1147:K1147),$R$35:$R$42))</f>
        <v>11719.863341932647</v>
      </c>
      <c r="N1147" s="13" t="str">
        <f t="shared" si="95"/>
        <v>-</v>
      </c>
      <c r="O1147" s="13">
        <f t="shared" si="96"/>
        <v>23844.067918967768</v>
      </c>
    </row>
    <row r="1148" spans="1:15" x14ac:dyDescent="0.25">
      <c r="A1148" s="1" t="s">
        <v>3</v>
      </c>
      <c r="B1148" s="1" t="s">
        <v>4</v>
      </c>
      <c r="C1148" s="1" t="s">
        <v>6</v>
      </c>
      <c r="D1148" s="1">
        <v>52</v>
      </c>
      <c r="E1148" s="1">
        <v>32.774999999999999</v>
      </c>
      <c r="F1148" s="1">
        <v>3</v>
      </c>
      <c r="G1148" s="7">
        <f t="shared" si="94"/>
        <v>0</v>
      </c>
      <c r="H1148" s="7">
        <f t="shared" si="97"/>
        <v>0</v>
      </c>
      <c r="I1148" s="7">
        <f t="shared" si="98"/>
        <v>0</v>
      </c>
      <c r="J1148" s="7">
        <f t="shared" si="98"/>
        <v>1</v>
      </c>
      <c r="K1148" s="7">
        <f t="shared" si="98"/>
        <v>0</v>
      </c>
      <c r="L1148" s="11">
        <v>11289.10925</v>
      </c>
      <c r="M1148" s="12" cm="1">
        <f t="array" ref="M1148">IF(($R$34+SUMPRODUCT(TRANSPOSE(D1148:K1148),$R$35:$R$42))&lt;0,"-",$R$34+SUMPRODUCT(TRANSPOSE(D1148:K1148),$R$35:$R$42))</f>
        <v>13477.280574497821</v>
      </c>
      <c r="N1148" s="13">
        <f t="shared" si="95"/>
        <v>1353.0759974626981</v>
      </c>
      <c r="O1148" s="13">
        <f t="shared" si="96"/>
        <v>25601.485151532943</v>
      </c>
    </row>
    <row r="1149" spans="1:15" x14ac:dyDescent="0.25">
      <c r="A1149" s="1" t="s">
        <v>3</v>
      </c>
      <c r="B1149" s="1" t="s">
        <v>1</v>
      </c>
      <c r="C1149" s="1" t="s">
        <v>2</v>
      </c>
      <c r="D1149" s="1">
        <v>60</v>
      </c>
      <c r="E1149" s="1">
        <v>32.799999999999997</v>
      </c>
      <c r="F1149" s="1">
        <v>0</v>
      </c>
      <c r="G1149" s="7">
        <f t="shared" si="94"/>
        <v>0</v>
      </c>
      <c r="H1149" s="7">
        <f t="shared" si="97"/>
        <v>1</v>
      </c>
      <c r="I1149" s="7">
        <f t="shared" si="98"/>
        <v>0</v>
      </c>
      <c r="J1149" s="7">
        <f t="shared" si="98"/>
        <v>0</v>
      </c>
      <c r="K1149" s="7">
        <f t="shared" si="98"/>
        <v>0</v>
      </c>
      <c r="L1149" s="11">
        <v>52590.829389999999</v>
      </c>
      <c r="M1149" s="12" cm="1">
        <f t="array" ref="M1149">IF(($R$34+SUMPRODUCT(TRANSPOSE(D1149:K1149),$R$35:$R$42))&lt;0,"-",$R$34+SUMPRODUCT(TRANSPOSE(D1149:K1149),$R$35:$R$42))</f>
        <v>37355.557045726076</v>
      </c>
      <c r="N1149" s="13">
        <f t="shared" si="95"/>
        <v>25231.352468690951</v>
      </c>
      <c r="O1149" s="13">
        <f t="shared" si="96"/>
        <v>49479.761622761202</v>
      </c>
    </row>
    <row r="1150" spans="1:15" x14ac:dyDescent="0.25">
      <c r="A1150" s="1" t="s">
        <v>0</v>
      </c>
      <c r="B1150" s="1" t="s">
        <v>4</v>
      </c>
      <c r="C1150" s="1" t="s">
        <v>6</v>
      </c>
      <c r="D1150" s="1">
        <v>20</v>
      </c>
      <c r="E1150" s="1">
        <v>31.92</v>
      </c>
      <c r="F1150" s="1">
        <v>0</v>
      </c>
      <c r="G1150" s="7">
        <f t="shared" si="94"/>
        <v>1</v>
      </c>
      <c r="H1150" s="7">
        <f t="shared" si="97"/>
        <v>0</v>
      </c>
      <c r="I1150" s="7">
        <f t="shared" si="98"/>
        <v>0</v>
      </c>
      <c r="J1150" s="7">
        <f t="shared" si="98"/>
        <v>1</v>
      </c>
      <c r="K1150" s="7">
        <f t="shared" si="98"/>
        <v>0</v>
      </c>
      <c r="L1150" s="11">
        <v>2261.5688</v>
      </c>
      <c r="M1150" s="12" cm="1">
        <f t="array" ref="M1150">IF(($R$34+SUMPRODUCT(TRANSPOSE(D1150:K1150),$R$35:$R$42))&lt;0,"-",$R$34+SUMPRODUCT(TRANSPOSE(D1150:K1150),$R$35:$R$42))</f>
        <v>3672.6796144131258</v>
      </c>
      <c r="N1150" s="13" t="str">
        <f t="shared" si="95"/>
        <v>-</v>
      </c>
      <c r="O1150" s="13">
        <f t="shared" si="96"/>
        <v>15796.884191448249</v>
      </c>
    </row>
    <row r="1151" spans="1:15" x14ac:dyDescent="0.25">
      <c r="A1151" s="1" t="s">
        <v>3</v>
      </c>
      <c r="B1151" s="1" t="s">
        <v>4</v>
      </c>
      <c r="C1151" s="1" t="s">
        <v>2</v>
      </c>
      <c r="D1151" s="1">
        <v>55</v>
      </c>
      <c r="E1151" s="1">
        <v>21.5</v>
      </c>
      <c r="F1151" s="1">
        <v>1</v>
      </c>
      <c r="G1151" s="7">
        <f t="shared" si="94"/>
        <v>0</v>
      </c>
      <c r="H1151" s="7">
        <f t="shared" si="97"/>
        <v>0</v>
      </c>
      <c r="I1151" s="7">
        <f t="shared" si="98"/>
        <v>0</v>
      </c>
      <c r="J1151" s="7">
        <f t="shared" si="98"/>
        <v>0</v>
      </c>
      <c r="K1151" s="7">
        <f t="shared" si="98"/>
        <v>0</v>
      </c>
      <c r="L1151" s="11">
        <v>10791.96</v>
      </c>
      <c r="M1151" s="12" cm="1">
        <f t="array" ref="M1151">IF(($R$34+SUMPRODUCT(TRANSPOSE(D1151:K1151),$R$35:$R$42))&lt;0,"-",$R$34+SUMPRODUCT(TRANSPOSE(D1151:K1151),$R$35:$R$42))</f>
        <v>8865.3552604731849</v>
      </c>
      <c r="N1151" s="13" t="str">
        <f t="shared" si="95"/>
        <v>-</v>
      </c>
      <c r="O1151" s="13">
        <f t="shared" si="96"/>
        <v>20989.559837508306</v>
      </c>
    </row>
    <row r="1152" spans="1:15" x14ac:dyDescent="0.25">
      <c r="A1152" s="1" t="s">
        <v>3</v>
      </c>
      <c r="B1152" s="1" t="s">
        <v>4</v>
      </c>
      <c r="C1152" s="1" t="s">
        <v>2</v>
      </c>
      <c r="D1152" s="1">
        <v>42</v>
      </c>
      <c r="E1152" s="1">
        <v>34.1</v>
      </c>
      <c r="F1152" s="1">
        <v>0</v>
      </c>
      <c r="G1152" s="7">
        <f t="shared" si="94"/>
        <v>0</v>
      </c>
      <c r="H1152" s="7">
        <f t="shared" si="97"/>
        <v>0</v>
      </c>
      <c r="I1152" s="7">
        <f t="shared" si="98"/>
        <v>0</v>
      </c>
      <c r="J1152" s="7">
        <f t="shared" si="98"/>
        <v>0</v>
      </c>
      <c r="K1152" s="7">
        <f t="shared" si="98"/>
        <v>0</v>
      </c>
      <c r="L1152" s="11">
        <v>5979.7309999999998</v>
      </c>
      <c r="M1152" s="12" cm="1">
        <f t="array" ref="M1152">IF(($R$34+SUMPRODUCT(TRANSPOSE(D1152:K1152),$R$35:$R$42))&lt;0,"-",$R$34+SUMPRODUCT(TRANSPOSE(D1152:K1152),$R$35:$R$42))</f>
        <v>9324.5596478351144</v>
      </c>
      <c r="N1152" s="13" t="str">
        <f t="shared" si="95"/>
        <v>-</v>
      </c>
      <c r="O1152" s="13">
        <f t="shared" si="96"/>
        <v>21448.76422487024</v>
      </c>
    </row>
    <row r="1153" spans="1:15" x14ac:dyDescent="0.25">
      <c r="A1153" s="1" t="s">
        <v>0</v>
      </c>
      <c r="B1153" s="1" t="s">
        <v>4</v>
      </c>
      <c r="C1153" s="1" t="s">
        <v>7</v>
      </c>
      <c r="D1153" s="1">
        <v>18</v>
      </c>
      <c r="E1153" s="1">
        <v>30.305</v>
      </c>
      <c r="F1153" s="1">
        <v>0</v>
      </c>
      <c r="G1153" s="7">
        <f t="shared" si="94"/>
        <v>1</v>
      </c>
      <c r="H1153" s="7">
        <f t="shared" si="97"/>
        <v>0</v>
      </c>
      <c r="I1153" s="7">
        <f t="shared" si="98"/>
        <v>0</v>
      </c>
      <c r="J1153" s="7">
        <f t="shared" si="98"/>
        <v>0</v>
      </c>
      <c r="K1153" s="7">
        <f t="shared" si="98"/>
        <v>1</v>
      </c>
      <c r="L1153" s="11">
        <v>2203.7359499999998</v>
      </c>
      <c r="M1153" s="12" cm="1">
        <f t="array" ref="M1153">IF(($R$34+SUMPRODUCT(TRANSPOSE(D1153:K1153),$R$35:$R$42))&lt;0,"-",$R$34+SUMPRODUCT(TRANSPOSE(D1153:K1153),$R$35:$R$42))</f>
        <v>2964.1333811815621</v>
      </c>
      <c r="N1153" s="13" t="str">
        <f t="shared" si="95"/>
        <v>-</v>
      </c>
      <c r="O1153" s="13">
        <f t="shared" si="96"/>
        <v>15088.337958216685</v>
      </c>
    </row>
    <row r="1154" spans="1:15" x14ac:dyDescent="0.25">
      <c r="A1154" s="1" t="s">
        <v>0</v>
      </c>
      <c r="B1154" s="1" t="s">
        <v>4</v>
      </c>
      <c r="C1154" s="1" t="s">
        <v>6</v>
      </c>
      <c r="D1154" s="1">
        <v>58</v>
      </c>
      <c r="E1154" s="1">
        <v>36.479999999999997</v>
      </c>
      <c r="F1154" s="1">
        <v>0</v>
      </c>
      <c r="G1154" s="7">
        <f t="shared" si="94"/>
        <v>1</v>
      </c>
      <c r="H1154" s="7">
        <f t="shared" si="97"/>
        <v>0</v>
      </c>
      <c r="I1154" s="7">
        <f t="shared" si="98"/>
        <v>0</v>
      </c>
      <c r="J1154" s="7">
        <f t="shared" si="98"/>
        <v>1</v>
      </c>
      <c r="K1154" s="7">
        <f t="shared" si="98"/>
        <v>0</v>
      </c>
      <c r="L1154" s="11">
        <v>12235.8392</v>
      </c>
      <c r="M1154" s="12" cm="1">
        <f t="array" ref="M1154">IF(($R$34+SUMPRODUCT(TRANSPOSE(D1154:K1154),$R$35:$R$42))&lt;0,"-",$R$34+SUMPRODUCT(TRANSPOSE(D1154:K1154),$R$35:$R$42))</f>
        <v>14979.943159297774</v>
      </c>
      <c r="N1154" s="13">
        <f t="shared" si="95"/>
        <v>2855.7385822626511</v>
      </c>
      <c r="O1154" s="13">
        <f t="shared" si="96"/>
        <v>27104.147736332896</v>
      </c>
    </row>
    <row r="1155" spans="1:15" x14ac:dyDescent="0.25">
      <c r="A1155" s="1" t="s">
        <v>0</v>
      </c>
      <c r="B1155" s="1" t="s">
        <v>1</v>
      </c>
      <c r="C1155" s="1" t="s">
        <v>5</v>
      </c>
      <c r="D1155" s="1">
        <v>43</v>
      </c>
      <c r="E1155" s="1">
        <v>32.56</v>
      </c>
      <c r="F1155" s="1">
        <v>3</v>
      </c>
      <c r="G1155" s="7">
        <f t="shared" ref="G1155:G1218" si="99">IF($A1155=G$2,1,0)</f>
        <v>1</v>
      </c>
      <c r="H1155" s="7">
        <f t="shared" si="97"/>
        <v>1</v>
      </c>
      <c r="I1155" s="7">
        <f t="shared" si="98"/>
        <v>1</v>
      </c>
      <c r="J1155" s="7">
        <f t="shared" si="98"/>
        <v>0</v>
      </c>
      <c r="K1155" s="7">
        <f t="shared" si="98"/>
        <v>0</v>
      </c>
      <c r="L1155" s="11">
        <v>40941.285400000001</v>
      </c>
      <c r="M1155" s="12" cm="1">
        <f t="array" ref="M1155">IF(($R$34+SUMPRODUCT(TRANSPOSE(D1155:K1155),$R$35:$R$42))&lt;0,"-",$R$34+SUMPRODUCT(TRANSPOSE(D1155:K1155),$R$35:$R$42))</f>
        <v>34390.437560480081</v>
      </c>
      <c r="N1155" s="13">
        <f t="shared" ref="N1155:N1218" si="100">IFERROR(IF($M1155-(2*$R$24)&lt;0,"-",($M1155-(2*$R$24))),"-")</f>
        <v>22266.232983444956</v>
      </c>
      <c r="O1155" s="13">
        <f t="shared" ref="O1155:O1218" si="101">IFERROR(IF($L1155+(2*$R$24)&lt;0,"-",($M1155+(2*$R$24))),"-")</f>
        <v>46514.642137515206</v>
      </c>
    </row>
    <row r="1156" spans="1:15" x14ac:dyDescent="0.25">
      <c r="A1156" s="1" t="s">
        <v>0</v>
      </c>
      <c r="B1156" s="1" t="s">
        <v>4</v>
      </c>
      <c r="C1156" s="1" t="s">
        <v>6</v>
      </c>
      <c r="D1156" s="1">
        <v>35</v>
      </c>
      <c r="E1156" s="1">
        <v>35.814999999999998</v>
      </c>
      <c r="F1156" s="1">
        <v>1</v>
      </c>
      <c r="G1156" s="7">
        <f t="shared" si="99"/>
        <v>1</v>
      </c>
      <c r="H1156" s="7">
        <f t="shared" ref="H1156:H1219" si="102">IF(B1156="yes",1,0)</f>
        <v>0</v>
      </c>
      <c r="I1156" s="7">
        <f t="shared" ref="I1156:K1187" si="103">IF($C1156=I$2,1,0)</f>
        <v>0</v>
      </c>
      <c r="J1156" s="7">
        <f t="shared" si="103"/>
        <v>1</v>
      </c>
      <c r="K1156" s="7">
        <f t="shared" si="103"/>
        <v>0</v>
      </c>
      <c r="L1156" s="11">
        <v>5630.4578499999998</v>
      </c>
      <c r="M1156" s="12" cm="1">
        <f t="array" ref="M1156">IF(($R$34+SUMPRODUCT(TRANSPOSE(D1156:K1156),$R$35:$R$42))&lt;0,"-",$R$34+SUMPRODUCT(TRANSPOSE(D1156:K1156),$R$35:$R$42))</f>
        <v>9322.1839494366977</v>
      </c>
      <c r="N1156" s="13" t="str">
        <f t="shared" si="100"/>
        <v>-</v>
      </c>
      <c r="O1156" s="13">
        <f t="shared" si="101"/>
        <v>21446.388526471819</v>
      </c>
    </row>
    <row r="1157" spans="1:15" x14ac:dyDescent="0.25">
      <c r="A1157" s="1" t="s">
        <v>0</v>
      </c>
      <c r="B1157" s="1" t="s">
        <v>4</v>
      </c>
      <c r="C1157" s="1" t="s">
        <v>6</v>
      </c>
      <c r="D1157" s="1">
        <v>48</v>
      </c>
      <c r="E1157" s="1">
        <v>27.93</v>
      </c>
      <c r="F1157" s="1">
        <v>4</v>
      </c>
      <c r="G1157" s="7">
        <f t="shared" si="99"/>
        <v>1</v>
      </c>
      <c r="H1157" s="7">
        <f t="shared" si="102"/>
        <v>0</v>
      </c>
      <c r="I1157" s="7">
        <f t="shared" si="103"/>
        <v>0</v>
      </c>
      <c r="J1157" s="7">
        <f t="shared" si="103"/>
        <v>1</v>
      </c>
      <c r="K1157" s="7">
        <f t="shared" si="103"/>
        <v>0</v>
      </c>
      <c r="L1157" s="11">
        <v>11015.1747</v>
      </c>
      <c r="M1157" s="12" cm="1">
        <f t="array" ref="M1157">IF(($R$34+SUMPRODUCT(TRANSPOSE(D1157:K1157),$R$35:$R$42))&lt;0,"-",$R$34+SUMPRODUCT(TRANSPOSE(D1157:K1157),$R$35:$R$42))</f>
        <v>11413.277786148145</v>
      </c>
      <c r="N1157" s="13" t="str">
        <f t="shared" si="100"/>
        <v>-</v>
      </c>
      <c r="O1157" s="13">
        <f t="shared" si="101"/>
        <v>23537.48236318327</v>
      </c>
    </row>
    <row r="1158" spans="1:15" x14ac:dyDescent="0.25">
      <c r="A1158" s="1" t="s">
        <v>0</v>
      </c>
      <c r="B1158" s="1" t="s">
        <v>4</v>
      </c>
      <c r="C1158" s="1" t="s">
        <v>7</v>
      </c>
      <c r="D1158" s="1">
        <v>36</v>
      </c>
      <c r="E1158" s="1">
        <v>22.135000000000002</v>
      </c>
      <c r="F1158" s="1">
        <v>3</v>
      </c>
      <c r="G1158" s="7">
        <f t="shared" si="99"/>
        <v>1</v>
      </c>
      <c r="H1158" s="7">
        <f t="shared" si="102"/>
        <v>0</v>
      </c>
      <c r="I1158" s="7">
        <f t="shared" si="103"/>
        <v>0</v>
      </c>
      <c r="J1158" s="7">
        <f t="shared" si="103"/>
        <v>0</v>
      </c>
      <c r="K1158" s="7">
        <f t="shared" si="103"/>
        <v>1</v>
      </c>
      <c r="L1158" s="11">
        <v>7228.2156500000001</v>
      </c>
      <c r="M1158" s="12" cm="1">
        <f t="array" ref="M1158">IF(($R$34+SUMPRODUCT(TRANSPOSE(D1158:K1158),$R$35:$R$42))&lt;0,"-",$R$34+SUMPRODUCT(TRANSPOSE(D1158:K1158),$R$35:$R$42))</f>
        <v>6242.8388463006631</v>
      </c>
      <c r="N1158" s="13" t="str">
        <f t="shared" si="100"/>
        <v>-</v>
      </c>
      <c r="O1158" s="13">
        <f t="shared" si="101"/>
        <v>18367.043423335788</v>
      </c>
    </row>
    <row r="1159" spans="1:15" x14ac:dyDescent="0.25">
      <c r="A1159" s="1" t="s">
        <v>3</v>
      </c>
      <c r="B1159" s="1" t="s">
        <v>1</v>
      </c>
      <c r="C1159" s="1" t="s">
        <v>5</v>
      </c>
      <c r="D1159" s="1">
        <v>19</v>
      </c>
      <c r="E1159" s="1">
        <v>44.88</v>
      </c>
      <c r="F1159" s="1">
        <v>0</v>
      </c>
      <c r="G1159" s="7">
        <f t="shared" si="99"/>
        <v>0</v>
      </c>
      <c r="H1159" s="7">
        <f t="shared" si="102"/>
        <v>1</v>
      </c>
      <c r="I1159" s="7">
        <f t="shared" si="103"/>
        <v>1</v>
      </c>
      <c r="J1159" s="7">
        <f t="shared" si="103"/>
        <v>0</v>
      </c>
      <c r="K1159" s="7">
        <f t="shared" si="103"/>
        <v>0</v>
      </c>
      <c r="L1159" s="11">
        <v>39722.746200000001</v>
      </c>
      <c r="M1159" s="12" cm="1">
        <f t="array" ref="M1159">IF(($R$34+SUMPRODUCT(TRANSPOSE(D1159:K1159),$R$35:$R$42))&lt;0,"-",$R$34+SUMPRODUCT(TRANSPOSE(D1159:K1159),$R$35:$R$42))</f>
        <v>30846.932453226778</v>
      </c>
      <c r="N1159" s="13">
        <f t="shared" si="100"/>
        <v>18722.727876191653</v>
      </c>
      <c r="O1159" s="13">
        <f t="shared" si="101"/>
        <v>42971.137030261903</v>
      </c>
    </row>
    <row r="1160" spans="1:15" x14ac:dyDescent="0.25">
      <c r="A1160" s="1" t="s">
        <v>0</v>
      </c>
      <c r="B1160" s="1" t="s">
        <v>4</v>
      </c>
      <c r="C1160" s="1" t="s">
        <v>6</v>
      </c>
      <c r="D1160" s="1">
        <v>23</v>
      </c>
      <c r="E1160" s="1">
        <v>23.18</v>
      </c>
      <c r="F1160" s="1">
        <v>2</v>
      </c>
      <c r="G1160" s="7">
        <f t="shared" si="99"/>
        <v>1</v>
      </c>
      <c r="H1160" s="7">
        <f t="shared" si="102"/>
        <v>0</v>
      </c>
      <c r="I1160" s="7">
        <f t="shared" si="103"/>
        <v>0</v>
      </c>
      <c r="J1160" s="7">
        <f t="shared" si="103"/>
        <v>1</v>
      </c>
      <c r="K1160" s="7">
        <f t="shared" si="103"/>
        <v>0</v>
      </c>
      <c r="L1160" s="11">
        <v>14426.073850000001</v>
      </c>
      <c r="M1160" s="12" cm="1">
        <f t="array" ref="M1160">IF(($R$34+SUMPRODUCT(TRANSPOSE(D1160:K1160),$R$35:$R$42))&lt;0,"-",$R$34+SUMPRODUCT(TRANSPOSE(D1160:K1160),$R$35:$R$42))</f>
        <v>2429.6989777646904</v>
      </c>
      <c r="N1160" s="13" t="str">
        <f t="shared" si="100"/>
        <v>-</v>
      </c>
      <c r="O1160" s="13">
        <f t="shared" si="101"/>
        <v>14553.903554799814</v>
      </c>
    </row>
    <row r="1161" spans="1:15" x14ac:dyDescent="0.25">
      <c r="A1161" s="1" t="s">
        <v>0</v>
      </c>
      <c r="B1161" s="1" t="s">
        <v>4</v>
      </c>
      <c r="C1161" s="1" t="s">
        <v>7</v>
      </c>
      <c r="D1161" s="1">
        <v>20</v>
      </c>
      <c r="E1161" s="1">
        <v>30.59</v>
      </c>
      <c r="F1161" s="1">
        <v>0</v>
      </c>
      <c r="G1161" s="7">
        <f t="shared" si="99"/>
        <v>1</v>
      </c>
      <c r="H1161" s="7">
        <f t="shared" si="102"/>
        <v>0</v>
      </c>
      <c r="I1161" s="7">
        <f t="shared" si="103"/>
        <v>0</v>
      </c>
      <c r="J1161" s="7">
        <f t="shared" si="103"/>
        <v>0</v>
      </c>
      <c r="K1161" s="7">
        <f t="shared" si="103"/>
        <v>1</v>
      </c>
      <c r="L1161" s="11">
        <v>2459.7201</v>
      </c>
      <c r="M1161" s="12" cm="1">
        <f t="array" ref="M1161">IF(($R$34+SUMPRODUCT(TRANSPOSE(D1161:K1161),$R$35:$R$42))&lt;0,"-",$R$34+SUMPRODUCT(TRANSPOSE(D1161:K1161),$R$35:$R$42))</f>
        <v>3574.5162205353481</v>
      </c>
      <c r="N1161" s="13" t="str">
        <f t="shared" si="100"/>
        <v>-</v>
      </c>
      <c r="O1161" s="13">
        <f t="shared" si="101"/>
        <v>15698.720797570471</v>
      </c>
    </row>
    <row r="1162" spans="1:15" x14ac:dyDescent="0.25">
      <c r="A1162" s="1" t="s">
        <v>0</v>
      </c>
      <c r="B1162" s="1" t="s">
        <v>4</v>
      </c>
      <c r="C1162" s="1" t="s">
        <v>2</v>
      </c>
      <c r="D1162" s="1">
        <v>32</v>
      </c>
      <c r="E1162" s="1">
        <v>41.1</v>
      </c>
      <c r="F1162" s="1">
        <v>0</v>
      </c>
      <c r="G1162" s="7">
        <f t="shared" si="99"/>
        <v>1</v>
      </c>
      <c r="H1162" s="7">
        <f t="shared" si="102"/>
        <v>0</v>
      </c>
      <c r="I1162" s="7">
        <f t="shared" si="103"/>
        <v>0</v>
      </c>
      <c r="J1162" s="7">
        <f t="shared" si="103"/>
        <v>0</v>
      </c>
      <c r="K1162" s="7">
        <f t="shared" si="103"/>
        <v>0</v>
      </c>
      <c r="L1162" s="11">
        <v>3989.8409999999999</v>
      </c>
      <c r="M1162" s="12" cm="1">
        <f t="array" ref="M1162">IF(($R$34+SUMPRODUCT(TRANSPOSE(D1162:K1162),$R$35:$R$42))&lt;0,"-",$R$34+SUMPRODUCT(TRANSPOSE(D1162:K1162),$R$35:$R$42))</f>
        <v>9261.6646571326237</v>
      </c>
      <c r="N1162" s="13" t="str">
        <f t="shared" si="100"/>
        <v>-</v>
      </c>
      <c r="O1162" s="13">
        <f t="shared" si="101"/>
        <v>21385.869234167745</v>
      </c>
    </row>
    <row r="1163" spans="1:15" x14ac:dyDescent="0.25">
      <c r="A1163" s="1" t="s">
        <v>0</v>
      </c>
      <c r="B1163" s="1" t="s">
        <v>4</v>
      </c>
      <c r="C1163" s="1" t="s">
        <v>6</v>
      </c>
      <c r="D1163" s="1">
        <v>43</v>
      </c>
      <c r="E1163" s="1">
        <v>34.58</v>
      </c>
      <c r="F1163" s="1">
        <v>1</v>
      </c>
      <c r="G1163" s="7">
        <f t="shared" si="99"/>
        <v>1</v>
      </c>
      <c r="H1163" s="7">
        <f t="shared" si="102"/>
        <v>0</v>
      </c>
      <c r="I1163" s="7">
        <f t="shared" si="103"/>
        <v>0</v>
      </c>
      <c r="J1163" s="7">
        <f t="shared" si="103"/>
        <v>1</v>
      </c>
      <c r="K1163" s="7">
        <f t="shared" si="103"/>
        <v>0</v>
      </c>
      <c r="L1163" s="11">
        <v>7727.2532000000001</v>
      </c>
      <c r="M1163" s="12" cm="1">
        <f t="array" ref="M1163">IF(($R$34+SUMPRODUCT(TRANSPOSE(D1163:K1163),$R$35:$R$42))&lt;0,"-",$R$34+SUMPRODUCT(TRANSPOSE(D1163:K1163),$R$35:$R$42))</f>
        <v>10958.130854526094</v>
      </c>
      <c r="N1163" s="13" t="str">
        <f t="shared" si="100"/>
        <v>-</v>
      </c>
      <c r="O1163" s="13">
        <f t="shared" si="101"/>
        <v>23082.335431561216</v>
      </c>
    </row>
    <row r="1164" spans="1:15" x14ac:dyDescent="0.25">
      <c r="A1164" s="1" t="s">
        <v>3</v>
      </c>
      <c r="B1164" s="1" t="s">
        <v>4</v>
      </c>
      <c r="C1164" s="1" t="s">
        <v>5</v>
      </c>
      <c r="D1164" s="1">
        <v>34</v>
      </c>
      <c r="E1164" s="1">
        <v>42.13</v>
      </c>
      <c r="F1164" s="1">
        <v>2</v>
      </c>
      <c r="G1164" s="7">
        <f t="shared" si="99"/>
        <v>0</v>
      </c>
      <c r="H1164" s="7">
        <f t="shared" si="102"/>
        <v>0</v>
      </c>
      <c r="I1164" s="7">
        <f t="shared" si="103"/>
        <v>1</v>
      </c>
      <c r="J1164" s="7">
        <f t="shared" si="103"/>
        <v>0</v>
      </c>
      <c r="K1164" s="7">
        <f t="shared" si="103"/>
        <v>0</v>
      </c>
      <c r="L1164" s="11">
        <v>5124.1886999999997</v>
      </c>
      <c r="M1164" s="12" cm="1">
        <f t="array" ref="M1164">IF(($R$34+SUMPRODUCT(TRANSPOSE(D1164:K1164),$R$35:$R$42))&lt;0,"-",$R$34+SUMPRODUCT(TRANSPOSE(D1164:K1164),$R$35:$R$42))</f>
        <v>10869.462292242653</v>
      </c>
      <c r="N1164" s="13" t="str">
        <f t="shared" si="100"/>
        <v>-</v>
      </c>
      <c r="O1164" s="13">
        <f t="shared" si="101"/>
        <v>22993.666869277775</v>
      </c>
    </row>
    <row r="1165" spans="1:15" x14ac:dyDescent="0.25">
      <c r="A1165" s="1" t="s">
        <v>3</v>
      </c>
      <c r="B1165" s="1" t="s">
        <v>4</v>
      </c>
      <c r="C1165" s="1" t="s">
        <v>5</v>
      </c>
      <c r="D1165" s="1">
        <v>30</v>
      </c>
      <c r="E1165" s="1">
        <v>38.83</v>
      </c>
      <c r="F1165" s="1">
        <v>1</v>
      </c>
      <c r="G1165" s="7">
        <f t="shared" si="99"/>
        <v>0</v>
      </c>
      <c r="H1165" s="7">
        <f t="shared" si="102"/>
        <v>0</v>
      </c>
      <c r="I1165" s="7">
        <f t="shared" si="103"/>
        <v>1</v>
      </c>
      <c r="J1165" s="7">
        <f t="shared" si="103"/>
        <v>0</v>
      </c>
      <c r="K1165" s="7">
        <f t="shared" si="103"/>
        <v>0</v>
      </c>
      <c r="L1165" s="11">
        <v>18963.171920000001</v>
      </c>
      <c r="M1165" s="12" cm="1">
        <f t="array" ref="M1165">IF(($R$34+SUMPRODUCT(TRANSPOSE(D1165:K1165),$R$35:$R$42))&lt;0,"-",$R$34+SUMPRODUCT(TRANSPOSE(D1165:K1165),$R$35:$R$42))</f>
        <v>8247.1979400283599</v>
      </c>
      <c r="N1165" s="13" t="str">
        <f t="shared" si="100"/>
        <v>-</v>
      </c>
      <c r="O1165" s="13">
        <f t="shared" si="101"/>
        <v>20371.402517063485</v>
      </c>
    </row>
    <row r="1166" spans="1:15" x14ac:dyDescent="0.25">
      <c r="A1166" s="1" t="s">
        <v>0</v>
      </c>
      <c r="B1166" s="1" t="s">
        <v>4</v>
      </c>
      <c r="C1166" s="1" t="s">
        <v>7</v>
      </c>
      <c r="D1166" s="1">
        <v>18</v>
      </c>
      <c r="E1166" s="1">
        <v>28.215</v>
      </c>
      <c r="F1166" s="1">
        <v>0</v>
      </c>
      <c r="G1166" s="7">
        <f t="shared" si="99"/>
        <v>1</v>
      </c>
      <c r="H1166" s="7">
        <f t="shared" si="102"/>
        <v>0</v>
      </c>
      <c r="I1166" s="7">
        <f t="shared" si="103"/>
        <v>0</v>
      </c>
      <c r="J1166" s="7">
        <f t="shared" si="103"/>
        <v>0</v>
      </c>
      <c r="K1166" s="7">
        <f t="shared" si="103"/>
        <v>1</v>
      </c>
      <c r="L1166" s="11">
        <v>2200.8308499999998</v>
      </c>
      <c r="M1166" s="12" cm="1">
        <f t="array" ref="M1166">IF(($R$34+SUMPRODUCT(TRANSPOSE(D1166:K1166),$R$35:$R$42))&lt;0,"-",$R$34+SUMPRODUCT(TRANSPOSE(D1166:K1166),$R$35:$R$42))</f>
        <v>2255.2190631349076</v>
      </c>
      <c r="N1166" s="13" t="str">
        <f t="shared" si="100"/>
        <v>-</v>
      </c>
      <c r="O1166" s="13">
        <f t="shared" si="101"/>
        <v>14379.423640170031</v>
      </c>
    </row>
    <row r="1167" spans="1:15" x14ac:dyDescent="0.25">
      <c r="A1167" s="1" t="s">
        <v>0</v>
      </c>
      <c r="B1167" s="1" t="s">
        <v>4</v>
      </c>
      <c r="C1167" s="1" t="s">
        <v>6</v>
      </c>
      <c r="D1167" s="1">
        <v>41</v>
      </c>
      <c r="E1167" s="1">
        <v>28.31</v>
      </c>
      <c r="F1167" s="1">
        <v>1</v>
      </c>
      <c r="G1167" s="7">
        <f t="shared" si="99"/>
        <v>1</v>
      </c>
      <c r="H1167" s="7">
        <f t="shared" si="102"/>
        <v>0</v>
      </c>
      <c r="I1167" s="7">
        <f t="shared" si="103"/>
        <v>0</v>
      </c>
      <c r="J1167" s="7">
        <f t="shared" si="103"/>
        <v>1</v>
      </c>
      <c r="K1167" s="7">
        <f t="shared" si="103"/>
        <v>0</v>
      </c>
      <c r="L1167" s="11">
        <v>7153.5538999999999</v>
      </c>
      <c r="M1167" s="12" cm="1">
        <f t="array" ref="M1167">IF(($R$34+SUMPRODUCT(TRANSPOSE(D1167:K1167),$R$35:$R$42))&lt;0,"-",$R$34+SUMPRODUCT(TRANSPOSE(D1167:K1167),$R$35:$R$42))</f>
        <v>8317.6751953114326</v>
      </c>
      <c r="N1167" s="13" t="str">
        <f t="shared" si="100"/>
        <v>-</v>
      </c>
      <c r="O1167" s="13">
        <f t="shared" si="101"/>
        <v>20441.879772346554</v>
      </c>
    </row>
    <row r="1168" spans="1:15" x14ac:dyDescent="0.25">
      <c r="A1168" s="1" t="s">
        <v>0</v>
      </c>
      <c r="B1168" s="1" t="s">
        <v>4</v>
      </c>
      <c r="C1168" s="1" t="s">
        <v>7</v>
      </c>
      <c r="D1168" s="1">
        <v>35</v>
      </c>
      <c r="E1168" s="1">
        <v>26.125</v>
      </c>
      <c r="F1168" s="1">
        <v>0</v>
      </c>
      <c r="G1168" s="7">
        <f t="shared" si="99"/>
        <v>1</v>
      </c>
      <c r="H1168" s="7">
        <f t="shared" si="102"/>
        <v>0</v>
      </c>
      <c r="I1168" s="7">
        <f t="shared" si="103"/>
        <v>0</v>
      </c>
      <c r="J1168" s="7">
        <f t="shared" si="103"/>
        <v>0</v>
      </c>
      <c r="K1168" s="7">
        <f t="shared" si="103"/>
        <v>1</v>
      </c>
      <c r="L1168" s="11">
        <v>5227.9887500000004</v>
      </c>
      <c r="M1168" s="12" cm="1">
        <f t="array" ref="M1168">IF(($R$34+SUMPRODUCT(TRANSPOSE(D1168:K1168),$R$35:$R$42))&lt;0,"-",$R$34+SUMPRODUCT(TRANSPOSE(D1168:K1168),$R$35:$R$42))</f>
        <v>5912.8627382231643</v>
      </c>
      <c r="N1168" s="13" t="str">
        <f t="shared" si="100"/>
        <v>-</v>
      </c>
      <c r="O1168" s="13">
        <f t="shared" si="101"/>
        <v>18037.067315258289</v>
      </c>
    </row>
    <row r="1169" spans="1:15" x14ac:dyDescent="0.25">
      <c r="A1169" s="1" t="s">
        <v>3</v>
      </c>
      <c r="B1169" s="1" t="s">
        <v>4</v>
      </c>
      <c r="C1169" s="1" t="s">
        <v>5</v>
      </c>
      <c r="D1169" s="1">
        <v>57</v>
      </c>
      <c r="E1169" s="1">
        <v>40.369999999999997</v>
      </c>
      <c r="F1169" s="1">
        <v>0</v>
      </c>
      <c r="G1169" s="7">
        <f t="shared" si="99"/>
        <v>0</v>
      </c>
      <c r="H1169" s="7">
        <f t="shared" si="102"/>
        <v>0</v>
      </c>
      <c r="I1169" s="7">
        <f t="shared" si="103"/>
        <v>1</v>
      </c>
      <c r="J1169" s="7">
        <f t="shared" si="103"/>
        <v>0</v>
      </c>
      <c r="K1169" s="7">
        <f t="shared" si="103"/>
        <v>0</v>
      </c>
      <c r="L1169" s="11">
        <v>10982.5013</v>
      </c>
      <c r="M1169" s="12" cm="1">
        <f t="array" ref="M1169">IF(($R$34+SUMPRODUCT(TRANSPOSE(D1169:K1169),$R$35:$R$42))&lt;0,"-",$R$34+SUMPRODUCT(TRANSPOSE(D1169:K1169),$R$35:$R$42))</f>
        <v>15229.176831948313</v>
      </c>
      <c r="N1169" s="13">
        <f t="shared" si="100"/>
        <v>3104.9722549131893</v>
      </c>
      <c r="O1169" s="13">
        <f t="shared" si="101"/>
        <v>27353.381408983434</v>
      </c>
    </row>
    <row r="1170" spans="1:15" x14ac:dyDescent="0.25">
      <c r="A1170" s="1" t="s">
        <v>0</v>
      </c>
      <c r="B1170" s="1" t="s">
        <v>4</v>
      </c>
      <c r="C1170" s="1" t="s">
        <v>2</v>
      </c>
      <c r="D1170" s="1">
        <v>29</v>
      </c>
      <c r="E1170" s="1">
        <v>24.6</v>
      </c>
      <c r="F1170" s="1">
        <v>2</v>
      </c>
      <c r="G1170" s="7">
        <f t="shared" si="99"/>
        <v>1</v>
      </c>
      <c r="H1170" s="7">
        <f t="shared" si="102"/>
        <v>0</v>
      </c>
      <c r="I1170" s="7">
        <f t="shared" si="103"/>
        <v>0</v>
      </c>
      <c r="J1170" s="7">
        <f t="shared" si="103"/>
        <v>0</v>
      </c>
      <c r="K1170" s="7">
        <f t="shared" si="103"/>
        <v>0</v>
      </c>
      <c r="L1170" s="11">
        <v>4529.4769999999999</v>
      </c>
      <c r="M1170" s="12" cm="1">
        <f t="array" ref="M1170">IF(($R$34+SUMPRODUCT(TRANSPOSE(D1170:K1170),$R$35:$R$42))&lt;0,"-",$R$34+SUMPRODUCT(TRANSPOSE(D1170:K1170),$R$35:$R$42))</f>
        <v>3845.4047052399801</v>
      </c>
      <c r="N1170" s="13" t="str">
        <f t="shared" si="100"/>
        <v>-</v>
      </c>
      <c r="O1170" s="13">
        <f t="shared" si="101"/>
        <v>15969.609282275103</v>
      </c>
    </row>
    <row r="1171" spans="1:15" x14ac:dyDescent="0.25">
      <c r="A1171" s="1" t="s">
        <v>3</v>
      </c>
      <c r="B1171" s="1" t="s">
        <v>4</v>
      </c>
      <c r="C1171" s="1" t="s">
        <v>2</v>
      </c>
      <c r="D1171" s="1">
        <v>32</v>
      </c>
      <c r="E1171" s="1">
        <v>35.200000000000003</v>
      </c>
      <c r="F1171" s="1">
        <v>2</v>
      </c>
      <c r="G1171" s="7">
        <f t="shared" si="99"/>
        <v>0</v>
      </c>
      <c r="H1171" s="7">
        <f t="shared" si="102"/>
        <v>0</v>
      </c>
      <c r="I1171" s="7">
        <f t="shared" si="103"/>
        <v>0</v>
      </c>
      <c r="J1171" s="7">
        <f t="shared" si="103"/>
        <v>0</v>
      </c>
      <c r="K1171" s="7">
        <f t="shared" si="103"/>
        <v>0</v>
      </c>
      <c r="L1171" s="11">
        <v>4670.6400000000003</v>
      </c>
      <c r="M1171" s="12" cm="1">
        <f t="array" ref="M1171">IF(($R$34+SUMPRODUCT(TRANSPOSE(D1171:K1171),$R$35:$R$42))&lt;0,"-",$R$34+SUMPRODUCT(TRANSPOSE(D1171:K1171),$R$35:$R$42))</f>
        <v>8080.1100117318238</v>
      </c>
      <c r="N1171" s="13" t="str">
        <f t="shared" si="100"/>
        <v>-</v>
      </c>
      <c r="O1171" s="13">
        <f t="shared" si="101"/>
        <v>20204.314588766945</v>
      </c>
    </row>
    <row r="1172" spans="1:15" x14ac:dyDescent="0.25">
      <c r="A1172" s="1" t="s">
        <v>0</v>
      </c>
      <c r="B1172" s="1" t="s">
        <v>4</v>
      </c>
      <c r="C1172" s="1" t="s">
        <v>6</v>
      </c>
      <c r="D1172" s="1">
        <v>37</v>
      </c>
      <c r="E1172" s="1">
        <v>34.104999999999997</v>
      </c>
      <c r="F1172" s="1">
        <v>1</v>
      </c>
      <c r="G1172" s="7">
        <f t="shared" si="99"/>
        <v>1</v>
      </c>
      <c r="H1172" s="7">
        <f t="shared" si="102"/>
        <v>0</v>
      </c>
      <c r="I1172" s="7">
        <f t="shared" si="103"/>
        <v>0</v>
      </c>
      <c r="J1172" s="7">
        <f t="shared" si="103"/>
        <v>1</v>
      </c>
      <c r="K1172" s="7">
        <f t="shared" si="103"/>
        <v>0</v>
      </c>
      <c r="L1172" s="11">
        <v>6112.3529500000004</v>
      </c>
      <c r="M1172" s="12" cm="1">
        <f t="array" ref="M1172">IF(($R$34+SUMPRODUCT(TRANSPOSE(D1172:K1172),$R$35:$R$42))&lt;0,"-",$R$34+SUMPRODUCT(TRANSPOSE(D1172:K1172),$R$35:$R$42))</f>
        <v>9255.8758488368585</v>
      </c>
      <c r="N1172" s="13" t="str">
        <f t="shared" si="100"/>
        <v>-</v>
      </c>
      <c r="O1172" s="13">
        <f t="shared" si="101"/>
        <v>21380.08042587198</v>
      </c>
    </row>
    <row r="1173" spans="1:15" x14ac:dyDescent="0.25">
      <c r="A1173" s="1" t="s">
        <v>3</v>
      </c>
      <c r="B1173" s="1" t="s">
        <v>1</v>
      </c>
      <c r="C1173" s="1" t="s">
        <v>7</v>
      </c>
      <c r="D1173" s="1">
        <v>18</v>
      </c>
      <c r="E1173" s="1">
        <v>27.36</v>
      </c>
      <c r="F1173" s="1">
        <v>1</v>
      </c>
      <c r="G1173" s="7">
        <f t="shared" si="99"/>
        <v>0</v>
      </c>
      <c r="H1173" s="7">
        <f t="shared" si="102"/>
        <v>1</v>
      </c>
      <c r="I1173" s="7">
        <f t="shared" si="103"/>
        <v>0</v>
      </c>
      <c r="J1173" s="7">
        <f t="shared" si="103"/>
        <v>0</v>
      </c>
      <c r="K1173" s="7">
        <f t="shared" si="103"/>
        <v>1</v>
      </c>
      <c r="L1173" s="11">
        <v>17178.682400000002</v>
      </c>
      <c r="M1173" s="12" cm="1">
        <f t="array" ref="M1173">IF(($R$34+SUMPRODUCT(TRANSPOSE(D1173:K1173),$R$35:$R$42))&lt;0,"-",$R$34+SUMPRODUCT(TRANSPOSE(D1173:K1173),$R$35:$R$42))</f>
        <v>26157.929387964454</v>
      </c>
      <c r="N1173" s="13">
        <f t="shared" si="100"/>
        <v>14033.72481092933</v>
      </c>
      <c r="O1173" s="13">
        <f t="shared" si="101"/>
        <v>38282.133964999579</v>
      </c>
    </row>
    <row r="1174" spans="1:15" x14ac:dyDescent="0.25">
      <c r="A1174" s="1" t="s">
        <v>0</v>
      </c>
      <c r="B1174" s="1" t="s">
        <v>1</v>
      </c>
      <c r="C1174" s="1" t="s">
        <v>2</v>
      </c>
      <c r="D1174" s="1">
        <v>43</v>
      </c>
      <c r="E1174" s="1">
        <v>26.7</v>
      </c>
      <c r="F1174" s="1">
        <v>2</v>
      </c>
      <c r="G1174" s="7">
        <f t="shared" si="99"/>
        <v>1</v>
      </c>
      <c r="H1174" s="7">
        <f t="shared" si="102"/>
        <v>1</v>
      </c>
      <c r="I1174" s="7">
        <f t="shared" si="103"/>
        <v>0</v>
      </c>
      <c r="J1174" s="7">
        <f t="shared" si="103"/>
        <v>0</v>
      </c>
      <c r="K1174" s="7">
        <f t="shared" si="103"/>
        <v>0</v>
      </c>
      <c r="L1174" s="11">
        <v>22478.6</v>
      </c>
      <c r="M1174" s="12" cm="1">
        <f t="array" ref="M1174">IF(($R$34+SUMPRODUCT(TRANSPOSE(D1174:K1174),$R$35:$R$42))&lt;0,"-",$R$34+SUMPRODUCT(TRANSPOSE(D1174:K1174),$R$35:$R$42))</f>
        <v>32002.234435258411</v>
      </c>
      <c r="N1174" s="13">
        <f t="shared" si="100"/>
        <v>19878.029858223286</v>
      </c>
      <c r="O1174" s="13">
        <f t="shared" si="101"/>
        <v>44126.439012293537</v>
      </c>
    </row>
    <row r="1175" spans="1:15" x14ac:dyDescent="0.25">
      <c r="A1175" s="1" t="s">
        <v>0</v>
      </c>
      <c r="B1175" s="1" t="s">
        <v>4</v>
      </c>
      <c r="C1175" s="1" t="s">
        <v>5</v>
      </c>
      <c r="D1175" s="1">
        <v>56</v>
      </c>
      <c r="E1175" s="1">
        <v>41.91</v>
      </c>
      <c r="F1175" s="1">
        <v>0</v>
      </c>
      <c r="G1175" s="7">
        <f t="shared" si="99"/>
        <v>1</v>
      </c>
      <c r="H1175" s="7">
        <f t="shared" si="102"/>
        <v>0</v>
      </c>
      <c r="I1175" s="7">
        <f t="shared" si="103"/>
        <v>1</v>
      </c>
      <c r="J1175" s="7">
        <f t="shared" si="103"/>
        <v>0</v>
      </c>
      <c r="K1175" s="7">
        <f t="shared" si="103"/>
        <v>0</v>
      </c>
      <c r="L1175" s="11">
        <v>11093.6229</v>
      </c>
      <c r="M1175" s="12" cm="1">
        <f t="array" ref="M1175">IF(($R$34+SUMPRODUCT(TRANSPOSE(D1175:K1175),$R$35:$R$42))&lt;0,"-",$R$34+SUMPRODUCT(TRANSPOSE(D1175:K1175),$R$35:$R$42))</f>
        <v>15625.992757366763</v>
      </c>
      <c r="N1175" s="13">
        <f t="shared" si="100"/>
        <v>3501.7881803316395</v>
      </c>
      <c r="O1175" s="13">
        <f t="shared" si="101"/>
        <v>27750.197334401884</v>
      </c>
    </row>
    <row r="1176" spans="1:15" x14ac:dyDescent="0.25">
      <c r="A1176" s="1" t="s">
        <v>3</v>
      </c>
      <c r="B1176" s="1" t="s">
        <v>4</v>
      </c>
      <c r="C1176" s="1" t="s">
        <v>6</v>
      </c>
      <c r="D1176" s="1">
        <v>38</v>
      </c>
      <c r="E1176" s="1">
        <v>29.26</v>
      </c>
      <c r="F1176" s="1">
        <v>2</v>
      </c>
      <c r="G1176" s="7">
        <f t="shared" si="99"/>
        <v>0</v>
      </c>
      <c r="H1176" s="7">
        <f t="shared" si="102"/>
        <v>0</v>
      </c>
      <c r="I1176" s="7">
        <f t="shared" si="103"/>
        <v>0</v>
      </c>
      <c r="J1176" s="7">
        <f t="shared" si="103"/>
        <v>1</v>
      </c>
      <c r="K1176" s="7">
        <f t="shared" si="103"/>
        <v>0</v>
      </c>
      <c r="L1176" s="11">
        <v>6457.8433999999997</v>
      </c>
      <c r="M1176" s="12" cm="1">
        <f t="array" ref="M1176">IF(($R$34+SUMPRODUCT(TRANSPOSE(D1176:K1176),$R$35:$R$42))&lt;0,"-",$R$34+SUMPRODUCT(TRANSPOSE(D1176:K1176),$R$35:$R$42))</f>
        <v>8213.5261043837127</v>
      </c>
      <c r="N1176" s="13" t="str">
        <f t="shared" si="100"/>
        <v>-</v>
      </c>
      <c r="O1176" s="13">
        <f t="shared" si="101"/>
        <v>20337.730681418834</v>
      </c>
    </row>
    <row r="1177" spans="1:15" x14ac:dyDescent="0.25">
      <c r="A1177" s="1" t="s">
        <v>3</v>
      </c>
      <c r="B1177" s="1" t="s">
        <v>4</v>
      </c>
      <c r="C1177" s="1" t="s">
        <v>6</v>
      </c>
      <c r="D1177" s="1">
        <v>29</v>
      </c>
      <c r="E1177" s="1">
        <v>32.11</v>
      </c>
      <c r="F1177" s="1">
        <v>2</v>
      </c>
      <c r="G1177" s="7">
        <f t="shared" si="99"/>
        <v>0</v>
      </c>
      <c r="H1177" s="7">
        <f t="shared" si="102"/>
        <v>0</v>
      </c>
      <c r="I1177" s="7">
        <f t="shared" si="103"/>
        <v>0</v>
      </c>
      <c r="J1177" s="7">
        <f t="shared" si="103"/>
        <v>1</v>
      </c>
      <c r="K1177" s="7">
        <f t="shared" si="103"/>
        <v>0</v>
      </c>
      <c r="L1177" s="11">
        <v>4433.9159</v>
      </c>
      <c r="M1177" s="12" cm="1">
        <f t="array" ref="M1177">IF(($R$34+SUMPRODUCT(TRANSPOSE(D1177:K1177),$R$35:$R$42))&lt;0,"-",$R$34+SUMPRODUCT(TRANSPOSE(D1177:K1177),$R$35:$R$42))</f>
        <v>6868.5202743384725</v>
      </c>
      <c r="N1177" s="13" t="str">
        <f t="shared" si="100"/>
        <v>-</v>
      </c>
      <c r="O1177" s="13">
        <f t="shared" si="101"/>
        <v>18992.724851373598</v>
      </c>
    </row>
    <row r="1178" spans="1:15" x14ac:dyDescent="0.25">
      <c r="A1178" s="1" t="s">
        <v>0</v>
      </c>
      <c r="B1178" s="1" t="s">
        <v>4</v>
      </c>
      <c r="C1178" s="1" t="s">
        <v>2</v>
      </c>
      <c r="D1178" s="1">
        <v>22</v>
      </c>
      <c r="E1178" s="1">
        <v>27.1</v>
      </c>
      <c r="F1178" s="1">
        <v>0</v>
      </c>
      <c r="G1178" s="7">
        <f t="shared" si="99"/>
        <v>1</v>
      </c>
      <c r="H1178" s="7">
        <f t="shared" si="102"/>
        <v>0</v>
      </c>
      <c r="I1178" s="7">
        <f t="shared" si="103"/>
        <v>0</v>
      </c>
      <c r="J1178" s="7">
        <f t="shared" si="103"/>
        <v>0</v>
      </c>
      <c r="K1178" s="7">
        <f t="shared" si="103"/>
        <v>0</v>
      </c>
      <c r="L1178" s="11">
        <v>2154.3609999999999</v>
      </c>
      <c r="M1178" s="12" cm="1">
        <f t="array" ref="M1178">IF(($R$34+SUMPRODUCT(TRANSPOSE(D1178:K1178),$R$35:$R$42))&lt;0,"-",$R$34+SUMPRODUCT(TRANSPOSE(D1178:K1178),$R$35:$R$42))</f>
        <v>1944.3927812073798</v>
      </c>
      <c r="N1178" s="13" t="str">
        <f t="shared" si="100"/>
        <v>-</v>
      </c>
      <c r="O1178" s="13">
        <f t="shared" si="101"/>
        <v>14068.597358242503</v>
      </c>
    </row>
    <row r="1179" spans="1:15" x14ac:dyDescent="0.25">
      <c r="A1179" s="1" t="s">
        <v>0</v>
      </c>
      <c r="B1179" s="1" t="s">
        <v>1</v>
      </c>
      <c r="C1179" s="1" t="s">
        <v>6</v>
      </c>
      <c r="D1179" s="1">
        <v>52</v>
      </c>
      <c r="E1179" s="1">
        <v>24.13</v>
      </c>
      <c r="F1179" s="1">
        <v>1</v>
      </c>
      <c r="G1179" s="7">
        <f t="shared" si="99"/>
        <v>1</v>
      </c>
      <c r="H1179" s="7">
        <f t="shared" si="102"/>
        <v>1</v>
      </c>
      <c r="I1179" s="7">
        <f t="shared" si="103"/>
        <v>0</v>
      </c>
      <c r="J1179" s="7">
        <f t="shared" si="103"/>
        <v>1</v>
      </c>
      <c r="K1179" s="7">
        <f t="shared" si="103"/>
        <v>0</v>
      </c>
      <c r="L1179" s="11">
        <v>23887.662700000001</v>
      </c>
      <c r="M1179" s="12" cm="1">
        <f t="array" ref="M1179">IF(($R$34+SUMPRODUCT(TRANSPOSE(D1179:K1179),$R$35:$R$42))&lt;0,"-",$R$34+SUMPRODUCT(TRANSPOSE(D1179:K1179),$R$35:$R$42))</f>
        <v>33573.800979041742</v>
      </c>
      <c r="N1179" s="13">
        <f t="shared" si="100"/>
        <v>21449.596402006617</v>
      </c>
      <c r="O1179" s="13">
        <f t="shared" si="101"/>
        <v>45698.005556076867</v>
      </c>
    </row>
    <row r="1180" spans="1:15" x14ac:dyDescent="0.25">
      <c r="A1180" s="1" t="s">
        <v>0</v>
      </c>
      <c r="B1180" s="1" t="s">
        <v>4</v>
      </c>
      <c r="C1180" s="1" t="s">
        <v>2</v>
      </c>
      <c r="D1180" s="1">
        <v>40</v>
      </c>
      <c r="E1180" s="1">
        <v>27.4</v>
      </c>
      <c r="F1180" s="1">
        <v>1</v>
      </c>
      <c r="G1180" s="7">
        <f t="shared" si="99"/>
        <v>1</v>
      </c>
      <c r="H1180" s="7">
        <f t="shared" si="102"/>
        <v>0</v>
      </c>
      <c r="I1180" s="7">
        <f t="shared" si="103"/>
        <v>0</v>
      </c>
      <c r="J1180" s="7">
        <f t="shared" si="103"/>
        <v>0</v>
      </c>
      <c r="K1180" s="7">
        <f t="shared" si="103"/>
        <v>0</v>
      </c>
      <c r="L1180" s="11">
        <v>6496.8860000000004</v>
      </c>
      <c r="M1180" s="12" cm="1">
        <f t="array" ref="M1180">IF(($R$34+SUMPRODUCT(TRANSPOSE(D1180:K1180),$R$35:$R$42))&lt;0,"-",$R$34+SUMPRODUCT(TRANSPOSE(D1180:K1180),$R$35:$R$42))</f>
        <v>7145.0657081120298</v>
      </c>
      <c r="N1180" s="13" t="str">
        <f t="shared" si="100"/>
        <v>-</v>
      </c>
      <c r="O1180" s="13">
        <f t="shared" si="101"/>
        <v>19269.270285147155</v>
      </c>
    </row>
    <row r="1181" spans="1:15" x14ac:dyDescent="0.25">
      <c r="A1181" s="1" t="s">
        <v>0</v>
      </c>
      <c r="B1181" s="1" t="s">
        <v>4</v>
      </c>
      <c r="C1181" s="1" t="s">
        <v>7</v>
      </c>
      <c r="D1181" s="1">
        <v>23</v>
      </c>
      <c r="E1181" s="1">
        <v>34.865000000000002</v>
      </c>
      <c r="F1181" s="1">
        <v>0</v>
      </c>
      <c r="G1181" s="7">
        <f t="shared" si="99"/>
        <v>1</v>
      </c>
      <c r="H1181" s="7">
        <f t="shared" si="102"/>
        <v>0</v>
      </c>
      <c r="I1181" s="7">
        <f t="shared" si="103"/>
        <v>0</v>
      </c>
      <c r="J1181" s="7">
        <f t="shared" si="103"/>
        <v>0</v>
      </c>
      <c r="K1181" s="7">
        <f t="shared" si="103"/>
        <v>1</v>
      </c>
      <c r="L1181" s="11">
        <v>2899.4893499999998</v>
      </c>
      <c r="M1181" s="12" cm="1">
        <f t="array" ref="M1181">IF(($R$34+SUMPRODUCT(TRANSPOSE(D1181:K1181),$R$35:$R$42))&lt;0,"-",$R$34+SUMPRODUCT(TRANSPOSE(D1181:K1181),$R$35:$R$42))</f>
        <v>5795.1372923337331</v>
      </c>
      <c r="N1181" s="13" t="str">
        <f t="shared" si="100"/>
        <v>-</v>
      </c>
      <c r="O1181" s="13">
        <f t="shared" si="101"/>
        <v>17919.341869368858</v>
      </c>
    </row>
    <row r="1182" spans="1:15" x14ac:dyDescent="0.25">
      <c r="A1182" s="1" t="s">
        <v>3</v>
      </c>
      <c r="B1182" s="1" t="s">
        <v>1</v>
      </c>
      <c r="C1182" s="1" t="s">
        <v>5</v>
      </c>
      <c r="D1182" s="1">
        <v>31</v>
      </c>
      <c r="E1182" s="1">
        <v>29.81</v>
      </c>
      <c r="F1182" s="1">
        <v>0</v>
      </c>
      <c r="G1182" s="7">
        <f t="shared" si="99"/>
        <v>0</v>
      </c>
      <c r="H1182" s="7">
        <f t="shared" si="102"/>
        <v>1</v>
      </c>
      <c r="I1182" s="7">
        <f t="shared" si="103"/>
        <v>1</v>
      </c>
      <c r="J1182" s="7">
        <f t="shared" si="103"/>
        <v>0</v>
      </c>
      <c r="K1182" s="7">
        <f t="shared" si="103"/>
        <v>0</v>
      </c>
      <c r="L1182" s="11">
        <v>19350.368900000001</v>
      </c>
      <c r="M1182" s="12" cm="1">
        <f t="array" ref="M1182">IF(($R$34+SUMPRODUCT(TRANSPOSE(D1182:K1182),$R$35:$R$42))&lt;0,"-",$R$34+SUMPRODUCT(TRANSPOSE(D1182:K1182),$R$35:$R$42))</f>
        <v>28817.563337759595</v>
      </c>
      <c r="N1182" s="13">
        <f t="shared" si="100"/>
        <v>16693.35876072447</v>
      </c>
      <c r="O1182" s="13">
        <f t="shared" si="101"/>
        <v>40941.76791479472</v>
      </c>
    </row>
    <row r="1183" spans="1:15" x14ac:dyDescent="0.25">
      <c r="A1183" s="1" t="s">
        <v>0</v>
      </c>
      <c r="B1183" s="1" t="s">
        <v>4</v>
      </c>
      <c r="C1183" s="1" t="s">
        <v>7</v>
      </c>
      <c r="D1183" s="1">
        <v>42</v>
      </c>
      <c r="E1183" s="1">
        <v>41.325000000000003</v>
      </c>
      <c r="F1183" s="1">
        <v>1</v>
      </c>
      <c r="G1183" s="7">
        <f t="shared" si="99"/>
        <v>1</v>
      </c>
      <c r="H1183" s="7">
        <f t="shared" si="102"/>
        <v>0</v>
      </c>
      <c r="I1183" s="7">
        <f t="shared" si="103"/>
        <v>0</v>
      </c>
      <c r="J1183" s="7">
        <f t="shared" si="103"/>
        <v>0</v>
      </c>
      <c r="K1183" s="7">
        <f t="shared" si="103"/>
        <v>1</v>
      </c>
      <c r="L1183" s="11">
        <v>7650.7737500000003</v>
      </c>
      <c r="M1183" s="12" cm="1">
        <f t="array" ref="M1183">IF(($R$34+SUMPRODUCT(TRANSPOSE(D1183:K1183),$R$35:$R$42))&lt;0,"-",$R$34+SUMPRODUCT(TRANSPOSE(D1183:K1183),$R$35:$R$42))</f>
        <v>13342.098246018508</v>
      </c>
      <c r="N1183" s="13">
        <f t="shared" si="100"/>
        <v>1217.8936689833845</v>
      </c>
      <c r="O1183" s="13">
        <f t="shared" si="101"/>
        <v>25466.302823053629</v>
      </c>
    </row>
    <row r="1184" spans="1:15" x14ac:dyDescent="0.25">
      <c r="A1184" s="1" t="s">
        <v>0</v>
      </c>
      <c r="B1184" s="1" t="s">
        <v>4</v>
      </c>
      <c r="C1184" s="1" t="s">
        <v>6</v>
      </c>
      <c r="D1184" s="1">
        <v>24</v>
      </c>
      <c r="E1184" s="1">
        <v>29.925000000000001</v>
      </c>
      <c r="F1184" s="1">
        <v>0</v>
      </c>
      <c r="G1184" s="7">
        <f t="shared" si="99"/>
        <v>1</v>
      </c>
      <c r="H1184" s="7">
        <f t="shared" si="102"/>
        <v>0</v>
      </c>
      <c r="I1184" s="7">
        <f t="shared" si="103"/>
        <v>0</v>
      </c>
      <c r="J1184" s="7">
        <f t="shared" si="103"/>
        <v>1</v>
      </c>
      <c r="K1184" s="7">
        <f t="shared" si="103"/>
        <v>0</v>
      </c>
      <c r="L1184" s="11">
        <v>2850.6837500000001</v>
      </c>
      <c r="M1184" s="12" cm="1">
        <f t="array" ref="M1184">IF(($R$34+SUMPRODUCT(TRANSPOSE(D1184:K1184),$R$35:$R$42))&lt;0,"-",$R$34+SUMPRODUCT(TRANSPOSE(D1184:K1184),$R$35:$R$42))</f>
        <v>4023.4140846088885</v>
      </c>
      <c r="N1184" s="13" t="str">
        <f t="shared" si="100"/>
        <v>-</v>
      </c>
      <c r="O1184" s="13">
        <f t="shared" si="101"/>
        <v>16147.618661644012</v>
      </c>
    </row>
    <row r="1185" spans="1:15" x14ac:dyDescent="0.25">
      <c r="A1185" s="1" t="s">
        <v>0</v>
      </c>
      <c r="B1185" s="1" t="s">
        <v>4</v>
      </c>
      <c r="C1185" s="1" t="s">
        <v>2</v>
      </c>
      <c r="D1185" s="1">
        <v>25</v>
      </c>
      <c r="E1185" s="1">
        <v>30.3</v>
      </c>
      <c r="F1185" s="1">
        <v>0</v>
      </c>
      <c r="G1185" s="7">
        <f t="shared" si="99"/>
        <v>1</v>
      </c>
      <c r="H1185" s="7">
        <f t="shared" si="102"/>
        <v>0</v>
      </c>
      <c r="I1185" s="7">
        <f t="shared" si="103"/>
        <v>0</v>
      </c>
      <c r="J1185" s="7">
        <f t="shared" si="103"/>
        <v>0</v>
      </c>
      <c r="K1185" s="7">
        <f t="shared" si="103"/>
        <v>0</v>
      </c>
      <c r="L1185" s="11">
        <v>2632.9920000000002</v>
      </c>
      <c r="M1185" s="12" cm="1">
        <f t="array" ref="M1185">IF(($R$34+SUMPRODUCT(TRANSPOSE(D1185:K1185),$R$35:$R$42))&lt;0,"-",$R$34+SUMPRODUCT(TRANSPOSE(D1185:K1185),$R$35:$R$42))</f>
        <v>3800.3808903741119</v>
      </c>
      <c r="N1185" s="13" t="str">
        <f t="shared" si="100"/>
        <v>-</v>
      </c>
      <c r="O1185" s="13">
        <f t="shared" si="101"/>
        <v>15924.585467409235</v>
      </c>
    </row>
    <row r="1186" spans="1:15" x14ac:dyDescent="0.25">
      <c r="A1186" s="1" t="s">
        <v>0</v>
      </c>
      <c r="B1186" s="1" t="s">
        <v>4</v>
      </c>
      <c r="C1186" s="1" t="s">
        <v>7</v>
      </c>
      <c r="D1186" s="1">
        <v>48</v>
      </c>
      <c r="E1186" s="1">
        <v>27.36</v>
      </c>
      <c r="F1186" s="1">
        <v>1</v>
      </c>
      <c r="G1186" s="7">
        <f t="shared" si="99"/>
        <v>1</v>
      </c>
      <c r="H1186" s="7">
        <f t="shared" si="102"/>
        <v>0</v>
      </c>
      <c r="I1186" s="7">
        <f t="shared" si="103"/>
        <v>0</v>
      </c>
      <c r="J1186" s="7">
        <f t="shared" si="103"/>
        <v>0</v>
      </c>
      <c r="K1186" s="7">
        <f t="shared" si="103"/>
        <v>1</v>
      </c>
      <c r="L1186" s="11">
        <v>9447.3824000000004</v>
      </c>
      <c r="M1186" s="12" cm="1">
        <f t="array" ref="M1186">IF(($R$34+SUMPRODUCT(TRANSPOSE(D1186:K1186),$R$35:$R$42))&lt;0,"-",$R$34+SUMPRODUCT(TRANSPOSE(D1186:K1186),$R$35:$R$42))</f>
        <v>10146.399781567212</v>
      </c>
      <c r="N1186" s="13" t="str">
        <f t="shared" si="100"/>
        <v>-</v>
      </c>
      <c r="O1186" s="13">
        <f t="shared" si="101"/>
        <v>22270.604358602337</v>
      </c>
    </row>
    <row r="1187" spans="1:15" x14ac:dyDescent="0.25">
      <c r="A1187" s="1" t="s">
        <v>0</v>
      </c>
      <c r="B1187" s="1" t="s">
        <v>1</v>
      </c>
      <c r="C1187" s="1" t="s">
        <v>5</v>
      </c>
      <c r="D1187" s="1">
        <v>23</v>
      </c>
      <c r="E1187" s="1">
        <v>28.49</v>
      </c>
      <c r="F1187" s="1">
        <v>1</v>
      </c>
      <c r="G1187" s="7">
        <f t="shared" si="99"/>
        <v>1</v>
      </c>
      <c r="H1187" s="7">
        <f t="shared" si="102"/>
        <v>1</v>
      </c>
      <c r="I1187" s="7">
        <f t="shared" si="103"/>
        <v>1</v>
      </c>
      <c r="J1187" s="7">
        <f t="shared" si="103"/>
        <v>0</v>
      </c>
      <c r="K1187" s="7">
        <f t="shared" si="103"/>
        <v>0</v>
      </c>
      <c r="L1187" s="11">
        <v>18328.238099999999</v>
      </c>
      <c r="M1187" s="12" cm="1">
        <f t="array" ref="M1187">IF(($R$34+SUMPRODUCT(TRANSPOSE(D1187:K1187),$R$35:$R$42))&lt;0,"-",$R$34+SUMPRODUCT(TRANSPOSE(D1187:K1187),$R$35:$R$42))</f>
        <v>26921.79206323874</v>
      </c>
      <c r="N1187" s="13">
        <f t="shared" si="100"/>
        <v>14797.587486203616</v>
      </c>
      <c r="O1187" s="13">
        <f t="shared" si="101"/>
        <v>39045.996640273865</v>
      </c>
    </row>
    <row r="1188" spans="1:15" x14ac:dyDescent="0.25">
      <c r="A1188" s="1" t="s">
        <v>3</v>
      </c>
      <c r="B1188" s="1" t="s">
        <v>4</v>
      </c>
      <c r="C1188" s="1" t="s">
        <v>7</v>
      </c>
      <c r="D1188" s="1">
        <v>45</v>
      </c>
      <c r="E1188" s="1">
        <v>23.56</v>
      </c>
      <c r="F1188" s="1">
        <v>2</v>
      </c>
      <c r="G1188" s="7">
        <f t="shared" si="99"/>
        <v>0</v>
      </c>
      <c r="H1188" s="7">
        <f t="shared" si="102"/>
        <v>0</v>
      </c>
      <c r="I1188" s="7">
        <f t="shared" ref="I1188:K1219" si="104">IF($C1188=I$2,1,0)</f>
        <v>0</v>
      </c>
      <c r="J1188" s="7">
        <f t="shared" si="104"/>
        <v>0</v>
      </c>
      <c r="K1188" s="7">
        <f t="shared" si="104"/>
        <v>1</v>
      </c>
      <c r="L1188" s="11">
        <v>8603.8233999999993</v>
      </c>
      <c r="M1188" s="12" cm="1">
        <f t="array" ref="M1188">IF(($R$34+SUMPRODUCT(TRANSPOSE(D1188:K1188),$R$35:$R$42))&lt;0,"-",$R$34+SUMPRODUCT(TRANSPOSE(D1188:K1188),$R$35:$R$42))</f>
        <v>8431.0817859880008</v>
      </c>
      <c r="N1188" s="13" t="str">
        <f t="shared" si="100"/>
        <v>-</v>
      </c>
      <c r="O1188" s="13">
        <f t="shared" si="101"/>
        <v>20555.286363023122</v>
      </c>
    </row>
    <row r="1189" spans="1:15" x14ac:dyDescent="0.25">
      <c r="A1189" s="1" t="s">
        <v>3</v>
      </c>
      <c r="B1189" s="1" t="s">
        <v>1</v>
      </c>
      <c r="C1189" s="1" t="s">
        <v>6</v>
      </c>
      <c r="D1189" s="1">
        <v>20</v>
      </c>
      <c r="E1189" s="1">
        <v>35.625</v>
      </c>
      <c r="F1189" s="1">
        <v>3</v>
      </c>
      <c r="G1189" s="7">
        <f t="shared" si="99"/>
        <v>0</v>
      </c>
      <c r="H1189" s="7">
        <f t="shared" si="102"/>
        <v>1</v>
      </c>
      <c r="I1189" s="7">
        <f t="shared" si="104"/>
        <v>0</v>
      </c>
      <c r="J1189" s="7">
        <f t="shared" si="104"/>
        <v>1</v>
      </c>
      <c r="K1189" s="7">
        <f t="shared" si="104"/>
        <v>0</v>
      </c>
      <c r="L1189" s="11">
        <v>37465.34375</v>
      </c>
      <c r="M1189" s="12" cm="1">
        <f t="array" ref="M1189">IF(($R$34+SUMPRODUCT(TRANSPOSE(D1189:K1189),$R$35:$R$42))&lt;0,"-",$R$34+SUMPRODUCT(TRANSPOSE(D1189:K1189),$R$35:$R$42))</f>
        <v>30073.113178006366</v>
      </c>
      <c r="N1189" s="13">
        <f t="shared" si="100"/>
        <v>17948.908600971241</v>
      </c>
      <c r="O1189" s="13">
        <f t="shared" si="101"/>
        <v>42197.317755041491</v>
      </c>
    </row>
    <row r="1190" spans="1:15" x14ac:dyDescent="0.25">
      <c r="A1190" s="1" t="s">
        <v>0</v>
      </c>
      <c r="B1190" s="1" t="s">
        <v>4</v>
      </c>
      <c r="C1190" s="1" t="s">
        <v>6</v>
      </c>
      <c r="D1190" s="1">
        <v>62</v>
      </c>
      <c r="E1190" s="1">
        <v>32.68</v>
      </c>
      <c r="F1190" s="1">
        <v>0</v>
      </c>
      <c r="G1190" s="7">
        <f t="shared" si="99"/>
        <v>1</v>
      </c>
      <c r="H1190" s="7">
        <f t="shared" si="102"/>
        <v>0</v>
      </c>
      <c r="I1190" s="7">
        <f t="shared" si="104"/>
        <v>0</v>
      </c>
      <c r="J1190" s="7">
        <f t="shared" si="104"/>
        <v>1</v>
      </c>
      <c r="K1190" s="7">
        <f t="shared" si="104"/>
        <v>0</v>
      </c>
      <c r="L1190" s="11">
        <v>13844.797200000001</v>
      </c>
      <c r="M1190" s="12" cm="1">
        <f t="array" ref="M1190">IF(($R$34+SUMPRODUCT(TRANSPOSE(D1190:K1190),$R$35:$R$42))&lt;0,"-",$R$34+SUMPRODUCT(TRANSPOSE(D1190:K1190),$R$35:$R$42))</f>
        <v>14718.433445725976</v>
      </c>
      <c r="N1190" s="13">
        <f t="shared" si="100"/>
        <v>2594.2288686908523</v>
      </c>
      <c r="O1190" s="13">
        <f t="shared" si="101"/>
        <v>26842.638022761101</v>
      </c>
    </row>
    <row r="1191" spans="1:15" x14ac:dyDescent="0.25">
      <c r="A1191" s="1" t="s">
        <v>0</v>
      </c>
      <c r="B1191" s="1" t="s">
        <v>1</v>
      </c>
      <c r="C1191" s="1" t="s">
        <v>7</v>
      </c>
      <c r="D1191" s="1">
        <v>43</v>
      </c>
      <c r="E1191" s="1">
        <v>25.27</v>
      </c>
      <c r="F1191" s="1">
        <v>1</v>
      </c>
      <c r="G1191" s="7">
        <f t="shared" si="99"/>
        <v>1</v>
      </c>
      <c r="H1191" s="7">
        <f t="shared" si="102"/>
        <v>1</v>
      </c>
      <c r="I1191" s="7">
        <f t="shared" si="104"/>
        <v>0</v>
      </c>
      <c r="J1191" s="7">
        <f t="shared" si="104"/>
        <v>0</v>
      </c>
      <c r="K1191" s="7">
        <f t="shared" si="104"/>
        <v>1</v>
      </c>
      <c r="L1191" s="11">
        <v>21771.3423</v>
      </c>
      <c r="M1191" s="12" cm="1">
        <f t="array" ref="M1191">IF(($R$34+SUMPRODUCT(TRANSPOSE(D1191:K1191),$R$35:$R$42))&lt;0,"-",$R$34+SUMPRODUCT(TRANSPOSE(D1191:K1191),$R$35:$R$42))</f>
        <v>32001.738242746607</v>
      </c>
      <c r="N1191" s="13">
        <f t="shared" si="100"/>
        <v>19877.533665711482</v>
      </c>
      <c r="O1191" s="13">
        <f t="shared" si="101"/>
        <v>44125.942819781732</v>
      </c>
    </row>
    <row r="1192" spans="1:15" x14ac:dyDescent="0.25">
      <c r="A1192" s="1" t="s">
        <v>0</v>
      </c>
      <c r="B1192" s="1" t="s">
        <v>4</v>
      </c>
      <c r="C1192" s="1" t="s">
        <v>2</v>
      </c>
      <c r="D1192" s="1">
        <v>23</v>
      </c>
      <c r="E1192" s="1">
        <v>28</v>
      </c>
      <c r="F1192" s="1">
        <v>0</v>
      </c>
      <c r="G1192" s="7">
        <f t="shared" si="99"/>
        <v>1</v>
      </c>
      <c r="H1192" s="7">
        <f t="shared" si="102"/>
        <v>0</v>
      </c>
      <c r="I1192" s="7">
        <f t="shared" si="104"/>
        <v>0</v>
      </c>
      <c r="J1192" s="7">
        <f t="shared" si="104"/>
        <v>0</v>
      </c>
      <c r="K1192" s="7">
        <f t="shared" si="104"/>
        <v>0</v>
      </c>
      <c r="L1192" s="11">
        <v>13126.677449999999</v>
      </c>
      <c r="M1192" s="12" cm="1">
        <f t="array" ref="M1192">IF(($R$34+SUMPRODUCT(TRANSPOSE(D1192:K1192),$R$35:$R$42))&lt;0,"-",$R$34+SUMPRODUCT(TRANSPOSE(D1192:K1192),$R$35:$R$42))</f>
        <v>2506.5232419944841</v>
      </c>
      <c r="N1192" s="13" t="str">
        <f t="shared" si="100"/>
        <v>-</v>
      </c>
      <c r="O1192" s="13">
        <f t="shared" si="101"/>
        <v>14630.727819029607</v>
      </c>
    </row>
    <row r="1193" spans="1:15" x14ac:dyDescent="0.25">
      <c r="A1193" s="1" t="s">
        <v>0</v>
      </c>
      <c r="B1193" s="1" t="s">
        <v>4</v>
      </c>
      <c r="C1193" s="1" t="s">
        <v>6</v>
      </c>
      <c r="D1193" s="1">
        <v>31</v>
      </c>
      <c r="E1193" s="1">
        <v>32.774999999999999</v>
      </c>
      <c r="F1193" s="1">
        <v>2</v>
      </c>
      <c r="G1193" s="7">
        <f t="shared" si="99"/>
        <v>1</v>
      </c>
      <c r="H1193" s="7">
        <f t="shared" si="102"/>
        <v>0</v>
      </c>
      <c r="I1193" s="7">
        <f t="shared" si="104"/>
        <v>0</v>
      </c>
      <c r="J1193" s="7">
        <f t="shared" si="104"/>
        <v>1</v>
      </c>
      <c r="K1193" s="7">
        <f t="shared" si="104"/>
        <v>0</v>
      </c>
      <c r="L1193" s="11">
        <v>5327.4002499999997</v>
      </c>
      <c r="M1193" s="12" cm="1">
        <f t="array" ref="M1193">IF(($R$34+SUMPRODUCT(TRANSPOSE(D1193:K1193),$R$35:$R$42))&lt;0,"-",$R$34+SUMPRODUCT(TRANSPOSE(D1193:K1193),$R$35:$R$42))</f>
        <v>7739.1109854594833</v>
      </c>
      <c r="N1193" s="13" t="str">
        <f t="shared" si="100"/>
        <v>-</v>
      </c>
      <c r="O1193" s="13">
        <f t="shared" si="101"/>
        <v>19863.315562494608</v>
      </c>
    </row>
    <row r="1194" spans="1:15" x14ac:dyDescent="0.25">
      <c r="A1194" s="1" t="s">
        <v>0</v>
      </c>
      <c r="B1194" s="1" t="s">
        <v>4</v>
      </c>
      <c r="C1194" s="1" t="s">
        <v>7</v>
      </c>
      <c r="D1194" s="1">
        <v>41</v>
      </c>
      <c r="E1194" s="1">
        <v>21.754999999999999</v>
      </c>
      <c r="F1194" s="1">
        <v>1</v>
      </c>
      <c r="G1194" s="7">
        <f t="shared" si="99"/>
        <v>1</v>
      </c>
      <c r="H1194" s="7">
        <f t="shared" si="102"/>
        <v>0</v>
      </c>
      <c r="I1194" s="7">
        <f t="shared" si="104"/>
        <v>0</v>
      </c>
      <c r="J1194" s="7">
        <f t="shared" si="104"/>
        <v>0</v>
      </c>
      <c r="K1194" s="7">
        <f t="shared" si="104"/>
        <v>1</v>
      </c>
      <c r="L1194" s="11">
        <v>13725.47184</v>
      </c>
      <c r="M1194" s="12" cm="1">
        <f t="array" ref="M1194">IF(($R$34+SUMPRODUCT(TRANSPOSE(D1194:K1194),$R$35:$R$42))&lt;0,"-",$R$34+SUMPRODUCT(TRANSPOSE(D1194:K1194),$R$35:$R$42))</f>
        <v>6447.2260063170179</v>
      </c>
      <c r="N1194" s="13" t="str">
        <f t="shared" si="100"/>
        <v>-</v>
      </c>
      <c r="O1194" s="13">
        <f t="shared" si="101"/>
        <v>18571.430583352143</v>
      </c>
    </row>
    <row r="1195" spans="1:15" x14ac:dyDescent="0.25">
      <c r="A1195" s="1" t="s">
        <v>0</v>
      </c>
      <c r="B1195" s="1" t="s">
        <v>4</v>
      </c>
      <c r="C1195" s="1" t="s">
        <v>7</v>
      </c>
      <c r="D1195" s="1">
        <v>58</v>
      </c>
      <c r="E1195" s="1">
        <v>32.395000000000003</v>
      </c>
      <c r="F1195" s="1">
        <v>1</v>
      </c>
      <c r="G1195" s="7">
        <f t="shared" si="99"/>
        <v>1</v>
      </c>
      <c r="H1195" s="7">
        <f t="shared" si="102"/>
        <v>0</v>
      </c>
      <c r="I1195" s="7">
        <f t="shared" si="104"/>
        <v>0</v>
      </c>
      <c r="J1195" s="7">
        <f t="shared" si="104"/>
        <v>0</v>
      </c>
      <c r="K1195" s="7">
        <f t="shared" si="104"/>
        <v>1</v>
      </c>
      <c r="L1195" s="11">
        <v>13019.161050000001</v>
      </c>
      <c r="M1195" s="12" cm="1">
        <f t="array" ref="M1195">IF(($R$34+SUMPRODUCT(TRANSPOSE(D1195:K1195),$R$35:$R$42))&lt;0,"-",$R$34+SUMPRODUCT(TRANSPOSE(D1195:K1195),$R$35:$R$42))</f>
        <v>14422.802345871274</v>
      </c>
      <c r="N1195" s="13">
        <f t="shared" si="100"/>
        <v>2298.5977688361509</v>
      </c>
      <c r="O1195" s="13">
        <f t="shared" si="101"/>
        <v>26547.006922906396</v>
      </c>
    </row>
    <row r="1196" spans="1:15" x14ac:dyDescent="0.25">
      <c r="A1196" s="1" t="s">
        <v>0</v>
      </c>
      <c r="B1196" s="1" t="s">
        <v>4</v>
      </c>
      <c r="C1196" s="1" t="s">
        <v>6</v>
      </c>
      <c r="D1196" s="1">
        <v>48</v>
      </c>
      <c r="E1196" s="1">
        <v>36.575000000000003</v>
      </c>
      <c r="F1196" s="1">
        <v>0</v>
      </c>
      <c r="G1196" s="7">
        <f t="shared" si="99"/>
        <v>1</v>
      </c>
      <c r="H1196" s="7">
        <f t="shared" si="102"/>
        <v>0</v>
      </c>
      <c r="I1196" s="7">
        <f t="shared" si="104"/>
        <v>0</v>
      </c>
      <c r="J1196" s="7">
        <f t="shared" si="104"/>
        <v>1</v>
      </c>
      <c r="K1196" s="7">
        <f t="shared" si="104"/>
        <v>0</v>
      </c>
      <c r="L1196" s="11">
        <v>8671.1912499999999</v>
      </c>
      <c r="M1196" s="12" cm="1">
        <f t="array" ref="M1196">IF(($R$34+SUMPRODUCT(TRANSPOSE(D1196:K1196),$R$35:$R$42))&lt;0,"-",$R$34+SUMPRODUCT(TRANSPOSE(D1196:K1196),$R$35:$R$42))</f>
        <v>12443.603012017331</v>
      </c>
      <c r="N1196" s="13">
        <f t="shared" si="100"/>
        <v>319.39843498220762</v>
      </c>
      <c r="O1196" s="13">
        <f t="shared" si="101"/>
        <v>24567.807589052456</v>
      </c>
    </row>
    <row r="1197" spans="1:15" x14ac:dyDescent="0.25">
      <c r="A1197" s="1" t="s">
        <v>0</v>
      </c>
      <c r="B1197" s="1" t="s">
        <v>4</v>
      </c>
      <c r="C1197" s="1" t="s">
        <v>6</v>
      </c>
      <c r="D1197" s="1">
        <v>31</v>
      </c>
      <c r="E1197" s="1">
        <v>21.754999999999999</v>
      </c>
      <c r="F1197" s="1">
        <v>0</v>
      </c>
      <c r="G1197" s="7">
        <f t="shared" si="99"/>
        <v>1</v>
      </c>
      <c r="H1197" s="7">
        <f t="shared" si="102"/>
        <v>0</v>
      </c>
      <c r="I1197" s="7">
        <f t="shared" si="104"/>
        <v>0</v>
      </c>
      <c r="J1197" s="7">
        <f t="shared" si="104"/>
        <v>1</v>
      </c>
      <c r="K1197" s="7">
        <f t="shared" si="104"/>
        <v>0</v>
      </c>
      <c r="L1197" s="11">
        <v>4134.0824499999999</v>
      </c>
      <c r="M1197" s="12" cm="1">
        <f t="array" ref="M1197">IF(($R$34+SUMPRODUCT(TRANSPOSE(D1197:K1197),$R$35:$R$42))&lt;0,"-",$R$34+SUMPRODUCT(TRANSPOSE(D1197:K1197),$R$35:$R$42))</f>
        <v>3050.1980363697621</v>
      </c>
      <c r="N1197" s="13" t="str">
        <f t="shared" si="100"/>
        <v>-</v>
      </c>
      <c r="O1197" s="13">
        <f t="shared" si="101"/>
        <v>15174.402613404885</v>
      </c>
    </row>
    <row r="1198" spans="1:15" x14ac:dyDescent="0.25">
      <c r="A1198" s="1" t="s">
        <v>0</v>
      </c>
      <c r="B1198" s="1" t="s">
        <v>4</v>
      </c>
      <c r="C1198" s="1" t="s">
        <v>6</v>
      </c>
      <c r="D1198" s="1">
        <v>19</v>
      </c>
      <c r="E1198" s="1">
        <v>27.93</v>
      </c>
      <c r="F1198" s="1">
        <v>3</v>
      </c>
      <c r="G1198" s="7">
        <f t="shared" si="99"/>
        <v>1</v>
      </c>
      <c r="H1198" s="7">
        <f t="shared" si="102"/>
        <v>0</v>
      </c>
      <c r="I1198" s="7">
        <f t="shared" si="104"/>
        <v>0</v>
      </c>
      <c r="J1198" s="7">
        <f t="shared" si="104"/>
        <v>1</v>
      </c>
      <c r="K1198" s="7">
        <f t="shared" si="104"/>
        <v>0</v>
      </c>
      <c r="L1198" s="11">
        <v>18838.703659999999</v>
      </c>
      <c r="M1198" s="12" cm="1">
        <f t="array" ref="M1198">IF(($R$34+SUMPRODUCT(TRANSPOSE(D1198:K1198),$R$35:$R$42))&lt;0,"-",$R$34+SUMPRODUCT(TRANSPOSE(D1198:K1198),$R$35:$R$42))</f>
        <v>3488.9430174159243</v>
      </c>
      <c r="N1198" s="13" t="str">
        <f t="shared" si="100"/>
        <v>-</v>
      </c>
      <c r="O1198" s="13">
        <f t="shared" si="101"/>
        <v>15613.147594451048</v>
      </c>
    </row>
    <row r="1199" spans="1:15" x14ac:dyDescent="0.25">
      <c r="A1199" s="1" t="s">
        <v>0</v>
      </c>
      <c r="B1199" s="1" t="s">
        <v>1</v>
      </c>
      <c r="C1199" s="1" t="s">
        <v>6</v>
      </c>
      <c r="D1199" s="1">
        <v>19</v>
      </c>
      <c r="E1199" s="1">
        <v>30.02</v>
      </c>
      <c r="F1199" s="1">
        <v>0</v>
      </c>
      <c r="G1199" s="7">
        <f t="shared" si="99"/>
        <v>1</v>
      </c>
      <c r="H1199" s="7">
        <f t="shared" si="102"/>
        <v>1</v>
      </c>
      <c r="I1199" s="7">
        <f t="shared" si="104"/>
        <v>0</v>
      </c>
      <c r="J1199" s="7">
        <f t="shared" si="104"/>
        <v>1</v>
      </c>
      <c r="K1199" s="7">
        <f t="shared" si="104"/>
        <v>0</v>
      </c>
      <c r="L1199" s="11">
        <v>33307.550799999997</v>
      </c>
      <c r="M1199" s="12" cm="1">
        <f t="array" ref="M1199">IF(($R$34+SUMPRODUCT(TRANSPOSE(D1199:K1199),$R$35:$R$42))&lt;0,"-",$R$34+SUMPRODUCT(TRANSPOSE(D1199:K1199),$R$35:$R$42))</f>
        <v>26619.890241927969</v>
      </c>
      <c r="N1199" s="13">
        <f t="shared" si="100"/>
        <v>14495.685664892846</v>
      </c>
      <c r="O1199" s="13">
        <f t="shared" si="101"/>
        <v>38744.094818963094</v>
      </c>
    </row>
    <row r="1200" spans="1:15" x14ac:dyDescent="0.25">
      <c r="A1200" s="1" t="s">
        <v>3</v>
      </c>
      <c r="B1200" s="1" t="s">
        <v>4</v>
      </c>
      <c r="C1200" s="1" t="s">
        <v>5</v>
      </c>
      <c r="D1200" s="1">
        <v>41</v>
      </c>
      <c r="E1200" s="1">
        <v>33.549999999999997</v>
      </c>
      <c r="F1200" s="1">
        <v>0</v>
      </c>
      <c r="G1200" s="7">
        <f t="shared" si="99"/>
        <v>0</v>
      </c>
      <c r="H1200" s="7">
        <f t="shared" si="102"/>
        <v>0</v>
      </c>
      <c r="I1200" s="7">
        <f t="shared" si="104"/>
        <v>1</v>
      </c>
      <c r="J1200" s="7">
        <f t="shared" si="104"/>
        <v>0</v>
      </c>
      <c r="K1200" s="7">
        <f t="shared" si="104"/>
        <v>0</v>
      </c>
      <c r="L1200" s="11">
        <v>5699.8374999999996</v>
      </c>
      <c r="M1200" s="12" cm="1">
        <f t="array" ref="M1200">IF(($R$34+SUMPRODUCT(TRANSPOSE(D1200:K1200),$R$35:$R$42))&lt;0,"-",$R$34+SUMPRODUCT(TRANSPOSE(D1200:K1200),$R$35:$R$42))</f>
        <v>8806.1758377248152</v>
      </c>
      <c r="N1200" s="13" t="str">
        <f t="shared" si="100"/>
        <v>-</v>
      </c>
      <c r="O1200" s="13">
        <f t="shared" si="101"/>
        <v>20930.380414759937</v>
      </c>
    </row>
    <row r="1201" spans="1:15" x14ac:dyDescent="0.25">
      <c r="A1201" s="1" t="s">
        <v>3</v>
      </c>
      <c r="B1201" s="1" t="s">
        <v>4</v>
      </c>
      <c r="C1201" s="1" t="s">
        <v>6</v>
      </c>
      <c r="D1201" s="1">
        <v>40</v>
      </c>
      <c r="E1201" s="1">
        <v>29.355</v>
      </c>
      <c r="F1201" s="1">
        <v>1</v>
      </c>
      <c r="G1201" s="7">
        <f t="shared" si="99"/>
        <v>0</v>
      </c>
      <c r="H1201" s="7">
        <f t="shared" si="102"/>
        <v>0</v>
      </c>
      <c r="I1201" s="7">
        <f t="shared" si="104"/>
        <v>0</v>
      </c>
      <c r="J1201" s="7">
        <f t="shared" si="104"/>
        <v>1</v>
      </c>
      <c r="K1201" s="7">
        <f t="shared" si="104"/>
        <v>0</v>
      </c>
      <c r="L1201" s="11">
        <v>6393.6034499999996</v>
      </c>
      <c r="M1201" s="12" cm="1">
        <f t="array" ref="M1201">IF(($R$34+SUMPRODUCT(TRANSPOSE(D1201:K1201),$R$35:$R$42))&lt;0,"-",$R$34+SUMPRODUCT(TRANSPOSE(D1201:K1201),$R$35:$R$42))</f>
        <v>8283.9616424023043</v>
      </c>
      <c r="N1201" s="13" t="str">
        <f t="shared" si="100"/>
        <v>-</v>
      </c>
      <c r="O1201" s="13">
        <f t="shared" si="101"/>
        <v>20408.166219437429</v>
      </c>
    </row>
    <row r="1202" spans="1:15" x14ac:dyDescent="0.25">
      <c r="A1202" s="1" t="s">
        <v>0</v>
      </c>
      <c r="B1202" s="1" t="s">
        <v>4</v>
      </c>
      <c r="C1202" s="1" t="s">
        <v>2</v>
      </c>
      <c r="D1202" s="1">
        <v>31</v>
      </c>
      <c r="E1202" s="1">
        <v>25.8</v>
      </c>
      <c r="F1202" s="1">
        <v>2</v>
      </c>
      <c r="G1202" s="7">
        <f t="shared" si="99"/>
        <v>1</v>
      </c>
      <c r="H1202" s="7">
        <f t="shared" si="102"/>
        <v>0</v>
      </c>
      <c r="I1202" s="7">
        <f t="shared" si="104"/>
        <v>0</v>
      </c>
      <c r="J1202" s="7">
        <f t="shared" si="104"/>
        <v>0</v>
      </c>
      <c r="K1202" s="7">
        <f t="shared" si="104"/>
        <v>0</v>
      </c>
      <c r="L1202" s="11">
        <v>4934.7049999999999</v>
      </c>
      <c r="M1202" s="12" cm="1">
        <f t="array" ref="M1202">IF(($R$34+SUMPRODUCT(TRANSPOSE(D1202:K1202),$R$35:$R$42))&lt;0,"-",$R$34+SUMPRODUCT(TRANSPOSE(D1202:K1202),$R$35:$R$42))</f>
        <v>4766.1495546476872</v>
      </c>
      <c r="N1202" s="13" t="str">
        <f t="shared" si="100"/>
        <v>-</v>
      </c>
      <c r="O1202" s="13">
        <f t="shared" si="101"/>
        <v>16890.354131682812</v>
      </c>
    </row>
    <row r="1203" spans="1:15" x14ac:dyDescent="0.25">
      <c r="A1203" s="1" t="s">
        <v>3</v>
      </c>
      <c r="B1203" s="1" t="s">
        <v>4</v>
      </c>
      <c r="C1203" s="1" t="s">
        <v>6</v>
      </c>
      <c r="D1203" s="1">
        <v>37</v>
      </c>
      <c r="E1203" s="1">
        <v>24.32</v>
      </c>
      <c r="F1203" s="1">
        <v>2</v>
      </c>
      <c r="G1203" s="7">
        <f t="shared" si="99"/>
        <v>0</v>
      </c>
      <c r="H1203" s="7">
        <f t="shared" si="102"/>
        <v>0</v>
      </c>
      <c r="I1203" s="7">
        <f t="shared" si="104"/>
        <v>0</v>
      </c>
      <c r="J1203" s="7">
        <f t="shared" si="104"/>
        <v>1</v>
      </c>
      <c r="K1203" s="7">
        <f t="shared" si="104"/>
        <v>0</v>
      </c>
      <c r="L1203" s="11">
        <v>6198.7518</v>
      </c>
      <c r="M1203" s="12" cm="1">
        <f t="array" ref="M1203">IF(($R$34+SUMPRODUCT(TRANSPOSE(D1203:K1203),$R$35:$R$42))&lt;0,"-",$R$34+SUMPRODUCT(TRANSPOSE(D1203:K1203),$R$35:$R$42))</f>
        <v>6281.054091008813</v>
      </c>
      <c r="N1203" s="13" t="str">
        <f t="shared" si="100"/>
        <v>-</v>
      </c>
      <c r="O1203" s="13">
        <f t="shared" si="101"/>
        <v>18405.258668043934</v>
      </c>
    </row>
    <row r="1204" spans="1:15" x14ac:dyDescent="0.25">
      <c r="A1204" s="1" t="s">
        <v>3</v>
      </c>
      <c r="B1204" s="1" t="s">
        <v>4</v>
      </c>
      <c r="C1204" s="1" t="s">
        <v>6</v>
      </c>
      <c r="D1204" s="1">
        <v>46</v>
      </c>
      <c r="E1204" s="1">
        <v>40.375</v>
      </c>
      <c r="F1204" s="1">
        <v>2</v>
      </c>
      <c r="G1204" s="7">
        <f t="shared" si="99"/>
        <v>0</v>
      </c>
      <c r="H1204" s="7">
        <f t="shared" si="102"/>
        <v>0</v>
      </c>
      <c r="I1204" s="7">
        <f t="shared" si="104"/>
        <v>0</v>
      </c>
      <c r="J1204" s="7">
        <f t="shared" si="104"/>
        <v>1</v>
      </c>
      <c r="K1204" s="7">
        <f t="shared" si="104"/>
        <v>0</v>
      </c>
      <c r="L1204" s="11">
        <v>8733.2292500000003</v>
      </c>
      <c r="M1204" s="12" cm="1">
        <f t="array" ref="M1204">IF(($R$34+SUMPRODUCT(TRANSPOSE(D1204:K1204),$R$35:$R$42))&lt;0,"-",$R$34+SUMPRODUCT(TRANSPOSE(D1204:K1204),$R$35:$R$42))</f>
        <v>14038.512161566981</v>
      </c>
      <c r="N1204" s="13">
        <f t="shared" si="100"/>
        <v>1914.3075845318581</v>
      </c>
      <c r="O1204" s="13">
        <f t="shared" si="101"/>
        <v>26162.716738602103</v>
      </c>
    </row>
    <row r="1205" spans="1:15" x14ac:dyDescent="0.25">
      <c r="A1205" s="1" t="s">
        <v>3</v>
      </c>
      <c r="B1205" s="1" t="s">
        <v>4</v>
      </c>
      <c r="C1205" s="1" t="s">
        <v>6</v>
      </c>
      <c r="D1205" s="1">
        <v>22</v>
      </c>
      <c r="E1205" s="1">
        <v>32.11</v>
      </c>
      <c r="F1205" s="1">
        <v>0</v>
      </c>
      <c r="G1205" s="7">
        <f t="shared" si="99"/>
        <v>0</v>
      </c>
      <c r="H1205" s="7">
        <f t="shared" si="102"/>
        <v>0</v>
      </c>
      <c r="I1205" s="7">
        <f t="shared" si="104"/>
        <v>0</v>
      </c>
      <c r="J1205" s="7">
        <f t="shared" si="104"/>
        <v>1</v>
      </c>
      <c r="K1205" s="7">
        <f t="shared" si="104"/>
        <v>0</v>
      </c>
      <c r="L1205" s="11">
        <v>2055.3249000000001</v>
      </c>
      <c r="M1205" s="12" cm="1">
        <f t="array" ref="M1205">IF(($R$34+SUMPRODUCT(TRANSPOSE(D1205:K1205),$R$35:$R$42))&lt;0,"-",$R$34+SUMPRODUCT(TRANSPOSE(D1205:K1205),$R$35:$R$42))</f>
        <v>4119.5247162787746</v>
      </c>
      <c r="N1205" s="13" t="str">
        <f t="shared" si="100"/>
        <v>-</v>
      </c>
      <c r="O1205" s="13">
        <f t="shared" si="101"/>
        <v>16243.729293313898</v>
      </c>
    </row>
    <row r="1206" spans="1:15" x14ac:dyDescent="0.25">
      <c r="A1206" s="1" t="s">
        <v>3</v>
      </c>
      <c r="B1206" s="1" t="s">
        <v>4</v>
      </c>
      <c r="C1206" s="1" t="s">
        <v>7</v>
      </c>
      <c r="D1206" s="1">
        <v>51</v>
      </c>
      <c r="E1206" s="1">
        <v>32.299999999999997</v>
      </c>
      <c r="F1206" s="1">
        <v>1</v>
      </c>
      <c r="G1206" s="7">
        <f t="shared" si="99"/>
        <v>0</v>
      </c>
      <c r="H1206" s="7">
        <f t="shared" si="102"/>
        <v>0</v>
      </c>
      <c r="I1206" s="7">
        <f t="shared" si="104"/>
        <v>0</v>
      </c>
      <c r="J1206" s="7">
        <f t="shared" si="104"/>
        <v>0</v>
      </c>
      <c r="K1206" s="7">
        <f t="shared" si="104"/>
        <v>1</v>
      </c>
      <c r="L1206" s="11">
        <v>9964.06</v>
      </c>
      <c r="M1206" s="12" cm="1">
        <f t="array" ref="M1206">IF(($R$34+SUMPRODUCT(TRANSPOSE(D1206:K1206),$R$35:$R$42))&lt;0,"-",$R$34+SUMPRODUCT(TRANSPOSE(D1206:K1206),$R$35:$R$42))</f>
        <v>12461.270140621698</v>
      </c>
      <c r="N1206" s="13">
        <f t="shared" si="100"/>
        <v>337.06556358657508</v>
      </c>
      <c r="O1206" s="13">
        <f t="shared" si="101"/>
        <v>24585.47471765682</v>
      </c>
    </row>
    <row r="1207" spans="1:15" x14ac:dyDescent="0.25">
      <c r="A1207" s="1" t="s">
        <v>0</v>
      </c>
      <c r="B1207" s="1" t="s">
        <v>1</v>
      </c>
      <c r="C1207" s="1" t="s">
        <v>5</v>
      </c>
      <c r="D1207" s="1">
        <v>18</v>
      </c>
      <c r="E1207" s="1">
        <v>27.28</v>
      </c>
      <c r="F1207" s="1">
        <v>3</v>
      </c>
      <c r="G1207" s="7">
        <f t="shared" si="99"/>
        <v>1</v>
      </c>
      <c r="H1207" s="7">
        <f t="shared" si="102"/>
        <v>1</v>
      </c>
      <c r="I1207" s="7">
        <f t="shared" si="104"/>
        <v>1</v>
      </c>
      <c r="J1207" s="7">
        <f t="shared" si="104"/>
        <v>0</v>
      </c>
      <c r="K1207" s="7">
        <f t="shared" si="104"/>
        <v>0</v>
      </c>
      <c r="L1207" s="11">
        <v>18223.4512</v>
      </c>
      <c r="M1207" s="12" cm="1">
        <f t="array" ref="M1207">IF(($R$34+SUMPRODUCT(TRANSPOSE(D1207:K1207),$R$35:$R$42))&lt;0,"-",$R$34+SUMPRODUCT(TRANSPOSE(D1207:K1207),$R$35:$R$42))</f>
        <v>26178.087311981144</v>
      </c>
      <c r="N1207" s="13">
        <f t="shared" si="100"/>
        <v>14053.882734946021</v>
      </c>
      <c r="O1207" s="13">
        <f t="shared" si="101"/>
        <v>38302.291889016269</v>
      </c>
    </row>
    <row r="1208" spans="1:15" x14ac:dyDescent="0.25">
      <c r="A1208" s="1" t="s">
        <v>3</v>
      </c>
      <c r="B1208" s="1" t="s">
        <v>4</v>
      </c>
      <c r="C1208" s="1" t="s">
        <v>6</v>
      </c>
      <c r="D1208" s="1">
        <v>35</v>
      </c>
      <c r="E1208" s="1">
        <v>17.86</v>
      </c>
      <c r="F1208" s="1">
        <v>1</v>
      </c>
      <c r="G1208" s="7">
        <f t="shared" si="99"/>
        <v>0</v>
      </c>
      <c r="H1208" s="7">
        <f t="shared" si="102"/>
        <v>0</v>
      </c>
      <c r="I1208" s="7">
        <f t="shared" si="104"/>
        <v>0</v>
      </c>
      <c r="J1208" s="7">
        <f t="shared" si="104"/>
        <v>1</v>
      </c>
      <c r="K1208" s="7">
        <f t="shared" si="104"/>
        <v>0</v>
      </c>
      <c r="L1208" s="11">
        <v>5116.5003999999999</v>
      </c>
      <c r="M1208" s="12" cm="1">
        <f t="array" ref="M1208">IF(($R$34+SUMPRODUCT(TRANSPOSE(D1208:K1208),$R$35:$R$42))&lt;0,"-",$R$34+SUMPRODUCT(TRANSPOSE(D1208:K1208),$R$35:$R$42))</f>
        <v>3100.6511304589567</v>
      </c>
      <c r="N1208" s="13" t="str">
        <f t="shared" si="100"/>
        <v>-</v>
      </c>
      <c r="O1208" s="13">
        <f t="shared" si="101"/>
        <v>15224.85570749408</v>
      </c>
    </row>
    <row r="1209" spans="1:15" x14ac:dyDescent="0.25">
      <c r="A1209" s="1" t="s">
        <v>0</v>
      </c>
      <c r="B1209" s="1" t="s">
        <v>4</v>
      </c>
      <c r="C1209" s="1" t="s">
        <v>2</v>
      </c>
      <c r="D1209" s="1">
        <v>59</v>
      </c>
      <c r="E1209" s="1">
        <v>34.799999999999997</v>
      </c>
      <c r="F1209" s="1">
        <v>2</v>
      </c>
      <c r="G1209" s="7">
        <f t="shared" si="99"/>
        <v>1</v>
      </c>
      <c r="H1209" s="7">
        <f t="shared" si="102"/>
        <v>0</v>
      </c>
      <c r="I1209" s="7">
        <f t="shared" si="104"/>
        <v>0</v>
      </c>
      <c r="J1209" s="7">
        <f t="shared" si="104"/>
        <v>0</v>
      </c>
      <c r="K1209" s="7">
        <f t="shared" si="104"/>
        <v>0</v>
      </c>
      <c r="L1209" s="11">
        <v>36910.608030000003</v>
      </c>
      <c r="M1209" s="12" cm="1">
        <f t="array" ref="M1209">IF(($R$34+SUMPRODUCT(TRANSPOSE(D1209:K1209),$R$35:$R$42))&lt;0,"-",$R$34+SUMPRODUCT(TRANSPOSE(D1209:K1209),$R$35:$R$42))</f>
        <v>15010.868508190986</v>
      </c>
      <c r="N1209" s="13">
        <f t="shared" si="100"/>
        <v>2886.6639311558629</v>
      </c>
      <c r="O1209" s="13">
        <f t="shared" si="101"/>
        <v>27135.073085226111</v>
      </c>
    </row>
    <row r="1210" spans="1:15" x14ac:dyDescent="0.25">
      <c r="A1210" s="1" t="s">
        <v>3</v>
      </c>
      <c r="B1210" s="1" t="s">
        <v>1</v>
      </c>
      <c r="C1210" s="1" t="s">
        <v>2</v>
      </c>
      <c r="D1210" s="1">
        <v>36</v>
      </c>
      <c r="E1210" s="1">
        <v>33.4</v>
      </c>
      <c r="F1210" s="1">
        <v>2</v>
      </c>
      <c r="G1210" s="7">
        <f t="shared" si="99"/>
        <v>0</v>
      </c>
      <c r="H1210" s="7">
        <f t="shared" si="102"/>
        <v>1</v>
      </c>
      <c r="I1210" s="7">
        <f t="shared" si="104"/>
        <v>0</v>
      </c>
      <c r="J1210" s="7">
        <f t="shared" si="104"/>
        <v>0</v>
      </c>
      <c r="K1210" s="7">
        <f t="shared" si="104"/>
        <v>0</v>
      </c>
      <c r="L1210" s="11">
        <v>38415.474000000002</v>
      </c>
      <c r="M1210" s="12" cm="1">
        <f t="array" ref="M1210">IF(($R$34+SUMPRODUCT(TRANSPOSE(D1210:K1210),$R$35:$R$42))&lt;0,"-",$R$34+SUMPRODUCT(TRANSPOSE(D1210:K1210),$R$35:$R$42))</f>
        <v>32345.521747294493</v>
      </c>
      <c r="N1210" s="13">
        <f t="shared" si="100"/>
        <v>20221.317170259368</v>
      </c>
      <c r="O1210" s="13">
        <f t="shared" si="101"/>
        <v>44469.726324329618</v>
      </c>
    </row>
    <row r="1211" spans="1:15" x14ac:dyDescent="0.25">
      <c r="A1211" s="1" t="s">
        <v>0</v>
      </c>
      <c r="B1211" s="1" t="s">
        <v>1</v>
      </c>
      <c r="C1211" s="1" t="s">
        <v>7</v>
      </c>
      <c r="D1211" s="1">
        <v>37</v>
      </c>
      <c r="E1211" s="1">
        <v>25.555</v>
      </c>
      <c r="F1211" s="1">
        <v>1</v>
      </c>
      <c r="G1211" s="7">
        <f t="shared" si="99"/>
        <v>1</v>
      </c>
      <c r="H1211" s="7">
        <f t="shared" si="102"/>
        <v>1</v>
      </c>
      <c r="I1211" s="7">
        <f t="shared" si="104"/>
        <v>0</v>
      </c>
      <c r="J1211" s="7">
        <f t="shared" si="104"/>
        <v>0</v>
      </c>
      <c r="K1211" s="7">
        <f t="shared" si="104"/>
        <v>1</v>
      </c>
      <c r="L1211" s="11">
        <v>20296.863450000001</v>
      </c>
      <c r="M1211" s="12" cm="1">
        <f t="array" ref="M1211">IF(($R$34+SUMPRODUCT(TRANSPOSE(D1211:K1211),$R$35:$R$42))&lt;0,"-",$R$34+SUMPRODUCT(TRANSPOSE(D1211:K1211),$R$35:$R$42))</f>
        <v>30557.270261801605</v>
      </c>
      <c r="N1211" s="13">
        <f t="shared" si="100"/>
        <v>18433.06568476648</v>
      </c>
      <c r="O1211" s="13">
        <f t="shared" si="101"/>
        <v>42681.47483883673</v>
      </c>
    </row>
    <row r="1212" spans="1:15" x14ac:dyDescent="0.25">
      <c r="A1212" s="1" t="s">
        <v>3</v>
      </c>
      <c r="B1212" s="1" t="s">
        <v>4</v>
      </c>
      <c r="C1212" s="1" t="s">
        <v>2</v>
      </c>
      <c r="D1212" s="1">
        <v>59</v>
      </c>
      <c r="E1212" s="1">
        <v>37.1</v>
      </c>
      <c r="F1212" s="1">
        <v>1</v>
      </c>
      <c r="G1212" s="7">
        <f t="shared" si="99"/>
        <v>0</v>
      </c>
      <c r="H1212" s="7">
        <f t="shared" si="102"/>
        <v>0</v>
      </c>
      <c r="I1212" s="7">
        <f t="shared" si="104"/>
        <v>0</v>
      </c>
      <c r="J1212" s="7">
        <f t="shared" si="104"/>
        <v>0</v>
      </c>
      <c r="K1212" s="7">
        <f t="shared" si="104"/>
        <v>0</v>
      </c>
      <c r="L1212" s="11">
        <v>12347.172</v>
      </c>
      <c r="M1212" s="12" cm="1">
        <f t="array" ref="M1212">IF(($R$34+SUMPRODUCT(TRANSPOSE(D1212:K1212),$R$35:$R$42))&lt;0,"-",$R$34+SUMPRODUCT(TRANSPOSE(D1212:K1212),$R$35:$R$42))</f>
        <v>15184.198546951684</v>
      </c>
      <c r="N1212" s="13">
        <f t="shared" si="100"/>
        <v>3059.9939699165607</v>
      </c>
      <c r="O1212" s="13">
        <f t="shared" si="101"/>
        <v>27308.403123986805</v>
      </c>
    </row>
    <row r="1213" spans="1:15" x14ac:dyDescent="0.25">
      <c r="A1213" s="1" t="s">
        <v>3</v>
      </c>
      <c r="B1213" s="1" t="s">
        <v>4</v>
      </c>
      <c r="C1213" s="1" t="s">
        <v>6</v>
      </c>
      <c r="D1213" s="1">
        <v>36</v>
      </c>
      <c r="E1213" s="1">
        <v>30.875</v>
      </c>
      <c r="F1213" s="1">
        <v>1</v>
      </c>
      <c r="G1213" s="7">
        <f t="shared" si="99"/>
        <v>0</v>
      </c>
      <c r="H1213" s="7">
        <f t="shared" si="102"/>
        <v>0</v>
      </c>
      <c r="I1213" s="7">
        <f t="shared" si="104"/>
        <v>0</v>
      </c>
      <c r="J1213" s="7">
        <f t="shared" si="104"/>
        <v>1</v>
      </c>
      <c r="K1213" s="7">
        <f t="shared" si="104"/>
        <v>0</v>
      </c>
      <c r="L1213" s="11">
        <v>5373.3642499999996</v>
      </c>
      <c r="M1213" s="12" cm="1">
        <f t="array" ref="M1213">IF(($R$34+SUMPRODUCT(TRANSPOSE(D1213:K1213),$R$35:$R$42))&lt;0,"-",$R$34+SUMPRODUCT(TRANSPOSE(D1213:K1213),$R$35:$R$42))</f>
        <v>7772.1102817413921</v>
      </c>
      <c r="N1213" s="13" t="str">
        <f t="shared" si="100"/>
        <v>-</v>
      </c>
      <c r="O1213" s="13">
        <f t="shared" si="101"/>
        <v>19896.314858776517</v>
      </c>
    </row>
    <row r="1214" spans="1:15" x14ac:dyDescent="0.25">
      <c r="A1214" s="1" t="s">
        <v>3</v>
      </c>
      <c r="B1214" s="1" t="s">
        <v>4</v>
      </c>
      <c r="C1214" s="1" t="s">
        <v>5</v>
      </c>
      <c r="D1214" s="1">
        <v>39</v>
      </c>
      <c r="E1214" s="1">
        <v>34.1</v>
      </c>
      <c r="F1214" s="1">
        <v>2</v>
      </c>
      <c r="G1214" s="7">
        <f t="shared" si="99"/>
        <v>0</v>
      </c>
      <c r="H1214" s="7">
        <f t="shared" si="102"/>
        <v>0</v>
      </c>
      <c r="I1214" s="7">
        <f t="shared" si="104"/>
        <v>1</v>
      </c>
      <c r="J1214" s="7">
        <f t="shared" si="104"/>
        <v>0</v>
      </c>
      <c r="K1214" s="7">
        <f t="shared" si="104"/>
        <v>0</v>
      </c>
      <c r="L1214" s="11">
        <v>23563.016179999999</v>
      </c>
      <c r="M1214" s="12" cm="1">
        <f t="array" ref="M1214">IF(($R$34+SUMPRODUCT(TRANSPOSE(D1214:K1214),$R$35:$R$42))&lt;0,"-",$R$34+SUMPRODUCT(TRANSPOSE(D1214:K1214),$R$35:$R$42))</f>
        <v>9430.0206224343456</v>
      </c>
      <c r="N1214" s="13" t="str">
        <f t="shared" si="100"/>
        <v>-</v>
      </c>
      <c r="O1214" s="13">
        <f t="shared" si="101"/>
        <v>21554.225199469467</v>
      </c>
    </row>
    <row r="1215" spans="1:15" x14ac:dyDescent="0.25">
      <c r="A1215" s="1" t="s">
        <v>3</v>
      </c>
      <c r="B1215" s="1" t="s">
        <v>4</v>
      </c>
      <c r="C1215" s="1" t="s">
        <v>7</v>
      </c>
      <c r="D1215" s="1">
        <v>18</v>
      </c>
      <c r="E1215" s="1">
        <v>21.47</v>
      </c>
      <c r="F1215" s="1">
        <v>0</v>
      </c>
      <c r="G1215" s="7">
        <f t="shared" si="99"/>
        <v>0</v>
      </c>
      <c r="H1215" s="7">
        <f t="shared" si="102"/>
        <v>0</v>
      </c>
      <c r="I1215" s="7">
        <f t="shared" si="104"/>
        <v>0</v>
      </c>
      <c r="J1215" s="7">
        <f t="shared" si="104"/>
        <v>0</v>
      </c>
      <c r="K1215" s="7">
        <f t="shared" si="104"/>
        <v>1</v>
      </c>
      <c r="L1215" s="11">
        <v>1702.4553000000001</v>
      </c>
      <c r="M1215" s="12" t="str" cm="1">
        <f t="array" ref="M1215">IF(($R$34+SUMPRODUCT(TRANSPOSE(D1215:K1215),$R$35:$R$42))&lt;0,"-",$R$34+SUMPRODUCT(TRANSPOSE(D1215:K1215),$R$35:$R$42))</f>
        <v>-</v>
      </c>
      <c r="N1215" s="13" t="str">
        <f t="shared" si="100"/>
        <v>-</v>
      </c>
      <c r="O1215" s="13" t="str">
        <f t="shared" si="101"/>
        <v>-</v>
      </c>
    </row>
    <row r="1216" spans="1:15" x14ac:dyDescent="0.25">
      <c r="A1216" s="1" t="s">
        <v>0</v>
      </c>
      <c r="B1216" s="1" t="s">
        <v>4</v>
      </c>
      <c r="C1216" s="1" t="s">
        <v>2</v>
      </c>
      <c r="D1216" s="1">
        <v>52</v>
      </c>
      <c r="E1216" s="1">
        <v>33.299999999999997</v>
      </c>
      <c r="F1216" s="1">
        <v>2</v>
      </c>
      <c r="G1216" s="7">
        <f t="shared" si="99"/>
        <v>1</v>
      </c>
      <c r="H1216" s="7">
        <f t="shared" si="102"/>
        <v>0</v>
      </c>
      <c r="I1216" s="7">
        <f t="shared" si="104"/>
        <v>0</v>
      </c>
      <c r="J1216" s="7">
        <f t="shared" si="104"/>
        <v>0</v>
      </c>
      <c r="K1216" s="7">
        <f t="shared" si="104"/>
        <v>0</v>
      </c>
      <c r="L1216" s="11">
        <v>10806.839</v>
      </c>
      <c r="M1216" s="12" cm="1">
        <f t="array" ref="M1216">IF(($R$34+SUMPRODUCT(TRANSPOSE(D1216:K1216),$R$35:$R$42))&lt;0,"-",$R$34+SUMPRODUCT(TRANSPOSE(D1216:K1216),$R$35:$R$42))</f>
        <v>12704.083860013292</v>
      </c>
      <c r="N1216" s="13">
        <f t="shared" si="100"/>
        <v>579.8792829781687</v>
      </c>
      <c r="O1216" s="13">
        <f t="shared" si="101"/>
        <v>24828.288437048417</v>
      </c>
    </row>
    <row r="1217" spans="1:15" x14ac:dyDescent="0.25">
      <c r="A1217" s="1" t="s">
        <v>0</v>
      </c>
      <c r="B1217" s="1" t="s">
        <v>4</v>
      </c>
      <c r="C1217" s="1" t="s">
        <v>6</v>
      </c>
      <c r="D1217" s="1">
        <v>27</v>
      </c>
      <c r="E1217" s="1">
        <v>31.254999999999999</v>
      </c>
      <c r="F1217" s="1">
        <v>1</v>
      </c>
      <c r="G1217" s="7">
        <f t="shared" si="99"/>
        <v>1</v>
      </c>
      <c r="H1217" s="7">
        <f t="shared" si="102"/>
        <v>0</v>
      </c>
      <c r="I1217" s="7">
        <f t="shared" si="104"/>
        <v>0</v>
      </c>
      <c r="J1217" s="7">
        <f t="shared" si="104"/>
        <v>1</v>
      </c>
      <c r="K1217" s="7">
        <f t="shared" si="104"/>
        <v>0</v>
      </c>
      <c r="L1217" s="11">
        <v>3956.0714499999999</v>
      </c>
      <c r="M1217" s="12" cm="1">
        <f t="array" ref="M1217">IF(($R$34+SUMPRODUCT(TRANSPOSE(D1217:K1217),$R$35:$R$42))&lt;0,"-",$R$34+SUMPRODUCT(TRANSPOSE(D1217:K1217),$R$35:$R$42))</f>
        <v>5720.6109806724853</v>
      </c>
      <c r="N1217" s="13" t="str">
        <f t="shared" si="100"/>
        <v>-</v>
      </c>
      <c r="O1217" s="13">
        <f t="shared" si="101"/>
        <v>17844.81555770761</v>
      </c>
    </row>
    <row r="1218" spans="1:15" x14ac:dyDescent="0.25">
      <c r="A1218" s="1" t="s">
        <v>3</v>
      </c>
      <c r="B1218" s="1" t="s">
        <v>4</v>
      </c>
      <c r="C1218" s="1" t="s">
        <v>7</v>
      </c>
      <c r="D1218" s="1">
        <v>18</v>
      </c>
      <c r="E1218" s="1">
        <v>39.14</v>
      </c>
      <c r="F1218" s="1">
        <v>0</v>
      </c>
      <c r="G1218" s="7">
        <f t="shared" si="99"/>
        <v>0</v>
      </c>
      <c r="H1218" s="7">
        <f t="shared" si="102"/>
        <v>0</v>
      </c>
      <c r="I1218" s="7">
        <f t="shared" si="104"/>
        <v>0</v>
      </c>
      <c r="J1218" s="7">
        <f t="shared" si="104"/>
        <v>0</v>
      </c>
      <c r="K1218" s="7">
        <f t="shared" si="104"/>
        <v>1</v>
      </c>
      <c r="L1218" s="11">
        <v>12890.057650000001</v>
      </c>
      <c r="M1218" s="12" cm="1">
        <f t="array" ref="M1218">IF(($R$34+SUMPRODUCT(TRANSPOSE(D1218:K1218),$R$35:$R$42))&lt;0,"-",$R$34+SUMPRODUCT(TRANSPOSE(D1218:K1218),$R$35:$R$42))</f>
        <v>5829.5931844382285</v>
      </c>
      <c r="N1218" s="13" t="str">
        <f t="shared" si="100"/>
        <v>-</v>
      </c>
      <c r="O1218" s="13">
        <f t="shared" si="101"/>
        <v>17953.797761473354</v>
      </c>
    </row>
    <row r="1219" spans="1:15" x14ac:dyDescent="0.25">
      <c r="A1219" s="1" t="s">
        <v>3</v>
      </c>
      <c r="B1219" s="1" t="s">
        <v>4</v>
      </c>
      <c r="C1219" s="1" t="s">
        <v>5</v>
      </c>
      <c r="D1219" s="1">
        <v>40</v>
      </c>
      <c r="E1219" s="1">
        <v>25.08</v>
      </c>
      <c r="F1219" s="1">
        <v>0</v>
      </c>
      <c r="G1219" s="7">
        <f t="shared" ref="G1219:G1282" si="105">IF($A1219=G$2,1,0)</f>
        <v>0</v>
      </c>
      <c r="H1219" s="7">
        <f t="shared" si="102"/>
        <v>0</v>
      </c>
      <c r="I1219" s="7">
        <f t="shared" si="104"/>
        <v>1</v>
      </c>
      <c r="J1219" s="7">
        <f t="shared" si="104"/>
        <v>0</v>
      </c>
      <c r="K1219" s="7">
        <f t="shared" si="104"/>
        <v>0</v>
      </c>
      <c r="L1219" s="11">
        <v>5415.6611999999996</v>
      </c>
      <c r="M1219" s="12" cm="1">
        <f t="array" ref="M1219">IF(($R$34+SUMPRODUCT(TRANSPOSE(D1219:K1219),$R$35:$R$42))&lt;0,"-",$R$34+SUMPRODUCT(TRANSPOSE(D1219:K1219),$R$35:$R$42))</f>
        <v>5676.3509331036548</v>
      </c>
      <c r="N1219" s="13" t="str">
        <f t="shared" ref="N1219:N1282" si="106">IFERROR(IF($M1219-(2*$R$24)&lt;0,"-",($M1219-(2*$R$24))),"-")</f>
        <v>-</v>
      </c>
      <c r="O1219" s="13">
        <f t="shared" ref="O1219:O1282" si="107">IFERROR(IF($L1219+(2*$R$24)&lt;0,"-",($M1219+(2*$R$24))),"-")</f>
        <v>17800.55551013878</v>
      </c>
    </row>
    <row r="1220" spans="1:15" x14ac:dyDescent="0.25">
      <c r="A1220" s="1" t="s">
        <v>3</v>
      </c>
      <c r="B1220" s="1" t="s">
        <v>4</v>
      </c>
      <c r="C1220" s="1" t="s">
        <v>5</v>
      </c>
      <c r="D1220" s="1">
        <v>29</v>
      </c>
      <c r="E1220" s="1">
        <v>37.29</v>
      </c>
      <c r="F1220" s="1">
        <v>2</v>
      </c>
      <c r="G1220" s="7">
        <f t="shared" si="105"/>
        <v>0</v>
      </c>
      <c r="H1220" s="7">
        <f t="shared" ref="H1220:H1283" si="108">IF(B1220="yes",1,0)</f>
        <v>0</v>
      </c>
      <c r="I1220" s="7">
        <f t="shared" ref="I1220:K1251" si="109">IF($C1220=I$2,1,0)</f>
        <v>1</v>
      </c>
      <c r="J1220" s="7">
        <f t="shared" si="109"/>
        <v>0</v>
      </c>
      <c r="K1220" s="7">
        <f t="shared" si="109"/>
        <v>0</v>
      </c>
      <c r="L1220" s="11">
        <v>4058.1161000000002</v>
      </c>
      <c r="M1220" s="12" cm="1">
        <f t="array" ref="M1220">IF(($R$34+SUMPRODUCT(TRANSPOSE(D1220:K1220),$R$35:$R$42))&lt;0,"-",$R$34+SUMPRODUCT(TRANSPOSE(D1220:K1220),$R$35:$R$42))</f>
        <v>7943.4842140794462</v>
      </c>
      <c r="N1220" s="13" t="str">
        <f t="shared" si="106"/>
        <v>-</v>
      </c>
      <c r="O1220" s="13">
        <f t="shared" si="107"/>
        <v>20067.688791114568</v>
      </c>
    </row>
    <row r="1221" spans="1:15" x14ac:dyDescent="0.25">
      <c r="A1221" s="1" t="s">
        <v>0</v>
      </c>
      <c r="B1221" s="1" t="s">
        <v>1</v>
      </c>
      <c r="C1221" s="1" t="s">
        <v>2</v>
      </c>
      <c r="D1221" s="1">
        <v>46</v>
      </c>
      <c r="E1221" s="1">
        <v>34.6</v>
      </c>
      <c r="F1221" s="1">
        <v>1</v>
      </c>
      <c r="G1221" s="7">
        <f t="shared" si="105"/>
        <v>1</v>
      </c>
      <c r="H1221" s="7">
        <f t="shared" si="108"/>
        <v>1</v>
      </c>
      <c r="I1221" s="7">
        <f t="shared" si="109"/>
        <v>0</v>
      </c>
      <c r="J1221" s="7">
        <f t="shared" si="109"/>
        <v>0</v>
      </c>
      <c r="K1221" s="7">
        <f t="shared" si="109"/>
        <v>0</v>
      </c>
      <c r="L1221" s="11">
        <v>41661.601999999999</v>
      </c>
      <c r="M1221" s="12" cm="1">
        <f t="array" ref="M1221">IF(($R$34+SUMPRODUCT(TRANSPOSE(D1221:K1221),$R$35:$R$42))&lt;0,"-",$R$34+SUMPRODUCT(TRANSPOSE(D1221:K1221),$R$35:$R$42))</f>
        <v>34976.931231246963</v>
      </c>
      <c r="N1221" s="13">
        <f t="shared" si="106"/>
        <v>22852.726654211838</v>
      </c>
      <c r="O1221" s="13">
        <f t="shared" si="107"/>
        <v>47101.135808282088</v>
      </c>
    </row>
    <row r="1222" spans="1:15" x14ac:dyDescent="0.25">
      <c r="A1222" s="1" t="s">
        <v>0</v>
      </c>
      <c r="B1222" s="1" t="s">
        <v>4</v>
      </c>
      <c r="C1222" s="1" t="s">
        <v>6</v>
      </c>
      <c r="D1222" s="1">
        <v>38</v>
      </c>
      <c r="E1222" s="1">
        <v>30.21</v>
      </c>
      <c r="F1222" s="1">
        <v>3</v>
      </c>
      <c r="G1222" s="7">
        <f t="shared" si="105"/>
        <v>1</v>
      </c>
      <c r="H1222" s="7">
        <f t="shared" si="108"/>
        <v>0</v>
      </c>
      <c r="I1222" s="7">
        <f t="shared" si="109"/>
        <v>0</v>
      </c>
      <c r="J1222" s="7">
        <f t="shared" si="109"/>
        <v>1</v>
      </c>
      <c r="K1222" s="7">
        <f t="shared" si="109"/>
        <v>0</v>
      </c>
      <c r="L1222" s="11">
        <v>7537.1638999999996</v>
      </c>
      <c r="M1222" s="12" cm="1">
        <f t="array" ref="M1222">IF(($R$34+SUMPRODUCT(TRANSPOSE(D1222:K1222),$R$35:$R$42))&lt;0,"-",$R$34+SUMPRODUCT(TRANSPOSE(D1222:K1222),$R$35:$R$42))</f>
        <v>9142.5747898582486</v>
      </c>
      <c r="N1222" s="13" t="str">
        <f t="shared" si="106"/>
        <v>-</v>
      </c>
      <c r="O1222" s="13">
        <f t="shared" si="107"/>
        <v>21266.779366893374</v>
      </c>
    </row>
    <row r="1223" spans="1:15" x14ac:dyDescent="0.25">
      <c r="A1223" s="1" t="s">
        <v>0</v>
      </c>
      <c r="B1223" s="1" t="s">
        <v>4</v>
      </c>
      <c r="C1223" s="1" t="s">
        <v>7</v>
      </c>
      <c r="D1223" s="1">
        <v>30</v>
      </c>
      <c r="E1223" s="1">
        <v>21.945</v>
      </c>
      <c r="F1223" s="1">
        <v>1</v>
      </c>
      <c r="G1223" s="7">
        <f t="shared" si="105"/>
        <v>1</v>
      </c>
      <c r="H1223" s="7">
        <f t="shared" si="108"/>
        <v>0</v>
      </c>
      <c r="I1223" s="7">
        <f t="shared" si="109"/>
        <v>0</v>
      </c>
      <c r="J1223" s="7">
        <f t="shared" si="109"/>
        <v>0</v>
      </c>
      <c r="K1223" s="7">
        <f t="shared" si="109"/>
        <v>1</v>
      </c>
      <c r="L1223" s="11">
        <v>4718.2035500000002</v>
      </c>
      <c r="M1223" s="12" cm="1">
        <f t="array" ref="M1223">IF(($R$34+SUMPRODUCT(TRANSPOSE(D1223:K1223),$R$35:$R$42))&lt;0,"-",$R$34+SUMPRODUCT(TRANSPOSE(D1223:K1223),$R$35:$R$42))</f>
        <v>3686.2528845922461</v>
      </c>
      <c r="N1223" s="13" t="str">
        <f t="shared" si="106"/>
        <v>-</v>
      </c>
      <c r="O1223" s="13">
        <f t="shared" si="107"/>
        <v>15810.457461627369</v>
      </c>
    </row>
    <row r="1224" spans="1:15" x14ac:dyDescent="0.25">
      <c r="A1224" s="1" t="s">
        <v>3</v>
      </c>
      <c r="B1224" s="1" t="s">
        <v>4</v>
      </c>
      <c r="C1224" s="1" t="s">
        <v>5</v>
      </c>
      <c r="D1224" s="1">
        <v>40</v>
      </c>
      <c r="E1224" s="1">
        <v>24.97</v>
      </c>
      <c r="F1224" s="1">
        <v>2</v>
      </c>
      <c r="G1224" s="7">
        <f t="shared" si="105"/>
        <v>0</v>
      </c>
      <c r="H1224" s="7">
        <f t="shared" si="108"/>
        <v>0</v>
      </c>
      <c r="I1224" s="7">
        <f t="shared" si="109"/>
        <v>1</v>
      </c>
      <c r="J1224" s="7">
        <f t="shared" si="109"/>
        <v>0</v>
      </c>
      <c r="K1224" s="7">
        <f t="shared" si="109"/>
        <v>0</v>
      </c>
      <c r="L1224" s="11">
        <v>6593.5083000000004</v>
      </c>
      <c r="M1224" s="12" cm="1">
        <f t="array" ref="M1224">IF(($R$34+SUMPRODUCT(TRANSPOSE(D1224:K1224),$R$35:$R$42))&lt;0,"-",$R$34+SUMPRODUCT(TRANSPOSE(D1224:K1224),$R$35:$R$42))</f>
        <v>6590.0407435047273</v>
      </c>
      <c r="N1224" s="13" t="str">
        <f t="shared" si="106"/>
        <v>-</v>
      </c>
      <c r="O1224" s="13">
        <f t="shared" si="107"/>
        <v>18714.245320539849</v>
      </c>
    </row>
    <row r="1225" spans="1:15" x14ac:dyDescent="0.25">
      <c r="A1225" s="1" t="s">
        <v>3</v>
      </c>
      <c r="B1225" s="1" t="s">
        <v>4</v>
      </c>
      <c r="C1225" s="1" t="s">
        <v>5</v>
      </c>
      <c r="D1225" s="1">
        <v>50</v>
      </c>
      <c r="E1225" s="1">
        <v>25.3</v>
      </c>
      <c r="F1225" s="1">
        <v>0</v>
      </c>
      <c r="G1225" s="7">
        <f t="shared" si="105"/>
        <v>0</v>
      </c>
      <c r="H1225" s="7">
        <f t="shared" si="108"/>
        <v>0</v>
      </c>
      <c r="I1225" s="7">
        <f t="shared" si="109"/>
        <v>1</v>
      </c>
      <c r="J1225" s="7">
        <f t="shared" si="109"/>
        <v>0</v>
      </c>
      <c r="K1225" s="7">
        <f t="shared" si="109"/>
        <v>0</v>
      </c>
      <c r="L1225" s="11">
        <v>8442.6669999999995</v>
      </c>
      <c r="M1225" s="12" cm="1">
        <f t="array" ref="M1225">IF(($R$34+SUMPRODUCT(TRANSPOSE(D1225:K1225),$R$35:$R$42))&lt;0,"-",$R$34+SUMPRODUCT(TRANSPOSE(D1225:K1225),$R$35:$R$42))</f>
        <v>8319.5370182715196</v>
      </c>
      <c r="N1225" s="13" t="str">
        <f t="shared" si="106"/>
        <v>-</v>
      </c>
      <c r="O1225" s="13">
        <f t="shared" si="107"/>
        <v>20443.741595306645</v>
      </c>
    </row>
    <row r="1226" spans="1:15" x14ac:dyDescent="0.25">
      <c r="A1226" s="1" t="s">
        <v>0</v>
      </c>
      <c r="B1226" s="1" t="s">
        <v>1</v>
      </c>
      <c r="C1226" s="1" t="s">
        <v>5</v>
      </c>
      <c r="D1226" s="1">
        <v>20</v>
      </c>
      <c r="E1226" s="1">
        <v>24.42</v>
      </c>
      <c r="F1226" s="1">
        <v>0</v>
      </c>
      <c r="G1226" s="7">
        <f t="shared" si="105"/>
        <v>1</v>
      </c>
      <c r="H1226" s="7">
        <f t="shared" si="108"/>
        <v>1</v>
      </c>
      <c r="I1226" s="7">
        <f t="shared" si="109"/>
        <v>1</v>
      </c>
      <c r="J1226" s="7">
        <f t="shared" si="109"/>
        <v>0</v>
      </c>
      <c r="K1226" s="7">
        <f t="shared" si="109"/>
        <v>0</v>
      </c>
      <c r="L1226" s="11">
        <v>26125.674770000001</v>
      </c>
      <c r="M1226" s="12" cm="1">
        <f t="array" ref="M1226">IF(($R$34+SUMPRODUCT(TRANSPOSE(D1226:K1226),$R$35:$R$42))&lt;0,"-",$R$34+SUMPRODUCT(TRANSPOSE(D1226:K1226),$R$35:$R$42))</f>
        <v>24295.205104281442</v>
      </c>
      <c r="N1226" s="13">
        <f t="shared" si="106"/>
        <v>12171.000527246319</v>
      </c>
      <c r="O1226" s="13">
        <f t="shared" si="107"/>
        <v>36419.409681316567</v>
      </c>
    </row>
    <row r="1227" spans="1:15" x14ac:dyDescent="0.25">
      <c r="A1227" s="1" t="s">
        <v>3</v>
      </c>
      <c r="B1227" s="1" t="s">
        <v>4</v>
      </c>
      <c r="C1227" s="1" t="s">
        <v>7</v>
      </c>
      <c r="D1227" s="1">
        <v>41</v>
      </c>
      <c r="E1227" s="1">
        <v>23.94</v>
      </c>
      <c r="F1227" s="1">
        <v>1</v>
      </c>
      <c r="G1227" s="7">
        <f t="shared" si="105"/>
        <v>0</v>
      </c>
      <c r="H1227" s="7">
        <f t="shared" si="108"/>
        <v>0</v>
      </c>
      <c r="I1227" s="7">
        <f t="shared" si="109"/>
        <v>0</v>
      </c>
      <c r="J1227" s="7">
        <f t="shared" si="109"/>
        <v>0</v>
      </c>
      <c r="K1227" s="7">
        <f t="shared" si="109"/>
        <v>1</v>
      </c>
      <c r="L1227" s="11">
        <v>6858.4795999999997</v>
      </c>
      <c r="M1227" s="12" cm="1">
        <f t="array" ref="M1227">IF(($R$34+SUMPRODUCT(TRANSPOSE(D1227:K1227),$R$35:$R$42))&lt;0,"-",$R$34+SUMPRODUCT(TRANSPOSE(D1227:K1227),$R$35:$R$42))</f>
        <v>7057.049343061597</v>
      </c>
      <c r="N1227" s="13" t="str">
        <f t="shared" si="106"/>
        <v>-</v>
      </c>
      <c r="O1227" s="13">
        <f t="shared" si="107"/>
        <v>19181.253920096722</v>
      </c>
    </row>
    <row r="1228" spans="1:15" x14ac:dyDescent="0.25">
      <c r="A1228" s="1" t="s">
        <v>0</v>
      </c>
      <c r="B1228" s="1" t="s">
        <v>4</v>
      </c>
      <c r="C1228" s="1" t="s">
        <v>5</v>
      </c>
      <c r="D1228" s="1">
        <v>33</v>
      </c>
      <c r="E1228" s="1">
        <v>39.82</v>
      </c>
      <c r="F1228" s="1">
        <v>1</v>
      </c>
      <c r="G1228" s="7">
        <f t="shared" si="105"/>
        <v>1</v>
      </c>
      <c r="H1228" s="7">
        <f t="shared" si="108"/>
        <v>0</v>
      </c>
      <c r="I1228" s="7">
        <f t="shared" si="109"/>
        <v>1</v>
      </c>
      <c r="J1228" s="7">
        <f t="shared" si="109"/>
        <v>0</v>
      </c>
      <c r="K1228" s="7">
        <f t="shared" si="109"/>
        <v>0</v>
      </c>
      <c r="L1228" s="11">
        <v>4795.6567999999997</v>
      </c>
      <c r="M1228" s="12" cm="1">
        <f t="array" ref="M1228">IF(($R$34+SUMPRODUCT(TRANSPOSE(D1228:K1228),$R$35:$R$42))&lt;0,"-",$R$34+SUMPRODUCT(TRANSPOSE(D1228:K1228),$R$35:$R$42))</f>
        <v>9484.8828761102413</v>
      </c>
      <c r="N1228" s="13" t="str">
        <f t="shared" si="106"/>
        <v>-</v>
      </c>
      <c r="O1228" s="13">
        <f t="shared" si="107"/>
        <v>21609.087453145366</v>
      </c>
    </row>
    <row r="1229" spans="1:15" x14ac:dyDescent="0.25">
      <c r="A1229" s="1" t="s">
        <v>3</v>
      </c>
      <c r="B1229" s="1" t="s">
        <v>4</v>
      </c>
      <c r="C1229" s="1" t="s">
        <v>7</v>
      </c>
      <c r="D1229" s="1">
        <v>38</v>
      </c>
      <c r="E1229" s="1">
        <v>16.815000000000001</v>
      </c>
      <c r="F1229" s="1">
        <v>2</v>
      </c>
      <c r="G1229" s="7">
        <f t="shared" si="105"/>
        <v>0</v>
      </c>
      <c r="H1229" s="7">
        <f t="shared" si="108"/>
        <v>0</v>
      </c>
      <c r="I1229" s="7">
        <f t="shared" si="109"/>
        <v>0</v>
      </c>
      <c r="J1229" s="7">
        <f t="shared" si="109"/>
        <v>0</v>
      </c>
      <c r="K1229" s="7">
        <f t="shared" si="109"/>
        <v>1</v>
      </c>
      <c r="L1229" s="11">
        <v>6640.5448500000002</v>
      </c>
      <c r="M1229" s="12" cm="1">
        <f t="array" ref="M1229">IF(($R$34+SUMPRODUCT(TRANSPOSE(D1229:K1229),$R$35:$R$42))&lt;0,"-",$R$34+SUMPRODUCT(TRANSPOSE(D1229:K1229),$R$35:$R$42))</f>
        <v>4345.2274736214495</v>
      </c>
      <c r="N1229" s="13" t="str">
        <f t="shared" si="106"/>
        <v>-</v>
      </c>
      <c r="O1229" s="13">
        <f t="shared" si="107"/>
        <v>16469.432050656571</v>
      </c>
    </row>
    <row r="1230" spans="1:15" x14ac:dyDescent="0.25">
      <c r="A1230" s="1" t="s">
        <v>3</v>
      </c>
      <c r="B1230" s="1" t="s">
        <v>4</v>
      </c>
      <c r="C1230" s="1" t="s">
        <v>5</v>
      </c>
      <c r="D1230" s="1">
        <v>42</v>
      </c>
      <c r="E1230" s="1">
        <v>37.18</v>
      </c>
      <c r="F1230" s="1">
        <v>2</v>
      </c>
      <c r="G1230" s="7">
        <f t="shared" si="105"/>
        <v>0</v>
      </c>
      <c r="H1230" s="7">
        <f t="shared" si="108"/>
        <v>0</v>
      </c>
      <c r="I1230" s="7">
        <f t="shared" si="109"/>
        <v>1</v>
      </c>
      <c r="J1230" s="7">
        <f t="shared" si="109"/>
        <v>0</v>
      </c>
      <c r="K1230" s="7">
        <f t="shared" si="109"/>
        <v>0</v>
      </c>
      <c r="L1230" s="11">
        <v>7162.0122000000001</v>
      </c>
      <c r="M1230" s="12" cm="1">
        <f t="array" ref="M1230">IF(($R$34+SUMPRODUCT(TRANSPOSE(D1230:K1230),$R$35:$R$42))&lt;0,"-",$R$34+SUMPRODUCT(TRANSPOSE(D1230:K1230),$R$35:$R$42))</f>
        <v>11245.305517167781</v>
      </c>
      <c r="N1230" s="13" t="str">
        <f t="shared" si="106"/>
        <v>-</v>
      </c>
      <c r="O1230" s="13">
        <f t="shared" si="107"/>
        <v>23369.510094202902</v>
      </c>
    </row>
    <row r="1231" spans="1:15" x14ac:dyDescent="0.25">
      <c r="A1231" s="1" t="s">
        <v>3</v>
      </c>
      <c r="B1231" s="1" t="s">
        <v>4</v>
      </c>
      <c r="C1231" s="1" t="s">
        <v>5</v>
      </c>
      <c r="D1231" s="1">
        <v>56</v>
      </c>
      <c r="E1231" s="1">
        <v>34.43</v>
      </c>
      <c r="F1231" s="1">
        <v>0</v>
      </c>
      <c r="G1231" s="7">
        <f t="shared" si="105"/>
        <v>0</v>
      </c>
      <c r="H1231" s="7">
        <f t="shared" si="108"/>
        <v>0</v>
      </c>
      <c r="I1231" s="7">
        <f t="shared" si="109"/>
        <v>1</v>
      </c>
      <c r="J1231" s="7">
        <f t="shared" si="109"/>
        <v>0</v>
      </c>
      <c r="K1231" s="7">
        <f t="shared" si="109"/>
        <v>0</v>
      </c>
      <c r="L1231" s="11">
        <v>10594.225700000001</v>
      </c>
      <c r="M1231" s="12" cm="1">
        <f t="array" ref="M1231">IF(($R$34+SUMPRODUCT(TRANSPOSE(D1231:K1231),$R$35:$R$42))&lt;0,"-",$R$34+SUMPRODUCT(TRANSPOSE(D1231:K1231),$R$35:$R$42))</f>
        <v>12957.511364962578</v>
      </c>
      <c r="N1231" s="13">
        <f t="shared" si="106"/>
        <v>833.30678792745493</v>
      </c>
      <c r="O1231" s="13">
        <f t="shared" si="107"/>
        <v>25081.715941997703</v>
      </c>
    </row>
    <row r="1232" spans="1:15" x14ac:dyDescent="0.25">
      <c r="A1232" s="1" t="s">
        <v>3</v>
      </c>
      <c r="B1232" s="1" t="s">
        <v>4</v>
      </c>
      <c r="C1232" s="1" t="s">
        <v>7</v>
      </c>
      <c r="D1232" s="1">
        <v>58</v>
      </c>
      <c r="E1232" s="1">
        <v>30.305</v>
      </c>
      <c r="F1232" s="1">
        <v>0</v>
      </c>
      <c r="G1232" s="7">
        <f t="shared" si="105"/>
        <v>0</v>
      </c>
      <c r="H1232" s="7">
        <f t="shared" si="108"/>
        <v>0</v>
      </c>
      <c r="I1232" s="7">
        <f t="shared" si="109"/>
        <v>0</v>
      </c>
      <c r="J1232" s="7">
        <f t="shared" si="109"/>
        <v>0</v>
      </c>
      <c r="K1232" s="7">
        <f t="shared" si="109"/>
        <v>1</v>
      </c>
      <c r="L1232" s="11">
        <v>11938.255950000001</v>
      </c>
      <c r="M1232" s="12" cm="1">
        <f t="array" ref="M1232">IF(($R$34+SUMPRODUCT(TRANSPOSE(D1232:K1232),$R$35:$R$42))&lt;0,"-",$R$34+SUMPRODUCT(TRANSPOSE(D1232:K1232),$R$35:$R$42))</f>
        <v>13107.073123280374</v>
      </c>
      <c r="N1232" s="13">
        <f t="shared" si="106"/>
        <v>982.8685462452504</v>
      </c>
      <c r="O1232" s="13">
        <f t="shared" si="107"/>
        <v>25231.277700315499</v>
      </c>
    </row>
    <row r="1233" spans="1:15" x14ac:dyDescent="0.25">
      <c r="A1233" s="1" t="s">
        <v>3</v>
      </c>
      <c r="B1233" s="1" t="s">
        <v>1</v>
      </c>
      <c r="C1233" s="1" t="s">
        <v>6</v>
      </c>
      <c r="D1233" s="1">
        <v>52</v>
      </c>
      <c r="E1233" s="1">
        <v>34.484999999999999</v>
      </c>
      <c r="F1233" s="1">
        <v>3</v>
      </c>
      <c r="G1233" s="7">
        <f t="shared" si="105"/>
        <v>0</v>
      </c>
      <c r="H1233" s="7">
        <f t="shared" si="108"/>
        <v>1</v>
      </c>
      <c r="I1233" s="7">
        <f t="shared" si="109"/>
        <v>0</v>
      </c>
      <c r="J1233" s="7">
        <f t="shared" si="109"/>
        <v>1</v>
      </c>
      <c r="K1233" s="7">
        <f t="shared" si="109"/>
        <v>0</v>
      </c>
      <c r="L1233" s="11">
        <v>60021.398970000002</v>
      </c>
      <c r="M1233" s="12" cm="1">
        <f t="array" ref="M1233">IF(($R$34+SUMPRODUCT(TRANSPOSE(D1233:K1233),$R$35:$R$42))&lt;0,"-",$R$34+SUMPRODUCT(TRANSPOSE(D1233:K1233),$R$35:$R$42))</f>
        <v>37905.835922085149</v>
      </c>
      <c r="N1233" s="13">
        <f t="shared" si="106"/>
        <v>25781.631345050024</v>
      </c>
      <c r="O1233" s="13">
        <f t="shared" si="107"/>
        <v>50030.040499120274</v>
      </c>
    </row>
    <row r="1234" spans="1:15" x14ac:dyDescent="0.25">
      <c r="A1234" s="1" t="s">
        <v>0</v>
      </c>
      <c r="B1234" s="1" t="s">
        <v>1</v>
      </c>
      <c r="C1234" s="1" t="s">
        <v>2</v>
      </c>
      <c r="D1234" s="1">
        <v>20</v>
      </c>
      <c r="E1234" s="1">
        <v>21.8</v>
      </c>
      <c r="F1234" s="1">
        <v>0</v>
      </c>
      <c r="G1234" s="7">
        <f t="shared" si="105"/>
        <v>1</v>
      </c>
      <c r="H1234" s="7">
        <f t="shared" si="108"/>
        <v>1</v>
      </c>
      <c r="I1234" s="7">
        <f t="shared" si="109"/>
        <v>0</v>
      </c>
      <c r="J1234" s="7">
        <f t="shared" si="109"/>
        <v>0</v>
      </c>
      <c r="K1234" s="7">
        <f t="shared" si="109"/>
        <v>0</v>
      </c>
      <c r="L1234" s="11">
        <v>20167.336029999999</v>
      </c>
      <c r="M1234" s="12" cm="1">
        <f t="array" ref="M1234">IF(($R$34+SUMPRODUCT(TRANSPOSE(D1234:K1234),$R$35:$R$42))&lt;0,"-",$R$34+SUMPRODUCT(TRANSPOSE(D1234:K1234),$R$35:$R$42))</f>
        <v>23481.489313908023</v>
      </c>
      <c r="N1234" s="13">
        <f t="shared" si="106"/>
        <v>11357.2847368729</v>
      </c>
      <c r="O1234" s="13">
        <f t="shared" si="107"/>
        <v>35605.693890943148</v>
      </c>
    </row>
    <row r="1235" spans="1:15" x14ac:dyDescent="0.25">
      <c r="A1235" s="1" t="s">
        <v>0</v>
      </c>
      <c r="B1235" s="1" t="s">
        <v>4</v>
      </c>
      <c r="C1235" s="1" t="s">
        <v>6</v>
      </c>
      <c r="D1235" s="1">
        <v>54</v>
      </c>
      <c r="E1235" s="1">
        <v>24.605</v>
      </c>
      <c r="F1235" s="1">
        <v>3</v>
      </c>
      <c r="G1235" s="7">
        <f t="shared" si="105"/>
        <v>1</v>
      </c>
      <c r="H1235" s="7">
        <f t="shared" si="108"/>
        <v>0</v>
      </c>
      <c r="I1235" s="7">
        <f t="shared" si="109"/>
        <v>0</v>
      </c>
      <c r="J1235" s="7">
        <f t="shared" si="109"/>
        <v>1</v>
      </c>
      <c r="K1235" s="7">
        <f t="shared" si="109"/>
        <v>0</v>
      </c>
      <c r="L1235" s="11">
        <v>12479.70895</v>
      </c>
      <c r="M1235" s="12" cm="1">
        <f t="array" ref="M1235">IF(($R$34+SUMPRODUCT(TRANSPOSE(D1235:K1235),$R$35:$R$42))&lt;0,"-",$R$34+SUMPRODUCT(TRANSPOSE(D1235:K1235),$R$35:$R$42))</f>
        <v>11351.097122967058</v>
      </c>
      <c r="N1235" s="13" t="str">
        <f t="shared" si="106"/>
        <v>-</v>
      </c>
      <c r="O1235" s="13">
        <f t="shared" si="107"/>
        <v>23475.301700002179</v>
      </c>
    </row>
    <row r="1236" spans="1:15" x14ac:dyDescent="0.25">
      <c r="A1236" s="1" t="s">
        <v>3</v>
      </c>
      <c r="B1236" s="1" t="s">
        <v>4</v>
      </c>
      <c r="C1236" s="1" t="s">
        <v>2</v>
      </c>
      <c r="D1236" s="1">
        <v>58</v>
      </c>
      <c r="E1236" s="1">
        <v>23.3</v>
      </c>
      <c r="F1236" s="1">
        <v>0</v>
      </c>
      <c r="G1236" s="7">
        <f t="shared" si="105"/>
        <v>0</v>
      </c>
      <c r="H1236" s="7">
        <f t="shared" si="108"/>
        <v>0</v>
      </c>
      <c r="I1236" s="7">
        <f t="shared" si="109"/>
        <v>0</v>
      </c>
      <c r="J1236" s="7">
        <f t="shared" si="109"/>
        <v>0</v>
      </c>
      <c r="K1236" s="7">
        <f t="shared" si="109"/>
        <v>0</v>
      </c>
      <c r="L1236" s="11">
        <v>11345.519</v>
      </c>
      <c r="M1236" s="12" cm="1">
        <f t="array" ref="M1236">IF(($R$34+SUMPRODUCT(TRANSPOSE(D1236:K1236),$R$35:$R$42))&lt;0,"-",$R$34+SUMPRODUCT(TRANSPOSE(D1236:K1236),$R$35:$R$42))</f>
        <v>9770.9719894356094</v>
      </c>
      <c r="N1236" s="13" t="str">
        <f t="shared" si="106"/>
        <v>-</v>
      </c>
      <c r="O1236" s="13">
        <f t="shared" si="107"/>
        <v>21895.176566470735</v>
      </c>
    </row>
    <row r="1237" spans="1:15" x14ac:dyDescent="0.25">
      <c r="A1237" s="1" t="s">
        <v>0</v>
      </c>
      <c r="B1237" s="1" t="s">
        <v>4</v>
      </c>
      <c r="C1237" s="1" t="s">
        <v>5</v>
      </c>
      <c r="D1237" s="1">
        <v>45</v>
      </c>
      <c r="E1237" s="1">
        <v>27.83</v>
      </c>
      <c r="F1237" s="1">
        <v>2</v>
      </c>
      <c r="G1237" s="7">
        <f t="shared" si="105"/>
        <v>1</v>
      </c>
      <c r="H1237" s="7">
        <f t="shared" si="108"/>
        <v>0</v>
      </c>
      <c r="I1237" s="7">
        <f t="shared" si="109"/>
        <v>1</v>
      </c>
      <c r="J1237" s="7">
        <f t="shared" si="109"/>
        <v>0</v>
      </c>
      <c r="K1237" s="7">
        <f t="shared" si="109"/>
        <v>0</v>
      </c>
      <c r="L1237" s="11">
        <v>8515.7587000000003</v>
      </c>
      <c r="M1237" s="12" cm="1">
        <f t="array" ref="M1237">IF(($R$34+SUMPRODUCT(TRANSPOSE(D1237:K1237),$R$35:$R$42))&lt;0,"-",$R$34+SUMPRODUCT(TRANSPOSE(D1237:K1237),$R$35:$R$42))</f>
        <v>8975.7301429135732</v>
      </c>
      <c r="N1237" s="13" t="str">
        <f t="shared" si="106"/>
        <v>-</v>
      </c>
      <c r="O1237" s="13">
        <f t="shared" si="107"/>
        <v>21099.934719948695</v>
      </c>
    </row>
    <row r="1238" spans="1:15" x14ac:dyDescent="0.25">
      <c r="A1238" s="1" t="s">
        <v>3</v>
      </c>
      <c r="B1238" s="1" t="s">
        <v>4</v>
      </c>
      <c r="C1238" s="1" t="s">
        <v>6</v>
      </c>
      <c r="D1238" s="1">
        <v>26</v>
      </c>
      <c r="E1238" s="1">
        <v>31.065000000000001</v>
      </c>
      <c r="F1238" s="1">
        <v>0</v>
      </c>
      <c r="G1238" s="7">
        <f t="shared" si="105"/>
        <v>0</v>
      </c>
      <c r="H1238" s="7">
        <f t="shared" si="108"/>
        <v>0</v>
      </c>
      <c r="I1238" s="7">
        <f t="shared" si="109"/>
        <v>0</v>
      </c>
      <c r="J1238" s="7">
        <f t="shared" si="109"/>
        <v>1</v>
      </c>
      <c r="K1238" s="7">
        <f t="shared" si="109"/>
        <v>0</v>
      </c>
      <c r="L1238" s="11">
        <v>2699.56835</v>
      </c>
      <c r="M1238" s="12" cm="1">
        <f t="array" ref="M1238">IF(($R$34+SUMPRODUCT(TRANSPOSE(D1238:K1238),$R$35:$R$42))&lt;0,"-",$R$34+SUMPRODUCT(TRANSPOSE(D1238:K1238),$R$35:$R$42))</f>
        <v>4792.4929674048362</v>
      </c>
      <c r="N1238" s="13" t="str">
        <f t="shared" si="106"/>
        <v>-</v>
      </c>
      <c r="O1238" s="13">
        <f t="shared" si="107"/>
        <v>16916.697544439958</v>
      </c>
    </row>
    <row r="1239" spans="1:15" x14ac:dyDescent="0.25">
      <c r="A1239" s="1" t="s">
        <v>0</v>
      </c>
      <c r="B1239" s="1" t="s">
        <v>4</v>
      </c>
      <c r="C1239" s="1" t="s">
        <v>7</v>
      </c>
      <c r="D1239" s="1">
        <v>63</v>
      </c>
      <c r="E1239" s="1">
        <v>21.66</v>
      </c>
      <c r="F1239" s="1">
        <v>0</v>
      </c>
      <c r="G1239" s="7">
        <f t="shared" si="105"/>
        <v>1</v>
      </c>
      <c r="H1239" s="7">
        <f t="shared" si="108"/>
        <v>0</v>
      </c>
      <c r="I1239" s="7">
        <f t="shared" si="109"/>
        <v>0</v>
      </c>
      <c r="J1239" s="7">
        <f t="shared" si="109"/>
        <v>0</v>
      </c>
      <c r="K1239" s="7">
        <f t="shared" si="109"/>
        <v>1</v>
      </c>
      <c r="L1239" s="11">
        <v>14449.8544</v>
      </c>
      <c r="M1239" s="12" cm="1">
        <f t="array" ref="M1239">IF(($R$34+SUMPRODUCT(TRANSPOSE(D1239:K1239),$R$35:$R$42))&lt;0,"-",$R$34+SUMPRODUCT(TRANSPOSE(D1239:K1239),$R$35:$R$42))</f>
        <v>11590.341838896507</v>
      </c>
      <c r="N1239" s="13" t="str">
        <f t="shared" si="106"/>
        <v>-</v>
      </c>
      <c r="O1239" s="13">
        <f t="shared" si="107"/>
        <v>23714.546415931633</v>
      </c>
    </row>
    <row r="1240" spans="1:15" x14ac:dyDescent="0.25">
      <c r="A1240" s="1" t="s">
        <v>0</v>
      </c>
      <c r="B1240" s="1" t="s">
        <v>4</v>
      </c>
      <c r="C1240" s="1" t="s">
        <v>6</v>
      </c>
      <c r="D1240" s="1">
        <v>58</v>
      </c>
      <c r="E1240" s="1">
        <v>28.215</v>
      </c>
      <c r="F1240" s="1">
        <v>0</v>
      </c>
      <c r="G1240" s="7">
        <f t="shared" si="105"/>
        <v>1</v>
      </c>
      <c r="H1240" s="7">
        <f t="shared" si="108"/>
        <v>0</v>
      </c>
      <c r="I1240" s="7">
        <f t="shared" si="109"/>
        <v>0</v>
      </c>
      <c r="J1240" s="7">
        <f t="shared" si="109"/>
        <v>1</v>
      </c>
      <c r="K1240" s="7">
        <f t="shared" si="109"/>
        <v>0</v>
      </c>
      <c r="L1240" s="11">
        <v>12224.350850000001</v>
      </c>
      <c r="M1240" s="12" cm="1">
        <f t="array" ref="M1240">IF(($R$34+SUMPRODUCT(TRANSPOSE(D1240:K1240),$R$35:$R$42))&lt;0,"-",$R$34+SUMPRODUCT(TRANSPOSE(D1240:K1240),$R$35:$R$42))</f>
        <v>12176.509265204186</v>
      </c>
      <c r="N1240" s="13">
        <f t="shared" si="106"/>
        <v>52.304688169062501</v>
      </c>
      <c r="O1240" s="13">
        <f t="shared" si="107"/>
        <v>24300.713842239311</v>
      </c>
    </row>
    <row r="1241" spans="1:15" x14ac:dyDescent="0.25">
      <c r="A1241" s="1" t="s">
        <v>3</v>
      </c>
      <c r="B1241" s="1" t="s">
        <v>4</v>
      </c>
      <c r="C1241" s="1" t="s">
        <v>7</v>
      </c>
      <c r="D1241" s="1">
        <v>37</v>
      </c>
      <c r="E1241" s="1">
        <v>22.704999999999998</v>
      </c>
      <c r="F1241" s="1">
        <v>3</v>
      </c>
      <c r="G1241" s="7">
        <f t="shared" si="105"/>
        <v>0</v>
      </c>
      <c r="H1241" s="7">
        <f t="shared" si="108"/>
        <v>0</v>
      </c>
      <c r="I1241" s="7">
        <f t="shared" si="109"/>
        <v>0</v>
      </c>
      <c r="J1241" s="7">
        <f t="shared" si="109"/>
        <v>0</v>
      </c>
      <c r="K1241" s="7">
        <f t="shared" si="109"/>
        <v>1</v>
      </c>
      <c r="L1241" s="11">
        <v>6985.50695</v>
      </c>
      <c r="M1241" s="12" cm="1">
        <f t="array" ref="M1241">IF(($R$34+SUMPRODUCT(TRANSPOSE(D1241:K1241),$R$35:$R$42))&lt;0,"-",$R$34+SUMPRODUCT(TRANSPOSE(D1241:K1241),$R$35:$R$42))</f>
        <v>6561.721108001082</v>
      </c>
      <c r="N1241" s="13" t="str">
        <f t="shared" si="106"/>
        <v>-</v>
      </c>
      <c r="O1241" s="13">
        <f t="shared" si="107"/>
        <v>18685.925685036207</v>
      </c>
    </row>
    <row r="1242" spans="1:15" x14ac:dyDescent="0.25">
      <c r="A1242" s="1" t="s">
        <v>0</v>
      </c>
      <c r="B1242" s="1" t="s">
        <v>4</v>
      </c>
      <c r="C1242" s="1" t="s">
        <v>5</v>
      </c>
      <c r="D1242" s="1">
        <v>25</v>
      </c>
      <c r="E1242" s="1">
        <v>42.13</v>
      </c>
      <c r="F1242" s="1">
        <v>1</v>
      </c>
      <c r="G1242" s="7">
        <f t="shared" si="105"/>
        <v>1</v>
      </c>
      <c r="H1242" s="7">
        <f t="shared" si="108"/>
        <v>0</v>
      </c>
      <c r="I1242" s="7">
        <f t="shared" si="109"/>
        <v>1</v>
      </c>
      <c r="J1242" s="7">
        <f t="shared" si="109"/>
        <v>0</v>
      </c>
      <c r="K1242" s="7">
        <f t="shared" si="109"/>
        <v>0</v>
      </c>
      <c r="L1242" s="11">
        <v>3238.4357</v>
      </c>
      <c r="M1242" s="12" cm="1">
        <f t="array" ref="M1242">IF(($R$34+SUMPRODUCT(TRANSPOSE(D1242:K1242),$R$35:$R$42))&lt;0,"-",$R$34+SUMPRODUCT(TRANSPOSE(D1242:K1242),$R$35:$R$42))</f>
        <v>8213.5689336524993</v>
      </c>
      <c r="N1242" s="13" t="str">
        <f t="shared" si="106"/>
        <v>-</v>
      </c>
      <c r="O1242" s="13">
        <f t="shared" si="107"/>
        <v>20337.773510687621</v>
      </c>
    </row>
    <row r="1243" spans="1:15" x14ac:dyDescent="0.25">
      <c r="A1243" s="1" t="s">
        <v>3</v>
      </c>
      <c r="B1243" s="1" t="s">
        <v>1</v>
      </c>
      <c r="C1243" s="1" t="s">
        <v>5</v>
      </c>
      <c r="D1243" s="1">
        <v>52</v>
      </c>
      <c r="E1243" s="1">
        <v>41.8</v>
      </c>
      <c r="F1243" s="1">
        <v>2</v>
      </c>
      <c r="G1243" s="7">
        <f t="shared" si="105"/>
        <v>0</v>
      </c>
      <c r="H1243" s="7">
        <f t="shared" si="108"/>
        <v>1</v>
      </c>
      <c r="I1243" s="7">
        <f t="shared" si="109"/>
        <v>1</v>
      </c>
      <c r="J1243" s="7">
        <f t="shared" si="109"/>
        <v>0</v>
      </c>
      <c r="K1243" s="7">
        <f t="shared" si="109"/>
        <v>0</v>
      </c>
      <c r="L1243" s="11">
        <v>47269.853999999999</v>
      </c>
      <c r="M1243" s="12" cm="1">
        <f t="array" ref="M1243">IF(($R$34+SUMPRODUCT(TRANSPOSE(D1243:K1243),$R$35:$R$42))&lt;0,"-",$R$34+SUMPRODUCT(TRANSPOSE(D1243:K1243),$R$35:$R$42))</f>
        <v>39229.477340136131</v>
      </c>
      <c r="N1243" s="13">
        <f t="shared" si="106"/>
        <v>27105.272763101006</v>
      </c>
      <c r="O1243" s="13">
        <f t="shared" si="107"/>
        <v>51353.681917171256</v>
      </c>
    </row>
    <row r="1244" spans="1:15" x14ac:dyDescent="0.25">
      <c r="A1244" s="1" t="s">
        <v>3</v>
      </c>
      <c r="B1244" s="1" t="s">
        <v>1</v>
      </c>
      <c r="C1244" s="1" t="s">
        <v>5</v>
      </c>
      <c r="D1244" s="1">
        <v>64</v>
      </c>
      <c r="E1244" s="1">
        <v>36.96</v>
      </c>
      <c r="F1244" s="1">
        <v>2</v>
      </c>
      <c r="G1244" s="7">
        <f t="shared" si="105"/>
        <v>0</v>
      </c>
      <c r="H1244" s="7">
        <f t="shared" si="108"/>
        <v>1</v>
      </c>
      <c r="I1244" s="7">
        <f t="shared" si="109"/>
        <v>1</v>
      </c>
      <c r="J1244" s="7">
        <f t="shared" si="109"/>
        <v>0</v>
      </c>
      <c r="K1244" s="7">
        <f t="shared" si="109"/>
        <v>0</v>
      </c>
      <c r="L1244" s="11">
        <v>49577.662400000001</v>
      </c>
      <c r="M1244" s="12" cm="1">
        <f t="array" ref="M1244">IF(($R$34+SUMPRODUCT(TRANSPOSE(D1244:K1244),$R$35:$R$42))&lt;0,"-",$R$34+SUMPRODUCT(TRANSPOSE(D1244:K1244),$R$35:$R$42))</f>
        <v>40670.057255107844</v>
      </c>
      <c r="N1244" s="13">
        <f t="shared" si="106"/>
        <v>28545.852678072719</v>
      </c>
      <c r="O1244" s="13">
        <f t="shared" si="107"/>
        <v>52794.261832142969</v>
      </c>
    </row>
    <row r="1245" spans="1:15" x14ac:dyDescent="0.25">
      <c r="A1245" s="1" t="s">
        <v>0</v>
      </c>
      <c r="B1245" s="1" t="s">
        <v>4</v>
      </c>
      <c r="C1245" s="1" t="s">
        <v>6</v>
      </c>
      <c r="D1245" s="1">
        <v>22</v>
      </c>
      <c r="E1245" s="1">
        <v>21.28</v>
      </c>
      <c r="F1245" s="1">
        <v>3</v>
      </c>
      <c r="G1245" s="7">
        <f t="shared" si="105"/>
        <v>1</v>
      </c>
      <c r="H1245" s="7">
        <f t="shared" si="108"/>
        <v>0</v>
      </c>
      <c r="I1245" s="7">
        <f t="shared" si="109"/>
        <v>0</v>
      </c>
      <c r="J1245" s="7">
        <f t="shared" si="109"/>
        <v>1</v>
      </c>
      <c r="K1245" s="7">
        <f t="shared" si="109"/>
        <v>0</v>
      </c>
      <c r="L1245" s="11">
        <v>4296.2712000000001</v>
      </c>
      <c r="M1245" s="12" cm="1">
        <f t="array" ref="M1245">IF(($R$34+SUMPRODUCT(TRANSPOSE(D1245:K1245),$R$35:$R$42))&lt;0,"-",$R$34+SUMPRODUCT(TRANSPOSE(D1245:K1245),$R$35:$R$42))</f>
        <v>2003.875608515882</v>
      </c>
      <c r="N1245" s="13" t="str">
        <f t="shared" si="106"/>
        <v>-</v>
      </c>
      <c r="O1245" s="13">
        <f t="shared" si="107"/>
        <v>14128.080185551005</v>
      </c>
    </row>
    <row r="1246" spans="1:15" x14ac:dyDescent="0.25">
      <c r="A1246" s="1" t="s">
        <v>0</v>
      </c>
      <c r="B1246" s="1" t="s">
        <v>4</v>
      </c>
      <c r="C1246" s="1" t="s">
        <v>5</v>
      </c>
      <c r="D1246" s="1">
        <v>28</v>
      </c>
      <c r="E1246" s="1">
        <v>33.11</v>
      </c>
      <c r="F1246" s="1">
        <v>0</v>
      </c>
      <c r="G1246" s="7">
        <f t="shared" si="105"/>
        <v>1</v>
      </c>
      <c r="H1246" s="7">
        <f t="shared" si="108"/>
        <v>0</v>
      </c>
      <c r="I1246" s="7">
        <f t="shared" si="109"/>
        <v>1</v>
      </c>
      <c r="J1246" s="7">
        <f t="shared" si="109"/>
        <v>0</v>
      </c>
      <c r="K1246" s="7">
        <f t="shared" si="109"/>
        <v>0</v>
      </c>
      <c r="L1246" s="11">
        <v>3171.6149</v>
      </c>
      <c r="M1246" s="12" cm="1">
        <f t="array" ref="M1246">IF(($R$34+SUMPRODUCT(TRANSPOSE(D1246:K1246),$R$35:$R$42))&lt;0,"-",$R$34+SUMPRODUCT(TRANSPOSE(D1246:K1246),$R$35:$R$42))</f>
        <v>5449.1124945456286</v>
      </c>
      <c r="N1246" s="13" t="str">
        <f t="shared" si="106"/>
        <v>-</v>
      </c>
      <c r="O1246" s="13">
        <f t="shared" si="107"/>
        <v>17573.31707158075</v>
      </c>
    </row>
    <row r="1247" spans="1:15" x14ac:dyDescent="0.25">
      <c r="A1247" s="1" t="s">
        <v>3</v>
      </c>
      <c r="B1247" s="1" t="s">
        <v>4</v>
      </c>
      <c r="C1247" s="1" t="s">
        <v>5</v>
      </c>
      <c r="D1247" s="1">
        <v>18</v>
      </c>
      <c r="E1247" s="1">
        <v>33.33</v>
      </c>
      <c r="F1247" s="1">
        <v>0</v>
      </c>
      <c r="G1247" s="7">
        <f t="shared" si="105"/>
        <v>0</v>
      </c>
      <c r="H1247" s="7">
        <f t="shared" si="108"/>
        <v>0</v>
      </c>
      <c r="I1247" s="7">
        <f t="shared" si="109"/>
        <v>1</v>
      </c>
      <c r="J1247" s="7">
        <f t="shared" si="109"/>
        <v>0</v>
      </c>
      <c r="K1247" s="7">
        <f t="shared" si="109"/>
        <v>0</v>
      </c>
      <c r="L1247" s="11">
        <v>1135.9407000000001</v>
      </c>
      <c r="M1247" s="12" cm="1">
        <f t="array" ref="M1247">IF(($R$34+SUMPRODUCT(TRANSPOSE(D1247:K1247),$R$35:$R$42))&lt;0,"-",$R$34+SUMPRODUCT(TRANSPOSE(D1247:K1247),$R$35:$R$42))</f>
        <v>2823.857169571429</v>
      </c>
      <c r="N1247" s="13" t="str">
        <f t="shared" si="106"/>
        <v>-</v>
      </c>
      <c r="O1247" s="13">
        <f t="shared" si="107"/>
        <v>14948.061746606552</v>
      </c>
    </row>
    <row r="1248" spans="1:15" x14ac:dyDescent="0.25">
      <c r="A1248" s="1" t="s">
        <v>3</v>
      </c>
      <c r="B1248" s="1" t="s">
        <v>4</v>
      </c>
      <c r="C1248" s="1" t="s">
        <v>2</v>
      </c>
      <c r="D1248" s="1">
        <v>28</v>
      </c>
      <c r="E1248" s="1">
        <v>24.3</v>
      </c>
      <c r="F1248" s="1">
        <v>5</v>
      </c>
      <c r="G1248" s="7">
        <f t="shared" si="105"/>
        <v>0</v>
      </c>
      <c r="H1248" s="7">
        <f t="shared" si="108"/>
        <v>0</v>
      </c>
      <c r="I1248" s="7">
        <f t="shared" si="109"/>
        <v>0</v>
      </c>
      <c r="J1248" s="7">
        <f t="shared" si="109"/>
        <v>0</v>
      </c>
      <c r="K1248" s="7">
        <f t="shared" si="109"/>
        <v>0</v>
      </c>
      <c r="L1248" s="11">
        <v>5615.3689999999997</v>
      </c>
      <c r="M1248" s="12" cm="1">
        <f t="array" ref="M1248">IF(($R$34+SUMPRODUCT(TRANSPOSE(D1248:K1248),$R$35:$R$42))&lt;0,"-",$R$34+SUMPRODUCT(TRANSPOSE(D1248:K1248),$R$35:$R$42))</f>
        <v>4781.977592671672</v>
      </c>
      <c r="N1248" s="13" t="str">
        <f t="shared" si="106"/>
        <v>-</v>
      </c>
      <c r="O1248" s="13">
        <f t="shared" si="107"/>
        <v>16906.182169706794</v>
      </c>
    </row>
    <row r="1249" spans="1:15" x14ac:dyDescent="0.25">
      <c r="A1249" s="1" t="s">
        <v>0</v>
      </c>
      <c r="B1249" s="1" t="s">
        <v>4</v>
      </c>
      <c r="C1249" s="1" t="s">
        <v>2</v>
      </c>
      <c r="D1249" s="1">
        <v>45</v>
      </c>
      <c r="E1249" s="1">
        <v>25.7</v>
      </c>
      <c r="F1249" s="1">
        <v>3</v>
      </c>
      <c r="G1249" s="7">
        <f t="shared" si="105"/>
        <v>1</v>
      </c>
      <c r="H1249" s="7">
        <f t="shared" si="108"/>
        <v>0</v>
      </c>
      <c r="I1249" s="7">
        <f t="shared" si="109"/>
        <v>0</v>
      </c>
      <c r="J1249" s="7">
        <f t="shared" si="109"/>
        <v>0</v>
      </c>
      <c r="K1249" s="7">
        <f t="shared" si="109"/>
        <v>0</v>
      </c>
      <c r="L1249" s="11">
        <v>9101.7980000000007</v>
      </c>
      <c r="M1249" s="12" cm="1">
        <f t="array" ref="M1249">IF(($R$34+SUMPRODUCT(TRANSPOSE(D1249:K1249),$R$35:$R$42))&lt;0,"-",$R$34+SUMPRODUCT(TRANSPOSE(D1249:K1249),$R$35:$R$42))</f>
        <v>8803.7196899586088</v>
      </c>
      <c r="N1249" s="13" t="str">
        <f t="shared" si="106"/>
        <v>-</v>
      </c>
      <c r="O1249" s="13">
        <f t="shared" si="107"/>
        <v>20927.92426699373</v>
      </c>
    </row>
    <row r="1250" spans="1:15" x14ac:dyDescent="0.25">
      <c r="A1250" s="1" t="s">
        <v>3</v>
      </c>
      <c r="B1250" s="1" t="s">
        <v>4</v>
      </c>
      <c r="C1250" s="1" t="s">
        <v>2</v>
      </c>
      <c r="D1250" s="1">
        <v>33</v>
      </c>
      <c r="E1250" s="1">
        <v>29.4</v>
      </c>
      <c r="F1250" s="1">
        <v>4</v>
      </c>
      <c r="G1250" s="7">
        <f t="shared" si="105"/>
        <v>0</v>
      </c>
      <c r="H1250" s="7">
        <f t="shared" si="108"/>
        <v>0</v>
      </c>
      <c r="I1250" s="7">
        <f t="shared" si="109"/>
        <v>0</v>
      </c>
      <c r="J1250" s="7">
        <f t="shared" si="109"/>
        <v>0</v>
      </c>
      <c r="K1250" s="7">
        <f t="shared" si="109"/>
        <v>0</v>
      </c>
      <c r="L1250" s="11">
        <v>6059.1729999999998</v>
      </c>
      <c r="M1250" s="12" cm="1">
        <f t="array" ref="M1250">IF(($R$34+SUMPRODUCT(TRANSPOSE(D1250:K1250),$R$35:$R$42))&lt;0,"-",$R$34+SUMPRODUCT(TRANSPOSE(D1250:K1250),$R$35:$R$42))</f>
        <v>7320.6454236245627</v>
      </c>
      <c r="N1250" s="13" t="str">
        <f t="shared" si="106"/>
        <v>-</v>
      </c>
      <c r="O1250" s="13">
        <f t="shared" si="107"/>
        <v>19444.850000659688</v>
      </c>
    </row>
    <row r="1251" spans="1:15" x14ac:dyDescent="0.25">
      <c r="A1251" s="1" t="s">
        <v>0</v>
      </c>
      <c r="B1251" s="1" t="s">
        <v>4</v>
      </c>
      <c r="C1251" s="1" t="s">
        <v>5</v>
      </c>
      <c r="D1251" s="1">
        <v>18</v>
      </c>
      <c r="E1251" s="1">
        <v>39.82</v>
      </c>
      <c r="F1251" s="1">
        <v>0</v>
      </c>
      <c r="G1251" s="7">
        <f t="shared" si="105"/>
        <v>1</v>
      </c>
      <c r="H1251" s="7">
        <f t="shared" si="108"/>
        <v>0</v>
      </c>
      <c r="I1251" s="7">
        <f t="shared" si="109"/>
        <v>1</v>
      </c>
      <c r="J1251" s="7">
        <f t="shared" si="109"/>
        <v>0</v>
      </c>
      <c r="K1251" s="7">
        <f t="shared" si="109"/>
        <v>0</v>
      </c>
      <c r="L1251" s="11">
        <v>1633.9618</v>
      </c>
      <c r="M1251" s="12" cm="1">
        <f t="array" ref="M1251">IF(($R$34+SUMPRODUCT(TRANSPOSE(D1251:K1251),$R$35:$R$42))&lt;0,"-",$R$34+SUMPRODUCT(TRANSPOSE(D1251:K1251),$R$35:$R$42))</f>
        <v>5156.5370429008872</v>
      </c>
      <c r="N1251" s="13" t="str">
        <f t="shared" si="106"/>
        <v>-</v>
      </c>
      <c r="O1251" s="13">
        <f t="shared" si="107"/>
        <v>17280.741619936009</v>
      </c>
    </row>
    <row r="1252" spans="1:15" x14ac:dyDescent="0.25">
      <c r="A1252" s="1" t="s">
        <v>3</v>
      </c>
      <c r="B1252" s="1" t="s">
        <v>1</v>
      </c>
      <c r="C1252" s="1" t="s">
        <v>7</v>
      </c>
      <c r="D1252" s="1">
        <v>32</v>
      </c>
      <c r="E1252" s="1">
        <v>33.630000000000003</v>
      </c>
      <c r="F1252" s="1">
        <v>1</v>
      </c>
      <c r="G1252" s="7">
        <f t="shared" si="105"/>
        <v>0</v>
      </c>
      <c r="H1252" s="7">
        <f t="shared" si="108"/>
        <v>1</v>
      </c>
      <c r="I1252" s="7">
        <f t="shared" ref="I1252:K1283" si="110">IF($C1252=I$2,1,0)</f>
        <v>0</v>
      </c>
      <c r="J1252" s="7">
        <f t="shared" si="110"/>
        <v>0</v>
      </c>
      <c r="K1252" s="7">
        <f t="shared" si="110"/>
        <v>1</v>
      </c>
      <c r="L1252" s="11">
        <v>37607.527699999999</v>
      </c>
      <c r="M1252" s="12" cm="1">
        <f t="array" ref="M1252">IF(($R$34+SUMPRODUCT(TRANSPOSE(D1252:K1252),$R$35:$R$42))&lt;0,"-",$R$34+SUMPRODUCT(TRANSPOSE(D1252:K1252),$R$35:$R$42))</f>
        <v>31880.661277627296</v>
      </c>
      <c r="N1252" s="13">
        <f t="shared" si="106"/>
        <v>19756.456700592171</v>
      </c>
      <c r="O1252" s="13">
        <f t="shared" si="107"/>
        <v>44004.865854662421</v>
      </c>
    </row>
    <row r="1253" spans="1:15" x14ac:dyDescent="0.25">
      <c r="A1253" s="1" t="s">
        <v>3</v>
      </c>
      <c r="B1253" s="1" t="s">
        <v>1</v>
      </c>
      <c r="C1253" s="1" t="s">
        <v>7</v>
      </c>
      <c r="D1253" s="1">
        <v>24</v>
      </c>
      <c r="E1253" s="1">
        <v>29.83</v>
      </c>
      <c r="F1253" s="1">
        <v>0</v>
      </c>
      <c r="G1253" s="7">
        <f t="shared" si="105"/>
        <v>0</v>
      </c>
      <c r="H1253" s="7">
        <f t="shared" si="108"/>
        <v>1</v>
      </c>
      <c r="I1253" s="7">
        <f t="shared" si="110"/>
        <v>0</v>
      </c>
      <c r="J1253" s="7">
        <f t="shared" si="110"/>
        <v>0</v>
      </c>
      <c r="K1253" s="7">
        <f t="shared" si="110"/>
        <v>1</v>
      </c>
      <c r="L1253" s="11">
        <v>18648.421699999999</v>
      </c>
      <c r="M1253" s="12" cm="1">
        <f t="array" ref="M1253">IF(($R$34+SUMPRODUCT(TRANSPOSE(D1253:K1253),$R$35:$R$42))&lt;0,"-",$R$34+SUMPRODUCT(TRANSPOSE(D1253:K1253),$R$35:$R$42))</f>
        <v>28061.374788458183</v>
      </c>
      <c r="N1253" s="13">
        <f t="shared" si="106"/>
        <v>15937.170211423059</v>
      </c>
      <c r="O1253" s="13">
        <f t="shared" si="107"/>
        <v>40185.579365493308</v>
      </c>
    </row>
    <row r="1254" spans="1:15" x14ac:dyDescent="0.25">
      <c r="A1254" s="1" t="s">
        <v>3</v>
      </c>
      <c r="B1254" s="1" t="s">
        <v>4</v>
      </c>
      <c r="C1254" s="1" t="s">
        <v>2</v>
      </c>
      <c r="D1254" s="1">
        <v>19</v>
      </c>
      <c r="E1254" s="1">
        <v>19.8</v>
      </c>
      <c r="F1254" s="1">
        <v>0</v>
      </c>
      <c r="G1254" s="7">
        <f t="shared" si="105"/>
        <v>0</v>
      </c>
      <c r="H1254" s="7">
        <f t="shared" si="108"/>
        <v>0</v>
      </c>
      <c r="I1254" s="7">
        <f t="shared" si="110"/>
        <v>0</v>
      </c>
      <c r="J1254" s="7">
        <f t="shared" si="110"/>
        <v>0</v>
      </c>
      <c r="K1254" s="7">
        <f t="shared" si="110"/>
        <v>0</v>
      </c>
      <c r="L1254" s="11">
        <v>1241.5650000000001</v>
      </c>
      <c r="M1254" s="12" t="str" cm="1">
        <f t="array" ref="M1254">IF(($R$34+SUMPRODUCT(TRANSPOSE(D1254:K1254),$R$35:$R$42))&lt;0,"-",$R$34+SUMPRODUCT(TRANSPOSE(D1254:K1254),$R$35:$R$42))</f>
        <v>-</v>
      </c>
      <c r="N1254" s="13" t="str">
        <f t="shared" si="106"/>
        <v>-</v>
      </c>
      <c r="O1254" s="13" t="str">
        <f t="shared" si="107"/>
        <v>-</v>
      </c>
    </row>
    <row r="1255" spans="1:15" x14ac:dyDescent="0.25">
      <c r="A1255" s="1" t="s">
        <v>3</v>
      </c>
      <c r="B1255" s="1" t="s">
        <v>1</v>
      </c>
      <c r="C1255" s="1" t="s">
        <v>2</v>
      </c>
      <c r="D1255" s="1">
        <v>20</v>
      </c>
      <c r="E1255" s="1">
        <v>27.3</v>
      </c>
      <c r="F1255" s="1">
        <v>0</v>
      </c>
      <c r="G1255" s="7">
        <f t="shared" si="105"/>
        <v>0</v>
      </c>
      <c r="H1255" s="7">
        <f t="shared" si="108"/>
        <v>1</v>
      </c>
      <c r="I1255" s="7">
        <f t="shared" si="110"/>
        <v>0</v>
      </c>
      <c r="J1255" s="7">
        <f t="shared" si="110"/>
        <v>0</v>
      </c>
      <c r="K1255" s="7">
        <f t="shared" si="110"/>
        <v>0</v>
      </c>
      <c r="L1255" s="11">
        <v>16232.847</v>
      </c>
      <c r="M1255" s="12" cm="1">
        <f t="array" ref="M1255">IF(($R$34+SUMPRODUCT(TRANSPOSE(D1255:K1255),$R$35:$R$42))&lt;0,"-",$R$34+SUMPRODUCT(TRANSPOSE(D1255:K1255),$R$35:$R$42))</f>
        <v>25215.738949372542</v>
      </c>
      <c r="N1255" s="13">
        <f t="shared" si="106"/>
        <v>13091.534372337419</v>
      </c>
      <c r="O1255" s="13">
        <f t="shared" si="107"/>
        <v>37339.943526407667</v>
      </c>
    </row>
    <row r="1256" spans="1:15" x14ac:dyDescent="0.25">
      <c r="A1256" s="1" t="s">
        <v>0</v>
      </c>
      <c r="B1256" s="1" t="s">
        <v>4</v>
      </c>
      <c r="C1256" s="1" t="s">
        <v>2</v>
      </c>
      <c r="D1256" s="1">
        <v>40</v>
      </c>
      <c r="E1256" s="1">
        <v>29.3</v>
      </c>
      <c r="F1256" s="1">
        <v>4</v>
      </c>
      <c r="G1256" s="7">
        <f t="shared" si="105"/>
        <v>1</v>
      </c>
      <c r="H1256" s="7">
        <f t="shared" si="108"/>
        <v>0</v>
      </c>
      <c r="I1256" s="7">
        <f t="shared" si="110"/>
        <v>0</v>
      </c>
      <c r="J1256" s="7">
        <f t="shared" si="110"/>
        <v>0</v>
      </c>
      <c r="K1256" s="7">
        <f t="shared" si="110"/>
        <v>0</v>
      </c>
      <c r="L1256" s="11">
        <v>15828.82173</v>
      </c>
      <c r="M1256" s="12" cm="1">
        <f t="array" ref="M1256">IF(($R$34+SUMPRODUCT(TRANSPOSE(D1256:K1256),$R$35:$R$42))&lt;0,"-",$R$34+SUMPRODUCT(TRANSPOSE(D1256:K1256),$R$35:$R$42))</f>
        <v>9216.0349054200233</v>
      </c>
      <c r="N1256" s="13" t="str">
        <f t="shared" si="106"/>
        <v>-</v>
      </c>
      <c r="O1256" s="13">
        <f t="shared" si="107"/>
        <v>21340.239482455145</v>
      </c>
    </row>
    <row r="1257" spans="1:15" x14ac:dyDescent="0.25">
      <c r="A1257" s="1" t="s">
        <v>0</v>
      </c>
      <c r="B1257" s="1" t="s">
        <v>4</v>
      </c>
      <c r="C1257" s="1" t="s">
        <v>5</v>
      </c>
      <c r="D1257" s="1">
        <v>34</v>
      </c>
      <c r="E1257" s="1">
        <v>27.72</v>
      </c>
      <c r="F1257" s="1">
        <v>0</v>
      </c>
      <c r="G1257" s="7">
        <f t="shared" si="105"/>
        <v>1</v>
      </c>
      <c r="H1257" s="7">
        <f t="shared" si="108"/>
        <v>0</v>
      </c>
      <c r="I1257" s="7">
        <f t="shared" si="110"/>
        <v>1</v>
      </c>
      <c r="J1257" s="7">
        <f t="shared" si="110"/>
        <v>0</v>
      </c>
      <c r="K1257" s="7">
        <f t="shared" si="110"/>
        <v>0</v>
      </c>
      <c r="L1257" s="11">
        <v>4415.1588000000002</v>
      </c>
      <c r="M1257" s="12" cm="1">
        <f t="array" ref="M1257">IF(($R$34+SUMPRODUCT(TRANSPOSE(D1257:K1257),$R$35:$R$42))&lt;0,"-",$R$34+SUMPRODUCT(TRANSPOSE(D1257:K1257),$R$35:$R$42))</f>
        <v>5161.9978948072931</v>
      </c>
      <c r="N1257" s="13" t="str">
        <f t="shared" si="106"/>
        <v>-</v>
      </c>
      <c r="O1257" s="13">
        <f t="shared" si="107"/>
        <v>17286.202471842415</v>
      </c>
    </row>
    <row r="1258" spans="1:15" x14ac:dyDescent="0.25">
      <c r="A1258" s="1" t="s">
        <v>0</v>
      </c>
      <c r="B1258" s="1" t="s">
        <v>4</v>
      </c>
      <c r="C1258" s="1" t="s">
        <v>2</v>
      </c>
      <c r="D1258" s="1">
        <v>42</v>
      </c>
      <c r="E1258" s="1">
        <v>37.9</v>
      </c>
      <c r="F1258" s="1">
        <v>0</v>
      </c>
      <c r="G1258" s="7">
        <f t="shared" si="105"/>
        <v>1</v>
      </c>
      <c r="H1258" s="7">
        <f t="shared" si="108"/>
        <v>0</v>
      </c>
      <c r="I1258" s="7">
        <f t="shared" si="110"/>
        <v>0</v>
      </c>
      <c r="J1258" s="7">
        <f t="shared" si="110"/>
        <v>0</v>
      </c>
      <c r="K1258" s="7">
        <f t="shared" si="110"/>
        <v>0</v>
      </c>
      <c r="L1258" s="11">
        <v>6474.0129999999999</v>
      </c>
      <c r="M1258" s="12" cm="1">
        <f t="array" ref="M1258">IF(($R$34+SUMPRODUCT(TRANSPOSE(D1258:K1258),$R$35:$R$42))&lt;0,"-",$R$34+SUMPRODUCT(TRANSPOSE(D1258:K1258),$R$35:$R$42))</f>
        <v>10744.809130951409</v>
      </c>
      <c r="N1258" s="13" t="str">
        <f t="shared" si="106"/>
        <v>-</v>
      </c>
      <c r="O1258" s="13">
        <f t="shared" si="107"/>
        <v>22869.013707986531</v>
      </c>
    </row>
    <row r="1259" spans="1:15" x14ac:dyDescent="0.25">
      <c r="A1259" s="1" t="s">
        <v>0</v>
      </c>
      <c r="B1259" s="1" t="s">
        <v>4</v>
      </c>
      <c r="C1259" s="1" t="s">
        <v>6</v>
      </c>
      <c r="D1259" s="1">
        <v>51</v>
      </c>
      <c r="E1259" s="1">
        <v>36.384999999999998</v>
      </c>
      <c r="F1259" s="1">
        <v>3</v>
      </c>
      <c r="G1259" s="7">
        <f t="shared" si="105"/>
        <v>1</v>
      </c>
      <c r="H1259" s="7">
        <f t="shared" si="108"/>
        <v>0</v>
      </c>
      <c r="I1259" s="7">
        <f t="shared" si="110"/>
        <v>0</v>
      </c>
      <c r="J1259" s="7">
        <f t="shared" si="110"/>
        <v>1</v>
      </c>
      <c r="K1259" s="7">
        <f t="shared" si="110"/>
        <v>0</v>
      </c>
      <c r="L1259" s="11">
        <v>11436.738149999999</v>
      </c>
      <c r="M1259" s="12" cm="1">
        <f t="array" ref="M1259">IF(($R$34+SUMPRODUCT(TRANSPOSE(D1259:K1259),$R$35:$R$42))&lt;0,"-",$R$34+SUMPRODUCT(TRANSPOSE(D1259:K1259),$R$35:$R$42))</f>
        <v>14576.226948890711</v>
      </c>
      <c r="N1259" s="13">
        <f t="shared" si="106"/>
        <v>2452.0223718555881</v>
      </c>
      <c r="O1259" s="13">
        <f t="shared" si="107"/>
        <v>26700.431525925836</v>
      </c>
    </row>
    <row r="1260" spans="1:15" x14ac:dyDescent="0.25">
      <c r="A1260" s="1" t="s">
        <v>0</v>
      </c>
      <c r="B1260" s="1" t="s">
        <v>4</v>
      </c>
      <c r="C1260" s="1" t="s">
        <v>6</v>
      </c>
      <c r="D1260" s="1">
        <v>54</v>
      </c>
      <c r="E1260" s="1">
        <v>27.645</v>
      </c>
      <c r="F1260" s="1">
        <v>1</v>
      </c>
      <c r="G1260" s="7">
        <f t="shared" si="105"/>
        <v>1</v>
      </c>
      <c r="H1260" s="7">
        <f t="shared" si="108"/>
        <v>0</v>
      </c>
      <c r="I1260" s="7">
        <f t="shared" si="110"/>
        <v>0</v>
      </c>
      <c r="J1260" s="7">
        <f t="shared" si="110"/>
        <v>1</v>
      </c>
      <c r="K1260" s="7">
        <f t="shared" si="110"/>
        <v>0</v>
      </c>
      <c r="L1260" s="11">
        <v>11305.93455</v>
      </c>
      <c r="M1260" s="12" cm="1">
        <f t="array" ref="M1260">IF(($R$34+SUMPRODUCT(TRANSPOSE(D1260:K1260),$R$35:$R$42))&lt;0,"-",$R$34+SUMPRODUCT(TRANSPOSE(D1260:K1260),$R$35:$R$42))</f>
        <v>11431.244131645744</v>
      </c>
      <c r="N1260" s="13" t="str">
        <f t="shared" si="106"/>
        <v>-</v>
      </c>
      <c r="O1260" s="13">
        <f t="shared" si="107"/>
        <v>23555.448708680866</v>
      </c>
    </row>
    <row r="1261" spans="1:15" x14ac:dyDescent="0.25">
      <c r="A1261" s="1" t="s">
        <v>3</v>
      </c>
      <c r="B1261" s="1" t="s">
        <v>4</v>
      </c>
      <c r="C1261" s="1" t="s">
        <v>6</v>
      </c>
      <c r="D1261" s="1">
        <v>55</v>
      </c>
      <c r="E1261" s="1">
        <v>37.715000000000003</v>
      </c>
      <c r="F1261" s="1">
        <v>3</v>
      </c>
      <c r="G1261" s="7">
        <f t="shared" si="105"/>
        <v>0</v>
      </c>
      <c r="H1261" s="7">
        <f t="shared" si="108"/>
        <v>0</v>
      </c>
      <c r="I1261" s="7">
        <f t="shared" si="110"/>
        <v>0</v>
      </c>
      <c r="J1261" s="7">
        <f t="shared" si="110"/>
        <v>1</v>
      </c>
      <c r="K1261" s="7">
        <f t="shared" si="110"/>
        <v>0</v>
      </c>
      <c r="L1261" s="11">
        <v>30063.580549999999</v>
      </c>
      <c r="M1261" s="12" cm="1">
        <f t="array" ref="M1261">IF(($R$34+SUMPRODUCT(TRANSPOSE(D1261:K1261),$R$35:$R$42))&lt;0,"-",$R$34+SUMPRODUCT(TRANSPOSE(D1261:K1261),$R$35:$R$42))</f>
        <v>15923.465292947414</v>
      </c>
      <c r="N1261" s="13">
        <f t="shared" si="106"/>
        <v>3799.2607159122908</v>
      </c>
      <c r="O1261" s="13">
        <f t="shared" si="107"/>
        <v>28047.669869982536</v>
      </c>
    </row>
    <row r="1262" spans="1:15" x14ac:dyDescent="0.25">
      <c r="A1262" s="1" t="s">
        <v>0</v>
      </c>
      <c r="B1262" s="1" t="s">
        <v>4</v>
      </c>
      <c r="C1262" s="1" t="s">
        <v>7</v>
      </c>
      <c r="D1262" s="1">
        <v>52</v>
      </c>
      <c r="E1262" s="1">
        <v>23.18</v>
      </c>
      <c r="F1262" s="1">
        <v>0</v>
      </c>
      <c r="G1262" s="7">
        <f t="shared" si="105"/>
        <v>1</v>
      </c>
      <c r="H1262" s="7">
        <f t="shared" si="108"/>
        <v>0</v>
      </c>
      <c r="I1262" s="7">
        <f t="shared" si="110"/>
        <v>0</v>
      </c>
      <c r="J1262" s="7">
        <f t="shared" si="110"/>
        <v>0</v>
      </c>
      <c r="K1262" s="7">
        <f t="shared" si="110"/>
        <v>1</v>
      </c>
      <c r="L1262" s="11">
        <v>10197.772199999999</v>
      </c>
      <c r="M1262" s="12" cm="1">
        <f t="array" ref="M1262">IF(($R$34+SUMPRODUCT(TRANSPOSE(D1262:K1262),$R$35:$R$42))&lt;0,"-",$R$34+SUMPRODUCT(TRANSPOSE(D1262:K1262),$R$35:$R$42))</f>
        <v>9280.4960104741585</v>
      </c>
      <c r="N1262" s="13" t="str">
        <f t="shared" si="106"/>
        <v>-</v>
      </c>
      <c r="O1262" s="13">
        <f t="shared" si="107"/>
        <v>21404.70058750928</v>
      </c>
    </row>
    <row r="1263" spans="1:15" x14ac:dyDescent="0.25">
      <c r="A1263" s="1" t="s">
        <v>0</v>
      </c>
      <c r="B1263" s="1" t="s">
        <v>4</v>
      </c>
      <c r="C1263" s="1" t="s">
        <v>7</v>
      </c>
      <c r="D1263" s="1">
        <v>32</v>
      </c>
      <c r="E1263" s="1">
        <v>20.52</v>
      </c>
      <c r="F1263" s="1">
        <v>0</v>
      </c>
      <c r="G1263" s="7">
        <f t="shared" si="105"/>
        <v>1</v>
      </c>
      <c r="H1263" s="7">
        <f t="shared" si="108"/>
        <v>0</v>
      </c>
      <c r="I1263" s="7">
        <f t="shared" si="110"/>
        <v>0</v>
      </c>
      <c r="J1263" s="7">
        <f t="shared" si="110"/>
        <v>0</v>
      </c>
      <c r="K1263" s="7">
        <f t="shared" si="110"/>
        <v>1</v>
      </c>
      <c r="L1263" s="11">
        <v>4544.2348000000002</v>
      </c>
      <c r="M1263" s="12" cm="1">
        <f t="array" ref="M1263">IF(($R$34+SUMPRODUCT(TRANSPOSE(D1263:K1263),$R$35:$R$42))&lt;0,"-",$R$34+SUMPRODUCT(TRANSPOSE(D1263:K1263),$R$35:$R$42))</f>
        <v>3241.1143731223638</v>
      </c>
      <c r="N1263" s="13" t="str">
        <f t="shared" si="106"/>
        <v>-</v>
      </c>
      <c r="O1263" s="13">
        <f t="shared" si="107"/>
        <v>15365.318950157487</v>
      </c>
    </row>
    <row r="1264" spans="1:15" x14ac:dyDescent="0.25">
      <c r="A1264" s="1" t="s">
        <v>3</v>
      </c>
      <c r="B1264" s="1" t="s">
        <v>4</v>
      </c>
      <c r="C1264" s="1" t="s">
        <v>2</v>
      </c>
      <c r="D1264" s="1">
        <v>28</v>
      </c>
      <c r="E1264" s="1">
        <v>37.1</v>
      </c>
      <c r="F1264" s="1">
        <v>1</v>
      </c>
      <c r="G1264" s="7">
        <f t="shared" si="105"/>
        <v>0</v>
      </c>
      <c r="H1264" s="7">
        <f t="shared" si="108"/>
        <v>0</v>
      </c>
      <c r="I1264" s="7">
        <f t="shared" si="110"/>
        <v>0</v>
      </c>
      <c r="J1264" s="7">
        <f t="shared" si="110"/>
        <v>0</v>
      </c>
      <c r="K1264" s="7">
        <f t="shared" si="110"/>
        <v>0</v>
      </c>
      <c r="L1264" s="11">
        <v>3277.1610000000001</v>
      </c>
      <c r="M1264" s="12" cm="1">
        <f t="array" ref="M1264">IF(($R$34+SUMPRODUCT(TRANSPOSE(D1264:K1264),$R$35:$R$42))&lt;0,"-",$R$34+SUMPRODUCT(TRANSPOSE(D1264:K1264),$R$35:$R$42))</f>
        <v>7221.6516182938976</v>
      </c>
      <c r="N1264" s="13" t="str">
        <f t="shared" si="106"/>
        <v>-</v>
      </c>
      <c r="O1264" s="13">
        <f t="shared" si="107"/>
        <v>19345.856195329019</v>
      </c>
    </row>
    <row r="1265" spans="1:15" x14ac:dyDescent="0.25">
      <c r="A1265" s="1" t="s">
        <v>0</v>
      </c>
      <c r="B1265" s="1" t="s">
        <v>4</v>
      </c>
      <c r="C1265" s="1" t="s">
        <v>5</v>
      </c>
      <c r="D1265" s="1">
        <v>41</v>
      </c>
      <c r="E1265" s="1">
        <v>28.05</v>
      </c>
      <c r="F1265" s="1">
        <v>1</v>
      </c>
      <c r="G1265" s="7">
        <f t="shared" si="105"/>
        <v>1</v>
      </c>
      <c r="H1265" s="7">
        <f t="shared" si="108"/>
        <v>0</v>
      </c>
      <c r="I1265" s="7">
        <f t="shared" si="110"/>
        <v>1</v>
      </c>
      <c r="J1265" s="7">
        <f t="shared" si="110"/>
        <v>0</v>
      </c>
      <c r="K1265" s="7">
        <f t="shared" si="110"/>
        <v>0</v>
      </c>
      <c r="L1265" s="11">
        <v>6770.1925000000001</v>
      </c>
      <c r="M1265" s="12" cm="1">
        <f t="array" ref="M1265">IF(($R$34+SUMPRODUCT(TRANSPOSE(D1265:K1265),$R$35:$R$42))&lt;0,"-",$R$34+SUMPRODUCT(TRANSPOSE(D1265:K1265),$R$35:$R$42))</f>
        <v>7547.4267474094377</v>
      </c>
      <c r="N1265" s="13" t="str">
        <f t="shared" si="106"/>
        <v>-</v>
      </c>
      <c r="O1265" s="13">
        <f t="shared" si="107"/>
        <v>19671.631324444563</v>
      </c>
    </row>
    <row r="1266" spans="1:15" x14ac:dyDescent="0.25">
      <c r="A1266" s="1" t="s">
        <v>0</v>
      </c>
      <c r="B1266" s="1" t="s">
        <v>4</v>
      </c>
      <c r="C1266" s="1" t="s">
        <v>2</v>
      </c>
      <c r="D1266" s="1">
        <v>43</v>
      </c>
      <c r="E1266" s="1">
        <v>29.9</v>
      </c>
      <c r="F1266" s="1">
        <v>1</v>
      </c>
      <c r="G1266" s="7">
        <f t="shared" si="105"/>
        <v>1</v>
      </c>
      <c r="H1266" s="7">
        <f t="shared" si="108"/>
        <v>0</v>
      </c>
      <c r="I1266" s="7">
        <f t="shared" si="110"/>
        <v>0</v>
      </c>
      <c r="J1266" s="7">
        <f t="shared" si="110"/>
        <v>0</v>
      </c>
      <c r="K1266" s="7">
        <f t="shared" si="110"/>
        <v>0</v>
      </c>
      <c r="L1266" s="11">
        <v>7337.7479999999996</v>
      </c>
      <c r="M1266" s="12" cm="1">
        <f t="array" ref="M1266">IF(($R$34+SUMPRODUCT(TRANSPOSE(D1266:K1266),$R$35:$R$42))&lt;0,"-",$R$34+SUMPRODUCT(TRANSPOSE(D1266:K1266),$R$35:$R$42))</f>
        <v>8763.6183997511762</v>
      </c>
      <c r="N1266" s="13" t="str">
        <f t="shared" si="106"/>
        <v>-</v>
      </c>
      <c r="O1266" s="13">
        <f t="shared" si="107"/>
        <v>20887.822976786301</v>
      </c>
    </row>
    <row r="1267" spans="1:15" x14ac:dyDescent="0.25">
      <c r="A1267" s="1" t="s">
        <v>0</v>
      </c>
      <c r="B1267" s="1" t="s">
        <v>4</v>
      </c>
      <c r="C1267" s="1" t="s">
        <v>7</v>
      </c>
      <c r="D1267" s="1">
        <v>49</v>
      </c>
      <c r="E1267" s="1">
        <v>33.344999999999999</v>
      </c>
      <c r="F1267" s="1">
        <v>2</v>
      </c>
      <c r="G1267" s="7">
        <f t="shared" si="105"/>
        <v>1</v>
      </c>
      <c r="H1267" s="7">
        <f t="shared" si="108"/>
        <v>0</v>
      </c>
      <c r="I1267" s="7">
        <f t="shared" si="110"/>
        <v>0</v>
      </c>
      <c r="J1267" s="7">
        <f t="shared" si="110"/>
        <v>0</v>
      </c>
      <c r="K1267" s="7">
        <f t="shared" si="110"/>
        <v>1</v>
      </c>
      <c r="L1267" s="11">
        <v>10370.912549999999</v>
      </c>
      <c r="M1267" s="12" cm="1">
        <f t="array" ref="M1267">IF(($R$34+SUMPRODUCT(TRANSPOSE(D1267:K1267),$R$35:$R$42))&lt;0,"-",$R$34+SUMPRODUCT(TRANSPOSE(D1267:K1267),$R$35:$R$42))</f>
        <v>12908.829499114567</v>
      </c>
      <c r="N1267" s="13">
        <f t="shared" si="106"/>
        <v>784.62492207944342</v>
      </c>
      <c r="O1267" s="13">
        <f t="shared" si="107"/>
        <v>25033.034076149692</v>
      </c>
    </row>
    <row r="1268" spans="1:15" x14ac:dyDescent="0.25">
      <c r="A1268" s="1" t="s">
        <v>3</v>
      </c>
      <c r="B1268" s="1" t="s">
        <v>1</v>
      </c>
      <c r="C1268" s="1" t="s">
        <v>5</v>
      </c>
      <c r="D1268" s="1">
        <v>64</v>
      </c>
      <c r="E1268" s="1">
        <v>23.76</v>
      </c>
      <c r="F1268" s="1">
        <v>0</v>
      </c>
      <c r="G1268" s="7">
        <f t="shared" si="105"/>
        <v>0</v>
      </c>
      <c r="H1268" s="7">
        <f t="shared" si="108"/>
        <v>1</v>
      </c>
      <c r="I1268" s="7">
        <f t="shared" si="110"/>
        <v>1</v>
      </c>
      <c r="J1268" s="7">
        <f t="shared" si="110"/>
        <v>0</v>
      </c>
      <c r="K1268" s="7">
        <f t="shared" si="110"/>
        <v>0</v>
      </c>
      <c r="L1268" s="11">
        <v>26926.5144</v>
      </c>
      <c r="M1268" s="12" cm="1">
        <f t="array" ref="M1268">IF(($R$34+SUMPRODUCT(TRANSPOSE(D1268:K1268),$R$35:$R$42))&lt;0,"-",$R$34+SUMPRODUCT(TRANSPOSE(D1268:K1268),$R$35:$R$42))</f>
        <v>35241.702577146491</v>
      </c>
      <c r="N1268" s="13">
        <f t="shared" si="106"/>
        <v>23117.498000111365</v>
      </c>
      <c r="O1268" s="13">
        <f t="shared" si="107"/>
        <v>47365.907154181616</v>
      </c>
    </row>
    <row r="1269" spans="1:15" x14ac:dyDescent="0.25">
      <c r="A1269" s="1" t="s">
        <v>0</v>
      </c>
      <c r="B1269" s="1" t="s">
        <v>4</v>
      </c>
      <c r="C1269" s="1" t="s">
        <v>2</v>
      </c>
      <c r="D1269" s="1">
        <v>55</v>
      </c>
      <c r="E1269" s="1">
        <v>30.5</v>
      </c>
      <c r="F1269" s="1">
        <v>0</v>
      </c>
      <c r="G1269" s="7">
        <f t="shared" si="105"/>
        <v>1</v>
      </c>
      <c r="H1269" s="7">
        <f t="shared" si="108"/>
        <v>0</v>
      </c>
      <c r="I1269" s="7">
        <f t="shared" si="110"/>
        <v>0</v>
      </c>
      <c r="J1269" s="7">
        <f t="shared" si="110"/>
        <v>0</v>
      </c>
      <c r="K1269" s="7">
        <f t="shared" si="110"/>
        <v>0</v>
      </c>
      <c r="L1269" s="11">
        <v>10704.47</v>
      </c>
      <c r="M1269" s="12" cm="1">
        <f t="array" ref="M1269">IF(($R$34+SUMPRODUCT(TRANSPOSE(D1269:K1269),$R$35:$R$42))&lt;0,"-",$R$34+SUMPRODUCT(TRANSPOSE(D1269:K1269),$R$35:$R$42))</f>
        <v>11573.91015721672</v>
      </c>
      <c r="N1269" s="13" t="str">
        <f t="shared" si="106"/>
        <v>-</v>
      </c>
      <c r="O1269" s="13">
        <f t="shared" si="107"/>
        <v>23698.114734251845</v>
      </c>
    </row>
    <row r="1270" spans="1:15" x14ac:dyDescent="0.25">
      <c r="A1270" s="1" t="s">
        <v>3</v>
      </c>
      <c r="B1270" s="1" t="s">
        <v>1</v>
      </c>
      <c r="C1270" s="1" t="s">
        <v>7</v>
      </c>
      <c r="D1270" s="1">
        <v>24</v>
      </c>
      <c r="E1270" s="1">
        <v>31.065000000000001</v>
      </c>
      <c r="F1270" s="1">
        <v>0</v>
      </c>
      <c r="G1270" s="7">
        <f t="shared" si="105"/>
        <v>0</v>
      </c>
      <c r="H1270" s="7">
        <f t="shared" si="108"/>
        <v>1</v>
      </c>
      <c r="I1270" s="7">
        <f t="shared" si="110"/>
        <v>0</v>
      </c>
      <c r="J1270" s="7">
        <f t="shared" si="110"/>
        <v>0</v>
      </c>
      <c r="K1270" s="7">
        <f t="shared" si="110"/>
        <v>1</v>
      </c>
      <c r="L1270" s="11">
        <v>34254.053350000002</v>
      </c>
      <c r="M1270" s="12" cm="1">
        <f t="array" ref="M1270">IF(($R$34+SUMPRODUCT(TRANSPOSE(D1270:K1270),$R$35:$R$42))&lt;0,"-",$R$34+SUMPRODUCT(TRANSPOSE(D1270:K1270),$R$35:$R$42))</f>
        <v>28480.278703667573</v>
      </c>
      <c r="N1270" s="13">
        <f t="shared" si="106"/>
        <v>16356.074126632449</v>
      </c>
      <c r="O1270" s="13">
        <f t="shared" si="107"/>
        <v>40604.483280702698</v>
      </c>
    </row>
    <row r="1271" spans="1:15" x14ac:dyDescent="0.25">
      <c r="A1271" s="1" t="s">
        <v>0</v>
      </c>
      <c r="B1271" s="1" t="s">
        <v>4</v>
      </c>
      <c r="C1271" s="1" t="s">
        <v>2</v>
      </c>
      <c r="D1271" s="1">
        <v>20</v>
      </c>
      <c r="E1271" s="1">
        <v>33.299999999999997</v>
      </c>
      <c r="F1271" s="1">
        <v>0</v>
      </c>
      <c r="G1271" s="7">
        <f t="shared" si="105"/>
        <v>1</v>
      </c>
      <c r="H1271" s="7">
        <f t="shared" si="108"/>
        <v>0</v>
      </c>
      <c r="I1271" s="7">
        <f t="shared" si="110"/>
        <v>0</v>
      </c>
      <c r="J1271" s="7">
        <f t="shared" si="110"/>
        <v>0</v>
      </c>
      <c r="K1271" s="7">
        <f t="shared" si="110"/>
        <v>0</v>
      </c>
      <c r="L1271" s="11">
        <v>1880.4870000000001</v>
      </c>
      <c r="M1271" s="12" cm="1">
        <f t="array" ref="M1271">IF(($R$34+SUMPRODUCT(TRANSPOSE(D1271:K1271),$R$35:$R$42))&lt;0,"-",$R$34+SUMPRODUCT(TRANSPOSE(D1271:K1271),$R$35:$R$42))</f>
        <v>3533.6794885198906</v>
      </c>
      <c r="N1271" s="13" t="str">
        <f t="shared" si="106"/>
        <v>-</v>
      </c>
      <c r="O1271" s="13">
        <f t="shared" si="107"/>
        <v>15657.884065555014</v>
      </c>
    </row>
    <row r="1272" spans="1:15" x14ac:dyDescent="0.25">
      <c r="A1272" s="1" t="s">
        <v>3</v>
      </c>
      <c r="B1272" s="1" t="s">
        <v>4</v>
      </c>
      <c r="C1272" s="1" t="s">
        <v>2</v>
      </c>
      <c r="D1272" s="1">
        <v>45</v>
      </c>
      <c r="E1272" s="1">
        <v>27.5</v>
      </c>
      <c r="F1272" s="1">
        <v>3</v>
      </c>
      <c r="G1272" s="7">
        <f t="shared" si="105"/>
        <v>0</v>
      </c>
      <c r="H1272" s="7">
        <f t="shared" si="108"/>
        <v>0</v>
      </c>
      <c r="I1272" s="7">
        <f t="shared" si="110"/>
        <v>0</v>
      </c>
      <c r="J1272" s="7">
        <f t="shared" si="110"/>
        <v>0</v>
      </c>
      <c r="K1272" s="7">
        <f t="shared" si="110"/>
        <v>0</v>
      </c>
      <c r="L1272" s="11">
        <v>8615.2999999999993</v>
      </c>
      <c r="M1272" s="12" cm="1">
        <f t="array" ref="M1272">IF(($R$34+SUMPRODUCT(TRANSPOSE(D1272:K1272),$R$35:$R$42))&lt;0,"-",$R$34+SUMPRODUCT(TRANSPOSE(D1272:K1272),$R$35:$R$42))</f>
        <v>9282.9535470630144</v>
      </c>
      <c r="N1272" s="13" t="str">
        <f t="shared" si="106"/>
        <v>-</v>
      </c>
      <c r="O1272" s="13">
        <f t="shared" si="107"/>
        <v>21407.15812409814</v>
      </c>
    </row>
    <row r="1273" spans="1:15" x14ac:dyDescent="0.25">
      <c r="A1273" s="1" t="s">
        <v>3</v>
      </c>
      <c r="B1273" s="1" t="s">
        <v>4</v>
      </c>
      <c r="C1273" s="1" t="s">
        <v>6</v>
      </c>
      <c r="D1273" s="1">
        <v>26</v>
      </c>
      <c r="E1273" s="1">
        <v>33.914999999999999</v>
      </c>
      <c r="F1273" s="1">
        <v>1</v>
      </c>
      <c r="G1273" s="7">
        <f t="shared" si="105"/>
        <v>0</v>
      </c>
      <c r="H1273" s="7">
        <f t="shared" si="108"/>
        <v>0</v>
      </c>
      <c r="I1273" s="7">
        <f t="shared" si="110"/>
        <v>0</v>
      </c>
      <c r="J1273" s="7">
        <f t="shared" si="110"/>
        <v>1</v>
      </c>
      <c r="K1273" s="7">
        <f t="shared" si="110"/>
        <v>0</v>
      </c>
      <c r="L1273" s="11">
        <v>3292.5298499999999</v>
      </c>
      <c r="M1273" s="12" cm="1">
        <f t="array" ref="M1273">IF(($R$34+SUMPRODUCT(TRANSPOSE(D1273:K1273),$R$35:$R$42))&lt;0,"-",$R$34+SUMPRODUCT(TRANSPOSE(D1273:K1273),$R$35:$R$42))</f>
        <v>6234.6948553448638</v>
      </c>
      <c r="N1273" s="13" t="str">
        <f t="shared" si="106"/>
        <v>-</v>
      </c>
      <c r="O1273" s="13">
        <f t="shared" si="107"/>
        <v>18358.899432379985</v>
      </c>
    </row>
    <row r="1274" spans="1:15" x14ac:dyDescent="0.25">
      <c r="A1274" s="1" t="s">
        <v>0</v>
      </c>
      <c r="B1274" s="1" t="s">
        <v>4</v>
      </c>
      <c r="C1274" s="1" t="s">
        <v>6</v>
      </c>
      <c r="D1274" s="1">
        <v>25</v>
      </c>
      <c r="E1274" s="1">
        <v>34.484999999999999</v>
      </c>
      <c r="F1274" s="1">
        <v>0</v>
      </c>
      <c r="G1274" s="7">
        <f t="shared" si="105"/>
        <v>1</v>
      </c>
      <c r="H1274" s="7">
        <f t="shared" si="108"/>
        <v>0</v>
      </c>
      <c r="I1274" s="7">
        <f t="shared" si="110"/>
        <v>0</v>
      </c>
      <c r="J1274" s="7">
        <f t="shared" si="110"/>
        <v>1</v>
      </c>
      <c r="K1274" s="7">
        <f t="shared" si="110"/>
        <v>0</v>
      </c>
      <c r="L1274" s="11">
        <v>3021.80915</v>
      </c>
      <c r="M1274" s="12" cm="1">
        <f t="array" ref="M1274">IF(($R$34+SUMPRODUCT(TRANSPOSE(D1274:K1274),$R$35:$R$42))&lt;0,"-",$R$34+SUMPRODUCT(TRANSPOSE(D1274:K1274),$R$35:$R$42))</f>
        <v>5826.9925856116679</v>
      </c>
      <c r="N1274" s="13" t="str">
        <f t="shared" si="106"/>
        <v>-</v>
      </c>
      <c r="O1274" s="13">
        <f t="shared" si="107"/>
        <v>17951.197162646793</v>
      </c>
    </row>
    <row r="1275" spans="1:15" x14ac:dyDescent="0.25">
      <c r="A1275" s="1" t="s">
        <v>3</v>
      </c>
      <c r="B1275" s="1" t="s">
        <v>4</v>
      </c>
      <c r="C1275" s="1" t="s">
        <v>5</v>
      </c>
      <c r="D1275" s="1">
        <v>43</v>
      </c>
      <c r="E1275" s="1">
        <v>25.52</v>
      </c>
      <c r="F1275" s="1">
        <v>5</v>
      </c>
      <c r="G1275" s="7">
        <f t="shared" si="105"/>
        <v>0</v>
      </c>
      <c r="H1275" s="7">
        <f t="shared" si="108"/>
        <v>0</v>
      </c>
      <c r="I1275" s="7">
        <f t="shared" si="110"/>
        <v>1</v>
      </c>
      <c r="J1275" s="7">
        <f t="shared" si="110"/>
        <v>0</v>
      </c>
      <c r="K1275" s="7">
        <f t="shared" si="110"/>
        <v>0</v>
      </c>
      <c r="L1275" s="11">
        <v>14478.33015</v>
      </c>
      <c r="M1275" s="12" cm="1">
        <f t="array" ref="M1275">IF(($R$34+SUMPRODUCT(TRANSPOSE(D1275:K1275),$R$35:$R$42))&lt;0,"-",$R$34+SUMPRODUCT(TRANSPOSE(D1275:K1275),$R$35:$R$42))</f>
        <v>8973.6678360501319</v>
      </c>
      <c r="N1275" s="13" t="str">
        <f t="shared" si="106"/>
        <v>-</v>
      </c>
      <c r="O1275" s="13">
        <f t="shared" si="107"/>
        <v>21097.872413085257</v>
      </c>
    </row>
    <row r="1276" spans="1:15" x14ac:dyDescent="0.25">
      <c r="A1276" s="1" t="s">
        <v>3</v>
      </c>
      <c r="B1276" s="1" t="s">
        <v>4</v>
      </c>
      <c r="C1276" s="1" t="s">
        <v>5</v>
      </c>
      <c r="D1276" s="1">
        <v>35</v>
      </c>
      <c r="E1276" s="1">
        <v>27.61</v>
      </c>
      <c r="F1276" s="1">
        <v>1</v>
      </c>
      <c r="G1276" s="7">
        <f t="shared" si="105"/>
        <v>0</v>
      </c>
      <c r="H1276" s="7">
        <f t="shared" si="108"/>
        <v>0</v>
      </c>
      <c r="I1276" s="7">
        <f t="shared" si="110"/>
        <v>1</v>
      </c>
      <c r="J1276" s="7">
        <f t="shared" si="110"/>
        <v>0</v>
      </c>
      <c r="K1276" s="7">
        <f t="shared" si="110"/>
        <v>0</v>
      </c>
      <c r="L1276" s="11">
        <v>4747.0528999999997</v>
      </c>
      <c r="M1276" s="12" cm="1">
        <f t="array" ref="M1276">IF(($R$34+SUMPRODUCT(TRANSPOSE(D1276:K1276),$R$35:$R$42))&lt;0,"-",$R$34+SUMPRODUCT(TRANSPOSE(D1276:K1276),$R$35:$R$42))</f>
        <v>5725.7291532014751</v>
      </c>
      <c r="N1276" s="13" t="str">
        <f t="shared" si="106"/>
        <v>-</v>
      </c>
      <c r="O1276" s="13">
        <f t="shared" si="107"/>
        <v>17849.933730236597</v>
      </c>
    </row>
    <row r="1277" spans="1:15" x14ac:dyDescent="0.25">
      <c r="A1277" s="1" t="s">
        <v>3</v>
      </c>
      <c r="B1277" s="1" t="s">
        <v>1</v>
      </c>
      <c r="C1277" s="1" t="s">
        <v>5</v>
      </c>
      <c r="D1277" s="1">
        <v>26</v>
      </c>
      <c r="E1277" s="1">
        <v>27.06</v>
      </c>
      <c r="F1277" s="1">
        <v>0</v>
      </c>
      <c r="G1277" s="7">
        <f t="shared" si="105"/>
        <v>0</v>
      </c>
      <c r="H1277" s="7">
        <f t="shared" si="108"/>
        <v>1</v>
      </c>
      <c r="I1277" s="7">
        <f t="shared" si="110"/>
        <v>1</v>
      </c>
      <c r="J1277" s="7">
        <f t="shared" si="110"/>
        <v>0</v>
      </c>
      <c r="K1277" s="7">
        <f t="shared" si="110"/>
        <v>0</v>
      </c>
      <c r="L1277" s="11">
        <v>17043.341400000001</v>
      </c>
      <c r="M1277" s="12" cm="1">
        <f t="array" ref="M1277">IF(($R$34+SUMPRODUCT(TRANSPOSE(D1277:K1277),$R$35:$R$42))&lt;0,"-",$R$34+SUMPRODUCT(TRANSPOSE(D1277:K1277),$R$35:$R$42))</f>
        <v>26600.499577643044</v>
      </c>
      <c r="N1277" s="13">
        <f t="shared" si="106"/>
        <v>14476.295000607921</v>
      </c>
      <c r="O1277" s="13">
        <f t="shared" si="107"/>
        <v>38724.704154678169</v>
      </c>
    </row>
    <row r="1278" spans="1:15" x14ac:dyDescent="0.25">
      <c r="A1278" s="1" t="s">
        <v>3</v>
      </c>
      <c r="B1278" s="1" t="s">
        <v>4</v>
      </c>
      <c r="C1278" s="1" t="s">
        <v>2</v>
      </c>
      <c r="D1278" s="1">
        <v>57</v>
      </c>
      <c r="E1278" s="1">
        <v>23.7</v>
      </c>
      <c r="F1278" s="1">
        <v>0</v>
      </c>
      <c r="G1278" s="7">
        <f t="shared" si="105"/>
        <v>0</v>
      </c>
      <c r="H1278" s="7">
        <f t="shared" si="108"/>
        <v>0</v>
      </c>
      <c r="I1278" s="7">
        <f t="shared" si="110"/>
        <v>0</v>
      </c>
      <c r="J1278" s="7">
        <f t="shared" si="110"/>
        <v>0</v>
      </c>
      <c r="K1278" s="7">
        <f t="shared" si="110"/>
        <v>0</v>
      </c>
      <c r="L1278" s="11">
        <v>10959.33</v>
      </c>
      <c r="M1278" s="12" cm="1">
        <f t="array" ref="M1278">IF(($R$34+SUMPRODUCT(TRANSPOSE(D1278:K1278),$R$35:$R$42))&lt;0,"-",$R$34+SUMPRODUCT(TRANSPOSE(D1278:K1278),$R$35:$R$42))</f>
        <v>9649.793018342596</v>
      </c>
      <c r="N1278" s="13" t="str">
        <f t="shared" si="106"/>
        <v>-</v>
      </c>
      <c r="O1278" s="13">
        <f t="shared" si="107"/>
        <v>21773.997595377718</v>
      </c>
    </row>
    <row r="1279" spans="1:15" x14ac:dyDescent="0.25">
      <c r="A1279" s="1" t="s">
        <v>0</v>
      </c>
      <c r="B1279" s="1" t="s">
        <v>4</v>
      </c>
      <c r="C1279" s="1" t="s">
        <v>7</v>
      </c>
      <c r="D1279" s="1">
        <v>22</v>
      </c>
      <c r="E1279" s="1">
        <v>30.4</v>
      </c>
      <c r="F1279" s="1">
        <v>0</v>
      </c>
      <c r="G1279" s="7">
        <f t="shared" si="105"/>
        <v>1</v>
      </c>
      <c r="H1279" s="7">
        <f t="shared" si="108"/>
        <v>0</v>
      </c>
      <c r="I1279" s="7">
        <f t="shared" si="110"/>
        <v>0</v>
      </c>
      <c r="J1279" s="7">
        <f t="shared" si="110"/>
        <v>0</v>
      </c>
      <c r="K1279" s="7">
        <f t="shared" si="110"/>
        <v>1</v>
      </c>
      <c r="L1279" s="11">
        <v>2741.9479999999999</v>
      </c>
      <c r="M1279" s="12" cm="1">
        <f t="array" ref="M1279">IF(($R$34+SUMPRODUCT(TRANSPOSE(D1279:K1279),$R$35:$R$42))&lt;0,"-",$R$34+SUMPRODUCT(TRANSPOSE(D1279:K1279),$R$35:$R$42))</f>
        <v>4023.7821694239829</v>
      </c>
      <c r="N1279" s="13" t="str">
        <f t="shared" si="106"/>
        <v>-</v>
      </c>
      <c r="O1279" s="13">
        <f t="shared" si="107"/>
        <v>16147.986746459106</v>
      </c>
    </row>
    <row r="1280" spans="1:15" x14ac:dyDescent="0.25">
      <c r="A1280" s="1" t="s">
        <v>0</v>
      </c>
      <c r="B1280" s="1" t="s">
        <v>4</v>
      </c>
      <c r="C1280" s="1" t="s">
        <v>6</v>
      </c>
      <c r="D1280" s="1">
        <v>32</v>
      </c>
      <c r="E1280" s="1">
        <v>29.734999999999999</v>
      </c>
      <c r="F1280" s="1">
        <v>0</v>
      </c>
      <c r="G1280" s="7">
        <f t="shared" si="105"/>
        <v>1</v>
      </c>
      <c r="H1280" s="7">
        <f t="shared" si="108"/>
        <v>0</v>
      </c>
      <c r="I1280" s="7">
        <f t="shared" si="110"/>
        <v>0</v>
      </c>
      <c r="J1280" s="7">
        <f t="shared" si="110"/>
        <v>1</v>
      </c>
      <c r="K1280" s="7">
        <f t="shared" si="110"/>
        <v>0</v>
      </c>
      <c r="L1280" s="11">
        <v>4357.0436499999996</v>
      </c>
      <c r="M1280" s="12" cm="1">
        <f t="array" ref="M1280">IF(($R$34+SUMPRODUCT(TRANSPOSE(D1280:K1280),$R$35:$R$42))&lt;0,"-",$R$34+SUMPRODUCT(TRANSPOSE(D1280:K1280),$R$35:$R$42))</f>
        <v>6013.8181487216134</v>
      </c>
      <c r="N1280" s="13" t="str">
        <f t="shared" si="106"/>
        <v>-</v>
      </c>
      <c r="O1280" s="13">
        <f t="shared" si="107"/>
        <v>18138.022725756739</v>
      </c>
    </row>
    <row r="1281" spans="1:15" x14ac:dyDescent="0.25">
      <c r="A1281" s="1" t="s">
        <v>3</v>
      </c>
      <c r="B1281" s="1" t="s">
        <v>1</v>
      </c>
      <c r="C1281" s="1" t="s">
        <v>7</v>
      </c>
      <c r="D1281" s="1">
        <v>39</v>
      </c>
      <c r="E1281" s="1">
        <v>29.925000000000001</v>
      </c>
      <c r="F1281" s="1">
        <v>1</v>
      </c>
      <c r="G1281" s="7">
        <f t="shared" si="105"/>
        <v>0</v>
      </c>
      <c r="H1281" s="7">
        <f t="shared" si="108"/>
        <v>1</v>
      </c>
      <c r="I1281" s="7">
        <f t="shared" si="110"/>
        <v>0</v>
      </c>
      <c r="J1281" s="7">
        <f t="shared" si="110"/>
        <v>0</v>
      </c>
      <c r="K1281" s="7">
        <f t="shared" si="110"/>
        <v>1</v>
      </c>
      <c r="L1281" s="11">
        <v>22462.043750000001</v>
      </c>
      <c r="M1281" s="12" cm="1">
        <f t="array" ref="M1281">IF(($R$34+SUMPRODUCT(TRANSPOSE(D1281:K1281),$R$35:$R$42))&lt;0,"-",$R$34+SUMPRODUCT(TRANSPOSE(D1281:K1281),$R$35:$R$42))</f>
        <v>32421.943999760566</v>
      </c>
      <c r="N1281" s="13">
        <f t="shared" si="106"/>
        <v>20297.739422725441</v>
      </c>
      <c r="O1281" s="13">
        <f t="shared" si="107"/>
        <v>44546.148576795691</v>
      </c>
    </row>
    <row r="1282" spans="1:15" x14ac:dyDescent="0.25">
      <c r="A1282" s="1" t="s">
        <v>0</v>
      </c>
      <c r="B1282" s="1" t="s">
        <v>4</v>
      </c>
      <c r="C1282" s="1" t="s">
        <v>6</v>
      </c>
      <c r="D1282" s="1">
        <v>25</v>
      </c>
      <c r="E1282" s="1">
        <v>26.79</v>
      </c>
      <c r="F1282" s="1">
        <v>2</v>
      </c>
      <c r="G1282" s="7">
        <f t="shared" si="105"/>
        <v>1</v>
      </c>
      <c r="H1282" s="7">
        <f t="shared" si="108"/>
        <v>0</v>
      </c>
      <c r="I1282" s="7">
        <f t="shared" si="110"/>
        <v>0</v>
      </c>
      <c r="J1282" s="7">
        <f t="shared" si="110"/>
        <v>1</v>
      </c>
      <c r="K1282" s="7">
        <f t="shared" si="110"/>
        <v>0</v>
      </c>
      <c r="L1282" s="11">
        <v>4189.1130999999996</v>
      </c>
      <c r="M1282" s="12" cm="1">
        <f t="array" ref="M1282">IF(($R$34+SUMPRODUCT(TRANSPOSE(D1282:K1282),$R$35:$R$42))&lt;0,"-",$R$34+SUMPRODUCT(TRANSPOSE(D1282:K1282),$R$35:$R$42))</f>
        <v>4167.9000503745192</v>
      </c>
      <c r="N1282" s="13" t="str">
        <f t="shared" si="106"/>
        <v>-</v>
      </c>
      <c r="O1282" s="13">
        <f t="shared" si="107"/>
        <v>16292.104627409642</v>
      </c>
    </row>
    <row r="1283" spans="1:15" x14ac:dyDescent="0.25">
      <c r="A1283" s="1" t="s">
        <v>0</v>
      </c>
      <c r="B1283" s="1" t="s">
        <v>4</v>
      </c>
      <c r="C1283" s="1" t="s">
        <v>5</v>
      </c>
      <c r="D1283" s="1">
        <v>48</v>
      </c>
      <c r="E1283" s="1">
        <v>33.33</v>
      </c>
      <c r="F1283" s="1">
        <v>0</v>
      </c>
      <c r="G1283" s="7">
        <f t="shared" ref="G1283:G1340" si="111">IF($A1283=G$2,1,0)</f>
        <v>1</v>
      </c>
      <c r="H1283" s="7">
        <f t="shared" si="108"/>
        <v>0</v>
      </c>
      <c r="I1283" s="7">
        <f t="shared" si="110"/>
        <v>1</v>
      </c>
      <c r="J1283" s="7">
        <f t="shared" si="110"/>
        <v>0</v>
      </c>
      <c r="K1283" s="7">
        <f t="shared" si="110"/>
        <v>0</v>
      </c>
      <c r="L1283" s="11">
        <v>8283.6807000000008</v>
      </c>
      <c r="M1283" s="12" cm="1">
        <f t="array" ref="M1283">IF(($R$34+SUMPRODUCT(TRANSPOSE(D1283:K1283),$R$35:$R$42))&lt;0,"-",$R$34+SUMPRODUCT(TRANSPOSE(D1283:K1283),$R$35:$R$42))</f>
        <v>10660.862105086973</v>
      </c>
      <c r="N1283" s="13" t="str">
        <f t="shared" ref="N1283:N1340" si="112">IFERROR(IF($M1283-(2*$R$24)&lt;0,"-",($M1283-(2*$R$24))),"-")</f>
        <v>-</v>
      </c>
      <c r="O1283" s="13">
        <f t="shared" ref="O1283:O1340" si="113">IFERROR(IF($L1283+(2*$R$24)&lt;0,"-",($M1283+(2*$R$24))),"-")</f>
        <v>22785.066682122095</v>
      </c>
    </row>
    <row r="1284" spans="1:15" x14ac:dyDescent="0.25">
      <c r="A1284" s="1" t="s">
        <v>0</v>
      </c>
      <c r="B1284" s="1" t="s">
        <v>1</v>
      </c>
      <c r="C1284" s="1" t="s">
        <v>6</v>
      </c>
      <c r="D1284" s="1">
        <v>47</v>
      </c>
      <c r="E1284" s="1">
        <v>27.645</v>
      </c>
      <c r="F1284" s="1">
        <v>2</v>
      </c>
      <c r="G1284" s="7">
        <f t="shared" si="111"/>
        <v>1</v>
      </c>
      <c r="H1284" s="7">
        <f t="shared" ref="H1284:H1340" si="114">IF(B1284="yes",1,0)</f>
        <v>1</v>
      </c>
      <c r="I1284" s="7">
        <f t="shared" ref="I1284:K1315" si="115">IF($C1284=I$2,1,0)</f>
        <v>0</v>
      </c>
      <c r="J1284" s="7">
        <f t="shared" si="115"/>
        <v>1</v>
      </c>
      <c r="K1284" s="7">
        <f t="shared" si="115"/>
        <v>0</v>
      </c>
      <c r="L1284" s="11">
        <v>24535.698550000001</v>
      </c>
      <c r="M1284" s="12" cm="1">
        <f t="array" ref="M1284">IF(($R$34+SUMPRODUCT(TRANSPOSE(D1284:K1284),$R$35:$R$42))&lt;0,"-",$R$34+SUMPRODUCT(TRANSPOSE(D1284:K1284),$R$35:$R$42))</f>
        <v>33957.284750946237</v>
      </c>
      <c r="N1284" s="13">
        <f t="shared" si="112"/>
        <v>21833.080173911112</v>
      </c>
      <c r="O1284" s="13">
        <f t="shared" si="113"/>
        <v>46081.489327981362</v>
      </c>
    </row>
    <row r="1285" spans="1:15" x14ac:dyDescent="0.25">
      <c r="A1285" s="1" t="s">
        <v>0</v>
      </c>
      <c r="B1285" s="1" t="s">
        <v>1</v>
      </c>
      <c r="C1285" s="1" t="s">
        <v>7</v>
      </c>
      <c r="D1285" s="1">
        <v>18</v>
      </c>
      <c r="E1285" s="1">
        <v>21.66</v>
      </c>
      <c r="F1285" s="1">
        <v>0</v>
      </c>
      <c r="G1285" s="7">
        <f t="shared" si="111"/>
        <v>1</v>
      </c>
      <c r="H1285" s="7">
        <f t="shared" si="114"/>
        <v>1</v>
      </c>
      <c r="I1285" s="7">
        <f t="shared" si="115"/>
        <v>0</v>
      </c>
      <c r="J1285" s="7">
        <f t="shared" si="115"/>
        <v>0</v>
      </c>
      <c r="K1285" s="7">
        <f t="shared" si="115"/>
        <v>1</v>
      </c>
      <c r="L1285" s="11">
        <v>14283.4594</v>
      </c>
      <c r="M1285" s="12" cm="1">
        <f t="array" ref="M1285">IF(($R$34+SUMPRODUCT(TRANSPOSE(D1285:K1285),$R$35:$R$42))&lt;0,"-",$R$34+SUMPRODUCT(TRANSPOSE(D1285:K1285),$R$35:$R$42))</f>
        <v>23880.340516628639</v>
      </c>
      <c r="N1285" s="13">
        <f t="shared" si="112"/>
        <v>11756.135939593516</v>
      </c>
      <c r="O1285" s="13">
        <f t="shared" si="113"/>
        <v>36004.545093663764</v>
      </c>
    </row>
    <row r="1286" spans="1:15" x14ac:dyDescent="0.25">
      <c r="A1286" s="1" t="s">
        <v>3</v>
      </c>
      <c r="B1286" s="1" t="s">
        <v>4</v>
      </c>
      <c r="C1286" s="1" t="s">
        <v>5</v>
      </c>
      <c r="D1286" s="1">
        <v>18</v>
      </c>
      <c r="E1286" s="1">
        <v>30.03</v>
      </c>
      <c r="F1286" s="1">
        <v>1</v>
      </c>
      <c r="G1286" s="7">
        <f t="shared" si="111"/>
        <v>0</v>
      </c>
      <c r="H1286" s="7">
        <f t="shared" si="114"/>
        <v>0</v>
      </c>
      <c r="I1286" s="7">
        <f t="shared" si="115"/>
        <v>1</v>
      </c>
      <c r="J1286" s="7">
        <f t="shared" si="115"/>
        <v>0</v>
      </c>
      <c r="K1286" s="7">
        <f t="shared" si="115"/>
        <v>0</v>
      </c>
      <c r="L1286" s="11">
        <v>1720.3536999999999</v>
      </c>
      <c r="M1286" s="12" cm="1">
        <f t="array" ref="M1286">IF(($R$34+SUMPRODUCT(TRANSPOSE(D1286:K1286),$R$35:$R$42))&lt;0,"-",$R$34+SUMPRODUCT(TRANSPOSE(D1286:K1286),$R$35:$R$42))</f>
        <v>2180.0193178047903</v>
      </c>
      <c r="N1286" s="13" t="str">
        <f t="shared" si="112"/>
        <v>-</v>
      </c>
      <c r="O1286" s="13">
        <f t="shared" si="113"/>
        <v>14304.223894839914</v>
      </c>
    </row>
    <row r="1287" spans="1:15" x14ac:dyDescent="0.25">
      <c r="A1287" s="1" t="s">
        <v>3</v>
      </c>
      <c r="B1287" s="1" t="s">
        <v>1</v>
      </c>
      <c r="C1287" s="1" t="s">
        <v>2</v>
      </c>
      <c r="D1287" s="1">
        <v>61</v>
      </c>
      <c r="E1287" s="1">
        <v>36.299999999999997</v>
      </c>
      <c r="F1287" s="1">
        <v>1</v>
      </c>
      <c r="G1287" s="7">
        <f t="shared" si="111"/>
        <v>0</v>
      </c>
      <c r="H1287" s="7">
        <f t="shared" si="114"/>
        <v>1</v>
      </c>
      <c r="I1287" s="7">
        <f t="shared" si="115"/>
        <v>0</v>
      </c>
      <c r="J1287" s="7">
        <f t="shared" si="115"/>
        <v>0</v>
      </c>
      <c r="K1287" s="7">
        <f t="shared" si="115"/>
        <v>0</v>
      </c>
      <c r="L1287" s="11">
        <v>47403.88</v>
      </c>
      <c r="M1287" s="12" cm="1">
        <f t="array" ref="M1287">IF(($R$34+SUMPRODUCT(TRANSPOSE(D1287:K1287),$R$35:$R$42))&lt;0,"-",$R$34+SUMPRODUCT(TRANSPOSE(D1287:K1287),$R$35:$R$42))</f>
        <v>39275.091031050499</v>
      </c>
      <c r="N1287" s="13">
        <f t="shared" si="112"/>
        <v>27150.886454015374</v>
      </c>
      <c r="O1287" s="13">
        <f t="shared" si="113"/>
        <v>51399.295608085624</v>
      </c>
    </row>
    <row r="1288" spans="1:15" x14ac:dyDescent="0.25">
      <c r="A1288" s="1" t="s">
        <v>0</v>
      </c>
      <c r="B1288" s="1" t="s">
        <v>4</v>
      </c>
      <c r="C1288" s="1" t="s">
        <v>7</v>
      </c>
      <c r="D1288" s="1">
        <v>47</v>
      </c>
      <c r="E1288" s="1">
        <v>24.32</v>
      </c>
      <c r="F1288" s="1">
        <v>0</v>
      </c>
      <c r="G1288" s="7">
        <f t="shared" si="111"/>
        <v>1</v>
      </c>
      <c r="H1288" s="7">
        <f t="shared" si="114"/>
        <v>0</v>
      </c>
      <c r="I1288" s="7">
        <f t="shared" si="115"/>
        <v>0</v>
      </c>
      <c r="J1288" s="7">
        <f t="shared" si="115"/>
        <v>0</v>
      </c>
      <c r="K1288" s="7">
        <f t="shared" si="115"/>
        <v>1</v>
      </c>
      <c r="L1288" s="11">
        <v>8534.6718000000001</v>
      </c>
      <c r="M1288" s="12" cm="1">
        <f t="array" ref="M1288">IF(($R$34+SUMPRODUCT(TRANSPOSE(D1288:K1288),$R$35:$R$42))&lt;0,"-",$R$34+SUMPRODUCT(TRANSPOSE(D1288:K1288),$R$35:$R$42))</f>
        <v>8382.8947849037759</v>
      </c>
      <c r="N1288" s="13" t="str">
        <f t="shared" si="112"/>
        <v>-</v>
      </c>
      <c r="O1288" s="13">
        <f t="shared" si="113"/>
        <v>20507.099361938897</v>
      </c>
    </row>
    <row r="1289" spans="1:15" x14ac:dyDescent="0.25">
      <c r="A1289" s="1" t="s">
        <v>0</v>
      </c>
      <c r="B1289" s="1" t="s">
        <v>4</v>
      </c>
      <c r="C1289" s="1" t="s">
        <v>7</v>
      </c>
      <c r="D1289" s="1">
        <v>28</v>
      </c>
      <c r="E1289" s="1">
        <v>17.29</v>
      </c>
      <c r="F1289" s="1">
        <v>0</v>
      </c>
      <c r="G1289" s="7">
        <f t="shared" si="111"/>
        <v>1</v>
      </c>
      <c r="H1289" s="7">
        <f t="shared" si="114"/>
        <v>0</v>
      </c>
      <c r="I1289" s="7">
        <f t="shared" si="115"/>
        <v>0</v>
      </c>
      <c r="J1289" s="7">
        <f t="shared" si="115"/>
        <v>0</v>
      </c>
      <c r="K1289" s="7">
        <f t="shared" si="115"/>
        <v>1</v>
      </c>
      <c r="L1289" s="11">
        <v>3732.6251000000002</v>
      </c>
      <c r="M1289" s="12" cm="1">
        <f t="array" ref="M1289">IF(($R$34+SUMPRODUCT(TRANSPOSE(D1289:K1289),$R$35:$R$42))&lt;0,"-",$R$34+SUMPRODUCT(TRANSPOSE(D1289:K1289),$R$35:$R$42))</f>
        <v>1118.0941078099604</v>
      </c>
      <c r="N1289" s="13" t="str">
        <f t="shared" si="112"/>
        <v>-</v>
      </c>
      <c r="O1289" s="13">
        <f t="shared" si="113"/>
        <v>13242.298684845084</v>
      </c>
    </row>
    <row r="1290" spans="1:15" x14ac:dyDescent="0.25">
      <c r="A1290" s="1" t="s">
        <v>0</v>
      </c>
      <c r="B1290" s="1" t="s">
        <v>4</v>
      </c>
      <c r="C1290" s="1" t="s">
        <v>2</v>
      </c>
      <c r="D1290" s="1">
        <v>36</v>
      </c>
      <c r="E1290" s="1">
        <v>25.9</v>
      </c>
      <c r="F1290" s="1">
        <v>1</v>
      </c>
      <c r="G1290" s="7">
        <f t="shared" si="111"/>
        <v>1</v>
      </c>
      <c r="H1290" s="7">
        <f t="shared" si="114"/>
        <v>0</v>
      </c>
      <c r="I1290" s="7">
        <f t="shared" si="115"/>
        <v>0</v>
      </c>
      <c r="J1290" s="7">
        <f t="shared" si="115"/>
        <v>0</v>
      </c>
      <c r="K1290" s="7">
        <f t="shared" si="115"/>
        <v>0</v>
      </c>
      <c r="L1290" s="11">
        <v>5472.4489999999996</v>
      </c>
      <c r="M1290" s="12" cm="1">
        <f t="array" ref="M1290">IF(($R$34+SUMPRODUCT(TRANSPOSE(D1290:K1290),$R$35:$R$42))&lt;0,"-",$R$34+SUMPRODUCT(TRANSPOSE(D1290:K1290),$R$35:$R$42))</f>
        <v>5608.8501175463753</v>
      </c>
      <c r="N1290" s="13" t="str">
        <f t="shared" si="112"/>
        <v>-</v>
      </c>
      <c r="O1290" s="13">
        <f t="shared" si="113"/>
        <v>17733.0546945815</v>
      </c>
    </row>
    <row r="1291" spans="1:15" x14ac:dyDescent="0.25">
      <c r="A1291" s="1" t="s">
        <v>3</v>
      </c>
      <c r="B1291" s="1" t="s">
        <v>1</v>
      </c>
      <c r="C1291" s="1" t="s">
        <v>2</v>
      </c>
      <c r="D1291" s="1">
        <v>20</v>
      </c>
      <c r="E1291" s="1">
        <v>39.4</v>
      </c>
      <c r="F1291" s="1">
        <v>2</v>
      </c>
      <c r="G1291" s="7">
        <f t="shared" si="111"/>
        <v>0</v>
      </c>
      <c r="H1291" s="7">
        <f t="shared" si="114"/>
        <v>1</v>
      </c>
      <c r="I1291" s="7">
        <f t="shared" si="115"/>
        <v>0</v>
      </c>
      <c r="J1291" s="7">
        <f t="shared" si="115"/>
        <v>0</v>
      </c>
      <c r="K1291" s="7">
        <f t="shared" si="115"/>
        <v>0</v>
      </c>
      <c r="L1291" s="11">
        <v>38344.565999999999</v>
      </c>
      <c r="M1291" s="12" cm="1">
        <f t="array" ref="M1291">IF(($R$34+SUMPRODUCT(TRANSPOSE(D1291:K1291),$R$35:$R$42))&lt;0,"-",$R$34+SUMPRODUCT(TRANSPOSE(D1291:K1291),$R$35:$R$42))</f>
        <v>30270.980828361971</v>
      </c>
      <c r="N1291" s="13">
        <f t="shared" si="112"/>
        <v>18146.776251326846</v>
      </c>
      <c r="O1291" s="13">
        <f t="shared" si="113"/>
        <v>42395.185405397096</v>
      </c>
    </row>
    <row r="1292" spans="1:15" x14ac:dyDescent="0.25">
      <c r="A1292" s="1" t="s">
        <v>3</v>
      </c>
      <c r="B1292" s="1" t="s">
        <v>4</v>
      </c>
      <c r="C1292" s="1" t="s">
        <v>5</v>
      </c>
      <c r="D1292" s="1">
        <v>44</v>
      </c>
      <c r="E1292" s="1">
        <v>34.32</v>
      </c>
      <c r="F1292" s="1">
        <v>1</v>
      </c>
      <c r="G1292" s="7">
        <f t="shared" si="111"/>
        <v>0</v>
      </c>
      <c r="H1292" s="7">
        <f t="shared" si="114"/>
        <v>0</v>
      </c>
      <c r="I1292" s="7">
        <f t="shared" si="115"/>
        <v>1</v>
      </c>
      <c r="J1292" s="7">
        <f t="shared" si="115"/>
        <v>0</v>
      </c>
      <c r="K1292" s="7">
        <f t="shared" si="115"/>
        <v>0</v>
      </c>
      <c r="L1292" s="11">
        <v>7147.4727999999996</v>
      </c>
      <c r="M1292" s="12" cm="1">
        <f t="array" ref="M1292">IF(($R$34+SUMPRODUCT(TRANSPOSE(D1292:K1292),$R$35:$R$42))&lt;0,"-",$R$34+SUMPRODUCT(TRANSPOSE(D1292:K1292),$R$35:$R$42))</f>
        <v>10313.42439976634</v>
      </c>
      <c r="N1292" s="13" t="str">
        <f t="shared" si="112"/>
        <v>-</v>
      </c>
      <c r="O1292" s="13">
        <f t="shared" si="113"/>
        <v>22437.628976801461</v>
      </c>
    </row>
    <row r="1293" spans="1:15" x14ac:dyDescent="0.25">
      <c r="A1293" s="1" t="s">
        <v>0</v>
      </c>
      <c r="B1293" s="1" t="s">
        <v>4</v>
      </c>
      <c r="C1293" s="1" t="s">
        <v>7</v>
      </c>
      <c r="D1293" s="1">
        <v>38</v>
      </c>
      <c r="E1293" s="1">
        <v>19.95</v>
      </c>
      <c r="F1293" s="1">
        <v>2</v>
      </c>
      <c r="G1293" s="7">
        <f t="shared" si="111"/>
        <v>1</v>
      </c>
      <c r="H1293" s="7">
        <f t="shared" si="114"/>
        <v>0</v>
      </c>
      <c r="I1293" s="7">
        <f t="shared" si="115"/>
        <v>0</v>
      </c>
      <c r="J1293" s="7">
        <f t="shared" si="115"/>
        <v>0</v>
      </c>
      <c r="K1293" s="7">
        <f t="shared" si="115"/>
        <v>1</v>
      </c>
      <c r="L1293" s="11">
        <v>7133.9025000000001</v>
      </c>
      <c r="M1293" s="12" cm="1">
        <f t="array" ref="M1293">IF(($R$34+SUMPRODUCT(TRANSPOSE(D1293:K1293),$R$35:$R$42))&lt;0,"-",$R$34+SUMPRODUCT(TRANSPOSE(D1293:K1293),$R$35:$R$42))</f>
        <v>5539.9133100865402</v>
      </c>
      <c r="N1293" s="13" t="str">
        <f t="shared" si="112"/>
        <v>-</v>
      </c>
      <c r="O1293" s="13">
        <f t="shared" si="113"/>
        <v>17664.117887121662</v>
      </c>
    </row>
    <row r="1294" spans="1:15" x14ac:dyDescent="0.25">
      <c r="A1294" s="1" t="s">
        <v>3</v>
      </c>
      <c r="B1294" s="1" t="s">
        <v>1</v>
      </c>
      <c r="C1294" s="1" t="s">
        <v>2</v>
      </c>
      <c r="D1294" s="1">
        <v>19</v>
      </c>
      <c r="E1294" s="1">
        <v>34.9</v>
      </c>
      <c r="F1294" s="1">
        <v>0</v>
      </c>
      <c r="G1294" s="7">
        <f t="shared" si="111"/>
        <v>0</v>
      </c>
      <c r="H1294" s="7">
        <f t="shared" si="114"/>
        <v>1</v>
      </c>
      <c r="I1294" s="7">
        <f t="shared" si="115"/>
        <v>0</v>
      </c>
      <c r="J1294" s="7">
        <f t="shared" si="115"/>
        <v>0</v>
      </c>
      <c r="K1294" s="7">
        <f t="shared" si="115"/>
        <v>0</v>
      </c>
      <c r="L1294" s="11">
        <v>34828.654000000002</v>
      </c>
      <c r="M1294" s="12" cm="1">
        <f t="array" ref="M1294">IF(($R$34+SUMPRODUCT(TRANSPOSE(D1294:K1294),$R$35:$R$42))&lt;0,"-",$R$34+SUMPRODUCT(TRANSPOSE(D1294:K1294),$R$35:$R$42))</f>
        <v>27536.75284427758</v>
      </c>
      <c r="N1294" s="13">
        <f t="shared" si="112"/>
        <v>15412.548267242457</v>
      </c>
      <c r="O1294" s="13">
        <f t="shared" si="113"/>
        <v>39660.957421312705</v>
      </c>
    </row>
    <row r="1295" spans="1:15" x14ac:dyDescent="0.25">
      <c r="A1295" s="1" t="s">
        <v>3</v>
      </c>
      <c r="B1295" s="1" t="s">
        <v>4</v>
      </c>
      <c r="C1295" s="1" t="s">
        <v>5</v>
      </c>
      <c r="D1295" s="1">
        <v>21</v>
      </c>
      <c r="E1295" s="1">
        <v>23.21</v>
      </c>
      <c r="F1295" s="1">
        <v>0</v>
      </c>
      <c r="G1295" s="7">
        <f t="shared" si="111"/>
        <v>0</v>
      </c>
      <c r="H1295" s="7">
        <f t="shared" si="114"/>
        <v>0</v>
      </c>
      <c r="I1295" s="7">
        <f t="shared" si="115"/>
        <v>1</v>
      </c>
      <c r="J1295" s="7">
        <f t="shared" si="115"/>
        <v>0</v>
      </c>
      <c r="K1295" s="7">
        <f t="shared" si="115"/>
        <v>0</v>
      </c>
      <c r="L1295" s="11">
        <v>1515.3449000000001</v>
      </c>
      <c r="M1295" s="12" cm="1">
        <f t="array" ref="M1295">IF(($R$34+SUMPRODUCT(TRANSPOSE(D1295:K1295),$R$35:$R$42))&lt;0,"-",$R$34+SUMPRODUCT(TRANSPOSE(D1295:K1295),$R$35:$R$42))</f>
        <v>161.78847664177192</v>
      </c>
      <c r="N1295" s="13" t="str">
        <f t="shared" si="112"/>
        <v>-</v>
      </c>
      <c r="O1295" s="13">
        <f t="shared" si="113"/>
        <v>12285.993053676895</v>
      </c>
    </row>
    <row r="1296" spans="1:15" x14ac:dyDescent="0.25">
      <c r="A1296" s="1" t="s">
        <v>3</v>
      </c>
      <c r="B1296" s="1" t="s">
        <v>4</v>
      </c>
      <c r="C1296" s="1" t="s">
        <v>6</v>
      </c>
      <c r="D1296" s="1">
        <v>46</v>
      </c>
      <c r="E1296" s="1">
        <v>25.745000000000001</v>
      </c>
      <c r="F1296" s="1">
        <v>3</v>
      </c>
      <c r="G1296" s="7">
        <f t="shared" si="111"/>
        <v>0</v>
      </c>
      <c r="H1296" s="7">
        <f t="shared" si="114"/>
        <v>0</v>
      </c>
      <c r="I1296" s="7">
        <f t="shared" si="115"/>
        <v>0</v>
      </c>
      <c r="J1296" s="7">
        <f t="shared" si="115"/>
        <v>1</v>
      </c>
      <c r="K1296" s="7">
        <f t="shared" si="115"/>
        <v>0</v>
      </c>
      <c r="L1296" s="11">
        <v>9301.8935500000007</v>
      </c>
      <c r="M1296" s="12" cm="1">
        <f t="array" ref="M1296">IF(($R$34+SUMPRODUCT(TRANSPOSE(D1296:K1296),$R$35:$R$42))&lt;0,"-",$R$34+SUMPRODUCT(TRANSPOSE(D1296:K1296),$R$35:$R$42))</f>
        <v>9551.6124803895254</v>
      </c>
      <c r="N1296" s="13" t="str">
        <f t="shared" si="112"/>
        <v>-</v>
      </c>
      <c r="O1296" s="13">
        <f t="shared" si="113"/>
        <v>21675.817057424647</v>
      </c>
    </row>
    <row r="1297" spans="1:15" x14ac:dyDescent="0.25">
      <c r="A1297" s="1" t="s">
        <v>3</v>
      </c>
      <c r="B1297" s="1" t="s">
        <v>4</v>
      </c>
      <c r="C1297" s="1" t="s">
        <v>7</v>
      </c>
      <c r="D1297" s="1">
        <v>58</v>
      </c>
      <c r="E1297" s="1">
        <v>25.175000000000001</v>
      </c>
      <c r="F1297" s="1">
        <v>0</v>
      </c>
      <c r="G1297" s="7">
        <f t="shared" si="111"/>
        <v>0</v>
      </c>
      <c r="H1297" s="7">
        <f t="shared" si="114"/>
        <v>0</v>
      </c>
      <c r="I1297" s="7">
        <f t="shared" si="115"/>
        <v>0</v>
      </c>
      <c r="J1297" s="7">
        <f t="shared" si="115"/>
        <v>0</v>
      </c>
      <c r="K1297" s="7">
        <f t="shared" si="115"/>
        <v>1</v>
      </c>
      <c r="L1297" s="11">
        <v>11931.125249999999</v>
      </c>
      <c r="M1297" s="12" cm="1">
        <f t="array" ref="M1297">IF(($R$34+SUMPRODUCT(TRANSPOSE(D1297:K1297),$R$35:$R$42))&lt;0,"-",$R$34+SUMPRODUCT(TRANSPOSE(D1297:K1297),$R$35:$R$42))</f>
        <v>11367.010706256766</v>
      </c>
      <c r="N1297" s="13" t="str">
        <f t="shared" si="112"/>
        <v>-</v>
      </c>
      <c r="O1297" s="13">
        <f t="shared" si="113"/>
        <v>23491.215283291887</v>
      </c>
    </row>
    <row r="1298" spans="1:15" x14ac:dyDescent="0.25">
      <c r="A1298" s="1" t="s">
        <v>3</v>
      </c>
      <c r="B1298" s="1" t="s">
        <v>4</v>
      </c>
      <c r="C1298" s="1" t="s">
        <v>2</v>
      </c>
      <c r="D1298" s="1">
        <v>20</v>
      </c>
      <c r="E1298" s="1">
        <v>22</v>
      </c>
      <c r="F1298" s="1">
        <v>1</v>
      </c>
      <c r="G1298" s="7">
        <f t="shared" si="111"/>
        <v>0</v>
      </c>
      <c r="H1298" s="7">
        <f t="shared" si="114"/>
        <v>0</v>
      </c>
      <c r="I1298" s="7">
        <f t="shared" si="115"/>
        <v>0</v>
      </c>
      <c r="J1298" s="7">
        <f t="shared" si="115"/>
        <v>0</v>
      </c>
      <c r="K1298" s="7">
        <f t="shared" si="115"/>
        <v>0</v>
      </c>
      <c r="L1298" s="11">
        <v>1964.78</v>
      </c>
      <c r="M1298" s="12" cm="1">
        <f t="array" ref="M1298">IF(($R$34+SUMPRODUCT(TRANSPOSE(D1298:K1298),$R$35:$R$42))&lt;0,"-",$R$34+SUMPRODUCT(TRANSPOSE(D1298:K1298),$R$35:$R$42))</f>
        <v>44.979648471426117</v>
      </c>
      <c r="N1298" s="13" t="str">
        <f t="shared" si="112"/>
        <v>-</v>
      </c>
      <c r="O1298" s="13">
        <f t="shared" si="113"/>
        <v>12169.184225506549</v>
      </c>
    </row>
    <row r="1299" spans="1:15" x14ac:dyDescent="0.25">
      <c r="A1299" s="1" t="s">
        <v>3</v>
      </c>
      <c r="B1299" s="1" t="s">
        <v>4</v>
      </c>
      <c r="C1299" s="1" t="s">
        <v>7</v>
      </c>
      <c r="D1299" s="1">
        <v>18</v>
      </c>
      <c r="E1299" s="1">
        <v>26.125</v>
      </c>
      <c r="F1299" s="1">
        <v>0</v>
      </c>
      <c r="G1299" s="7">
        <f t="shared" si="111"/>
        <v>0</v>
      </c>
      <c r="H1299" s="7">
        <f t="shared" si="114"/>
        <v>0</v>
      </c>
      <c r="I1299" s="7">
        <f t="shared" si="115"/>
        <v>0</v>
      </c>
      <c r="J1299" s="7">
        <f t="shared" si="115"/>
        <v>0</v>
      </c>
      <c r="K1299" s="7">
        <f t="shared" si="115"/>
        <v>1</v>
      </c>
      <c r="L1299" s="11">
        <v>1708.9257500000001</v>
      </c>
      <c r="M1299" s="12" cm="1">
        <f t="array" ref="M1299">IF(($R$34+SUMPRODUCT(TRANSPOSE(D1299:K1299),$R$35:$R$42))&lt;0,"-",$R$34+SUMPRODUCT(TRANSPOSE(D1299:K1299),$R$35:$R$42))</f>
        <v>1414.9903856931451</v>
      </c>
      <c r="N1299" s="13" t="str">
        <f t="shared" si="112"/>
        <v>-</v>
      </c>
      <c r="O1299" s="13">
        <f t="shared" si="113"/>
        <v>13539.194962728268</v>
      </c>
    </row>
    <row r="1300" spans="1:15" x14ac:dyDescent="0.25">
      <c r="A1300" s="1" t="s">
        <v>0</v>
      </c>
      <c r="B1300" s="1" t="s">
        <v>4</v>
      </c>
      <c r="C1300" s="1" t="s">
        <v>5</v>
      </c>
      <c r="D1300" s="1">
        <v>28</v>
      </c>
      <c r="E1300" s="1">
        <v>26.51</v>
      </c>
      <c r="F1300" s="1">
        <v>2</v>
      </c>
      <c r="G1300" s="7">
        <f t="shared" si="111"/>
        <v>1</v>
      </c>
      <c r="H1300" s="7">
        <f t="shared" si="114"/>
        <v>0</v>
      </c>
      <c r="I1300" s="7">
        <f t="shared" si="115"/>
        <v>1</v>
      </c>
      <c r="J1300" s="7">
        <f t="shared" si="115"/>
        <v>0</v>
      </c>
      <c r="K1300" s="7">
        <f t="shared" si="115"/>
        <v>0</v>
      </c>
      <c r="L1300" s="11">
        <v>4340.4408999999996</v>
      </c>
      <c r="M1300" s="12" cm="1">
        <f t="array" ref="M1300">IF(($R$34+SUMPRODUCT(TRANSPOSE(D1300:K1300),$R$35:$R$42))&lt;0,"-",$R$34+SUMPRODUCT(TRANSPOSE(D1300:K1300),$R$35:$R$42))</f>
        <v>4161.436791012351</v>
      </c>
      <c r="N1300" s="13" t="str">
        <f t="shared" si="112"/>
        <v>-</v>
      </c>
      <c r="O1300" s="13">
        <f t="shared" si="113"/>
        <v>16285.641368047474</v>
      </c>
    </row>
    <row r="1301" spans="1:15" x14ac:dyDescent="0.25">
      <c r="A1301" s="1" t="s">
        <v>3</v>
      </c>
      <c r="B1301" s="1" t="s">
        <v>4</v>
      </c>
      <c r="C1301" s="1" t="s">
        <v>6</v>
      </c>
      <c r="D1301" s="1">
        <v>33</v>
      </c>
      <c r="E1301" s="1">
        <v>27.454999999999998</v>
      </c>
      <c r="F1301" s="1">
        <v>2</v>
      </c>
      <c r="G1301" s="7">
        <f t="shared" si="111"/>
        <v>0</v>
      </c>
      <c r="H1301" s="7">
        <f t="shared" si="114"/>
        <v>0</v>
      </c>
      <c r="I1301" s="7">
        <f t="shared" si="115"/>
        <v>0</v>
      </c>
      <c r="J1301" s="7">
        <f t="shared" si="115"/>
        <v>1</v>
      </c>
      <c r="K1301" s="7">
        <f t="shared" si="115"/>
        <v>0</v>
      </c>
      <c r="L1301" s="11">
        <v>5261.4694499999996</v>
      </c>
      <c r="M1301" s="12" cm="1">
        <f t="array" ref="M1301">IF(($R$34+SUMPRODUCT(TRANSPOSE(D1301:K1301),$R$35:$R$42))&lt;0,"-",$R$34+SUMPRODUCT(TRANSPOSE(D1301:K1301),$R$35:$R$42))</f>
        <v>6317.0001579294039</v>
      </c>
      <c r="N1301" s="13" t="str">
        <f t="shared" si="112"/>
        <v>-</v>
      </c>
      <c r="O1301" s="13">
        <f t="shared" si="113"/>
        <v>18441.204734964529</v>
      </c>
    </row>
    <row r="1302" spans="1:15" x14ac:dyDescent="0.25">
      <c r="A1302" s="1" t="s">
        <v>0</v>
      </c>
      <c r="B1302" s="1" t="s">
        <v>4</v>
      </c>
      <c r="C1302" s="1" t="s">
        <v>6</v>
      </c>
      <c r="D1302" s="1">
        <v>19</v>
      </c>
      <c r="E1302" s="1">
        <v>25.745000000000001</v>
      </c>
      <c r="F1302" s="1">
        <v>1</v>
      </c>
      <c r="G1302" s="7">
        <f t="shared" si="111"/>
        <v>1</v>
      </c>
      <c r="H1302" s="7">
        <f t="shared" si="114"/>
        <v>0</v>
      </c>
      <c r="I1302" s="7">
        <f t="shared" si="115"/>
        <v>0</v>
      </c>
      <c r="J1302" s="7">
        <f t="shared" si="115"/>
        <v>1</v>
      </c>
      <c r="K1302" s="7">
        <f t="shared" si="115"/>
        <v>0</v>
      </c>
      <c r="L1302" s="11">
        <v>2710.8285500000002</v>
      </c>
      <c r="M1302" s="12" cm="1">
        <f t="array" ref="M1302">IF(($R$34+SUMPRODUCT(TRANSPOSE(D1302:K1302),$R$35:$R$42))&lt;0,"-",$R$34+SUMPRODUCT(TRANSPOSE(D1302:K1302),$R$35:$R$42))</f>
        <v>1796.8042309779721</v>
      </c>
      <c r="N1302" s="13" t="str">
        <f t="shared" si="112"/>
        <v>-</v>
      </c>
      <c r="O1302" s="13">
        <f t="shared" si="113"/>
        <v>13921.008808013095</v>
      </c>
    </row>
    <row r="1303" spans="1:15" x14ac:dyDescent="0.25">
      <c r="A1303" s="1" t="s">
        <v>3</v>
      </c>
      <c r="B1303" s="1" t="s">
        <v>1</v>
      </c>
      <c r="C1303" s="1" t="s">
        <v>5</v>
      </c>
      <c r="D1303" s="1">
        <v>45</v>
      </c>
      <c r="E1303" s="1">
        <v>30.36</v>
      </c>
      <c r="F1303" s="1">
        <v>0</v>
      </c>
      <c r="G1303" s="7">
        <f t="shared" si="111"/>
        <v>0</v>
      </c>
      <c r="H1303" s="7">
        <f t="shared" si="114"/>
        <v>1</v>
      </c>
      <c r="I1303" s="7">
        <f t="shared" si="115"/>
        <v>1</v>
      </c>
      <c r="J1303" s="7">
        <f t="shared" si="115"/>
        <v>0</v>
      </c>
      <c r="K1303" s="7">
        <f t="shared" si="115"/>
        <v>0</v>
      </c>
      <c r="L1303" s="11">
        <v>62592.873090000001</v>
      </c>
      <c r="M1303" s="12" cm="1">
        <f t="array" ref="M1303">IF(($R$34+SUMPRODUCT(TRANSPOSE(D1303:K1303),$R$35:$R$42))&lt;0,"-",$R$34+SUMPRODUCT(TRANSPOSE(D1303:K1303),$R$35:$R$42))</f>
        <v>32600.108672768423</v>
      </c>
      <c r="N1303" s="13">
        <f t="shared" si="112"/>
        <v>20475.904095733298</v>
      </c>
      <c r="O1303" s="13">
        <f t="shared" si="113"/>
        <v>44724.313249803548</v>
      </c>
    </row>
    <row r="1304" spans="1:15" x14ac:dyDescent="0.25">
      <c r="A1304" s="1" t="s">
        <v>3</v>
      </c>
      <c r="B1304" s="1" t="s">
        <v>1</v>
      </c>
      <c r="C1304" s="1" t="s">
        <v>6</v>
      </c>
      <c r="D1304" s="1">
        <v>62</v>
      </c>
      <c r="E1304" s="1">
        <v>30.875</v>
      </c>
      <c r="F1304" s="1">
        <v>3</v>
      </c>
      <c r="G1304" s="7">
        <f t="shared" si="111"/>
        <v>0</v>
      </c>
      <c r="H1304" s="7">
        <f t="shared" si="114"/>
        <v>1</v>
      </c>
      <c r="I1304" s="7">
        <f t="shared" si="115"/>
        <v>0</v>
      </c>
      <c r="J1304" s="7">
        <f t="shared" si="115"/>
        <v>1</v>
      </c>
      <c r="K1304" s="7">
        <f t="shared" si="115"/>
        <v>0</v>
      </c>
      <c r="L1304" s="11">
        <v>46718.163249999998</v>
      </c>
      <c r="M1304" s="12" cm="1">
        <f t="array" ref="M1304">IF(($R$34+SUMPRODUCT(TRANSPOSE(D1304:K1304),$R$35:$R$42))&lt;0,"-",$R$34+SUMPRODUCT(TRANSPOSE(D1304:K1304),$R$35:$R$42))</f>
        <v>39249.911079923499</v>
      </c>
      <c r="N1304" s="13">
        <f t="shared" si="112"/>
        <v>27125.706502888374</v>
      </c>
      <c r="O1304" s="13">
        <f t="shared" si="113"/>
        <v>51374.115656958624</v>
      </c>
    </row>
    <row r="1305" spans="1:15" x14ac:dyDescent="0.25">
      <c r="A1305" s="1" t="s">
        <v>0</v>
      </c>
      <c r="B1305" s="1" t="s">
        <v>4</v>
      </c>
      <c r="C1305" s="1" t="s">
        <v>2</v>
      </c>
      <c r="D1305" s="1">
        <v>25</v>
      </c>
      <c r="E1305" s="1">
        <v>20.8</v>
      </c>
      <c r="F1305" s="1">
        <v>1</v>
      </c>
      <c r="G1305" s="7">
        <f t="shared" si="111"/>
        <v>1</v>
      </c>
      <c r="H1305" s="7">
        <f t="shared" si="114"/>
        <v>0</v>
      </c>
      <c r="I1305" s="7">
        <f t="shared" si="115"/>
        <v>0</v>
      </c>
      <c r="J1305" s="7">
        <f t="shared" si="115"/>
        <v>0</v>
      </c>
      <c r="K1305" s="7">
        <f t="shared" si="115"/>
        <v>0</v>
      </c>
      <c r="L1305" s="11">
        <v>3208.7869999999998</v>
      </c>
      <c r="M1305" s="12" cm="1">
        <f t="array" ref="M1305">IF(($R$34+SUMPRODUCT(TRANSPOSE(D1305:K1305),$R$35:$R$42))&lt;0,"-",$R$34+SUMPRODUCT(TRANSPOSE(D1305:K1305),$R$35:$R$42))</f>
        <v>1053.5436262202657</v>
      </c>
      <c r="N1305" s="13" t="str">
        <f t="shared" si="112"/>
        <v>-</v>
      </c>
      <c r="O1305" s="13">
        <f t="shared" si="113"/>
        <v>13177.748203255389</v>
      </c>
    </row>
    <row r="1306" spans="1:15" x14ac:dyDescent="0.25">
      <c r="A1306" s="1" t="s">
        <v>3</v>
      </c>
      <c r="B1306" s="1" t="s">
        <v>1</v>
      </c>
      <c r="C1306" s="1" t="s">
        <v>2</v>
      </c>
      <c r="D1306" s="1">
        <v>43</v>
      </c>
      <c r="E1306" s="1">
        <v>27.8</v>
      </c>
      <c r="F1306" s="1">
        <v>0</v>
      </c>
      <c r="G1306" s="7">
        <f t="shared" si="111"/>
        <v>0</v>
      </c>
      <c r="H1306" s="7">
        <f t="shared" si="114"/>
        <v>1</v>
      </c>
      <c r="I1306" s="7">
        <f t="shared" si="115"/>
        <v>0</v>
      </c>
      <c r="J1306" s="7">
        <f t="shared" si="115"/>
        <v>0</v>
      </c>
      <c r="K1306" s="7">
        <f t="shared" si="115"/>
        <v>0</v>
      </c>
      <c r="L1306" s="11">
        <v>37829.724199999997</v>
      </c>
      <c r="M1306" s="12" cm="1">
        <f t="array" ref="M1306">IF(($R$34+SUMPRODUCT(TRANSPOSE(D1306:K1306),$R$35:$R$42))&lt;0,"-",$R$34+SUMPRODUCT(TRANSPOSE(D1306:K1306),$R$35:$R$42))</f>
        <v>31293.031784536972</v>
      </c>
      <c r="N1306" s="13">
        <f t="shared" si="112"/>
        <v>19168.827207501847</v>
      </c>
      <c r="O1306" s="13">
        <f t="shared" si="113"/>
        <v>43417.236361572097</v>
      </c>
    </row>
    <row r="1307" spans="1:15" x14ac:dyDescent="0.25">
      <c r="A1307" s="1" t="s">
        <v>3</v>
      </c>
      <c r="B1307" s="1" t="s">
        <v>1</v>
      </c>
      <c r="C1307" s="1" t="s">
        <v>7</v>
      </c>
      <c r="D1307" s="1">
        <v>42</v>
      </c>
      <c r="E1307" s="1">
        <v>24.605</v>
      </c>
      <c r="F1307" s="1">
        <v>2</v>
      </c>
      <c r="G1307" s="7">
        <f t="shared" si="111"/>
        <v>0</v>
      </c>
      <c r="H1307" s="7">
        <f t="shared" si="114"/>
        <v>1</v>
      </c>
      <c r="I1307" s="7">
        <f t="shared" si="115"/>
        <v>0</v>
      </c>
      <c r="J1307" s="7">
        <f t="shared" si="115"/>
        <v>0</v>
      </c>
      <c r="K1307" s="7">
        <f t="shared" si="115"/>
        <v>1</v>
      </c>
      <c r="L1307" s="11">
        <v>21259.377949999998</v>
      </c>
      <c r="M1307" s="12" cm="1">
        <f t="array" ref="M1307">IF(($R$34+SUMPRODUCT(TRANSPOSE(D1307:K1307),$R$35:$R$42))&lt;0,"-",$R$34+SUMPRODUCT(TRANSPOSE(D1307:K1307),$R$35:$R$42))</f>
        <v>31863.504429312074</v>
      </c>
      <c r="N1307" s="13">
        <f t="shared" si="112"/>
        <v>19739.299852276949</v>
      </c>
      <c r="O1307" s="13">
        <f t="shared" si="113"/>
        <v>43987.709006347199</v>
      </c>
    </row>
    <row r="1308" spans="1:15" x14ac:dyDescent="0.25">
      <c r="A1308" s="1" t="s">
        <v>0</v>
      </c>
      <c r="B1308" s="1" t="s">
        <v>4</v>
      </c>
      <c r="C1308" s="1" t="s">
        <v>5</v>
      </c>
      <c r="D1308" s="1">
        <v>24</v>
      </c>
      <c r="E1308" s="1">
        <v>27.72</v>
      </c>
      <c r="F1308" s="1">
        <v>0</v>
      </c>
      <c r="G1308" s="7">
        <f t="shared" si="111"/>
        <v>1</v>
      </c>
      <c r="H1308" s="7">
        <f t="shared" si="114"/>
        <v>0</v>
      </c>
      <c r="I1308" s="7">
        <f t="shared" si="115"/>
        <v>1</v>
      </c>
      <c r="J1308" s="7">
        <f t="shared" si="115"/>
        <v>0</v>
      </c>
      <c r="K1308" s="7">
        <f t="shared" si="115"/>
        <v>0</v>
      </c>
      <c r="L1308" s="11">
        <v>2464.6188000000002</v>
      </c>
      <c r="M1308" s="12" cm="1">
        <f t="array" ref="M1308">IF(($R$34+SUMPRODUCT(TRANSPOSE(D1308:K1308),$R$35:$R$42))&lt;0,"-",$R$34+SUMPRODUCT(TRANSPOSE(D1308:K1308),$R$35:$R$42))</f>
        <v>2593.4343694338113</v>
      </c>
      <c r="N1308" s="13" t="str">
        <f t="shared" si="112"/>
        <v>-</v>
      </c>
      <c r="O1308" s="13">
        <f t="shared" si="113"/>
        <v>14717.638946468935</v>
      </c>
    </row>
    <row r="1309" spans="1:15" x14ac:dyDescent="0.25">
      <c r="A1309" s="1" t="s">
        <v>0</v>
      </c>
      <c r="B1309" s="1" t="s">
        <v>1</v>
      </c>
      <c r="C1309" s="1" t="s">
        <v>7</v>
      </c>
      <c r="D1309" s="1">
        <v>29</v>
      </c>
      <c r="E1309" s="1">
        <v>21.85</v>
      </c>
      <c r="F1309" s="1">
        <v>0</v>
      </c>
      <c r="G1309" s="7">
        <f t="shared" si="111"/>
        <v>1</v>
      </c>
      <c r="H1309" s="7">
        <f t="shared" si="114"/>
        <v>1</v>
      </c>
      <c r="I1309" s="7">
        <f t="shared" si="115"/>
        <v>0</v>
      </c>
      <c r="J1309" s="7">
        <f t="shared" si="115"/>
        <v>0</v>
      </c>
      <c r="K1309" s="7">
        <f t="shared" si="115"/>
        <v>1</v>
      </c>
      <c r="L1309" s="11">
        <v>16115.3045</v>
      </c>
      <c r="M1309" s="12" cm="1">
        <f t="array" ref="M1309">IF(($R$34+SUMPRODUCT(TRANSPOSE(D1309:K1309),$R$35:$R$42))&lt;0,"-",$R$34+SUMPRODUCT(TRANSPOSE(D1309:K1309),$R$35:$R$42))</f>
        <v>26770.207150725531</v>
      </c>
      <c r="N1309" s="13">
        <f t="shared" si="112"/>
        <v>14646.002573690408</v>
      </c>
      <c r="O1309" s="13">
        <f t="shared" si="113"/>
        <v>38894.411727760657</v>
      </c>
    </row>
    <row r="1310" spans="1:15" x14ac:dyDescent="0.25">
      <c r="A1310" s="1" t="s">
        <v>3</v>
      </c>
      <c r="B1310" s="1" t="s">
        <v>1</v>
      </c>
      <c r="C1310" s="1" t="s">
        <v>6</v>
      </c>
      <c r="D1310" s="1">
        <v>32</v>
      </c>
      <c r="E1310" s="1">
        <v>28.12</v>
      </c>
      <c r="F1310" s="1">
        <v>4</v>
      </c>
      <c r="G1310" s="7">
        <f t="shared" si="111"/>
        <v>0</v>
      </c>
      <c r="H1310" s="7">
        <f t="shared" si="114"/>
        <v>1</v>
      </c>
      <c r="I1310" s="7">
        <f t="shared" si="115"/>
        <v>0</v>
      </c>
      <c r="J1310" s="7">
        <f t="shared" si="115"/>
        <v>1</v>
      </c>
      <c r="K1310" s="7">
        <f t="shared" si="115"/>
        <v>0</v>
      </c>
      <c r="L1310" s="11">
        <v>21472.478800000001</v>
      </c>
      <c r="M1310" s="12" cm="1">
        <f t="array" ref="M1310">IF(($R$34+SUMPRODUCT(TRANSPOSE(D1310:K1310),$R$35:$R$42))&lt;0,"-",$R$34+SUMPRODUCT(TRANSPOSE(D1310:K1310),$R$35:$R$42))</f>
        <v>31085.243084254318</v>
      </c>
      <c r="N1310" s="13">
        <f t="shared" si="112"/>
        <v>18961.038507219193</v>
      </c>
      <c r="O1310" s="13">
        <f t="shared" si="113"/>
        <v>43209.447661289443</v>
      </c>
    </row>
    <row r="1311" spans="1:15" x14ac:dyDescent="0.25">
      <c r="A1311" s="1" t="s">
        <v>0</v>
      </c>
      <c r="B1311" s="1" t="s">
        <v>1</v>
      </c>
      <c r="C1311" s="1" t="s">
        <v>2</v>
      </c>
      <c r="D1311" s="1">
        <v>25</v>
      </c>
      <c r="E1311" s="1">
        <v>30.2</v>
      </c>
      <c r="F1311" s="1">
        <v>0</v>
      </c>
      <c r="G1311" s="7">
        <f t="shared" si="111"/>
        <v>1</v>
      </c>
      <c r="H1311" s="7">
        <f t="shared" si="114"/>
        <v>1</v>
      </c>
      <c r="I1311" s="7">
        <f t="shared" si="115"/>
        <v>0</v>
      </c>
      <c r="J1311" s="7">
        <f t="shared" si="115"/>
        <v>0</v>
      </c>
      <c r="K1311" s="7">
        <f t="shared" si="115"/>
        <v>0</v>
      </c>
      <c r="L1311" s="11">
        <v>33900.652999999998</v>
      </c>
      <c r="M1311" s="12" cm="1">
        <f t="array" ref="M1311">IF(($R$34+SUMPRODUCT(TRANSPOSE(D1311:K1311),$R$35:$R$42))&lt;0,"-",$R$34+SUMPRODUCT(TRANSPOSE(D1311:K1311),$R$35:$R$42))</f>
        <v>27614.996086925821</v>
      </c>
      <c r="N1311" s="13">
        <f t="shared" si="112"/>
        <v>15490.791509890698</v>
      </c>
      <c r="O1311" s="13">
        <f t="shared" si="113"/>
        <v>39739.200663960946</v>
      </c>
    </row>
    <row r="1312" spans="1:15" x14ac:dyDescent="0.25">
      <c r="A1312" s="1" t="s">
        <v>3</v>
      </c>
      <c r="B1312" s="1" t="s">
        <v>4</v>
      </c>
      <c r="C1312" s="1" t="s">
        <v>2</v>
      </c>
      <c r="D1312" s="1">
        <v>41</v>
      </c>
      <c r="E1312" s="1">
        <v>32.200000000000003</v>
      </c>
      <c r="F1312" s="1">
        <v>2</v>
      </c>
      <c r="G1312" s="7">
        <f t="shared" si="111"/>
        <v>0</v>
      </c>
      <c r="H1312" s="7">
        <f t="shared" si="114"/>
        <v>0</v>
      </c>
      <c r="I1312" s="7">
        <f t="shared" si="115"/>
        <v>0</v>
      </c>
      <c r="J1312" s="7">
        <f t="shared" si="115"/>
        <v>0</v>
      </c>
      <c r="K1312" s="7">
        <f t="shared" si="115"/>
        <v>0</v>
      </c>
      <c r="L1312" s="11">
        <v>6875.9610000000002</v>
      </c>
      <c r="M1312" s="12" cm="1">
        <f t="array" ref="M1312">IF(($R$34+SUMPRODUCT(TRANSPOSE(D1312:K1312),$R$35:$R$42))&lt;0,"-",$R$34+SUMPRODUCT(TRANSPOSE(D1312:K1312),$R$35:$R$42))</f>
        <v>9374.2368237354349</v>
      </c>
      <c r="N1312" s="13" t="str">
        <f t="shared" si="112"/>
        <v>-</v>
      </c>
      <c r="O1312" s="13">
        <f t="shared" si="113"/>
        <v>21498.441400770556</v>
      </c>
    </row>
    <row r="1313" spans="1:15" x14ac:dyDescent="0.25">
      <c r="A1313" s="1" t="s">
        <v>3</v>
      </c>
      <c r="B1313" s="1" t="s">
        <v>4</v>
      </c>
      <c r="C1313" s="1" t="s">
        <v>6</v>
      </c>
      <c r="D1313" s="1">
        <v>42</v>
      </c>
      <c r="E1313" s="1">
        <v>26.315000000000001</v>
      </c>
      <c r="F1313" s="1">
        <v>1</v>
      </c>
      <c r="G1313" s="7">
        <f t="shared" si="111"/>
        <v>0</v>
      </c>
      <c r="H1313" s="7">
        <f t="shared" si="114"/>
        <v>0</v>
      </c>
      <c r="I1313" s="7">
        <f t="shared" si="115"/>
        <v>0</v>
      </c>
      <c r="J1313" s="7">
        <f t="shared" si="115"/>
        <v>1</v>
      </c>
      <c r="K1313" s="7">
        <f t="shared" si="115"/>
        <v>0</v>
      </c>
      <c r="L1313" s="11">
        <v>6940.90985</v>
      </c>
      <c r="M1313" s="12" cm="1">
        <f t="array" ref="M1313">IF(($R$34+SUMPRODUCT(TRANSPOSE(D1313:K1313),$R$35:$R$42))&lt;0,"-",$R$34+SUMPRODUCT(TRANSPOSE(D1313:K1313),$R$35:$R$42))</f>
        <v>7766.5262485000494</v>
      </c>
      <c r="N1313" s="13" t="str">
        <f t="shared" si="112"/>
        <v>-</v>
      </c>
      <c r="O1313" s="13">
        <f t="shared" si="113"/>
        <v>19890.730825535175</v>
      </c>
    </row>
    <row r="1314" spans="1:15" x14ac:dyDescent="0.25">
      <c r="A1314" s="1" t="s">
        <v>0</v>
      </c>
      <c r="B1314" s="1" t="s">
        <v>4</v>
      </c>
      <c r="C1314" s="1" t="s">
        <v>6</v>
      </c>
      <c r="D1314" s="1">
        <v>33</v>
      </c>
      <c r="E1314" s="1">
        <v>26.695</v>
      </c>
      <c r="F1314" s="1">
        <v>0</v>
      </c>
      <c r="G1314" s="7">
        <f t="shared" si="111"/>
        <v>1</v>
      </c>
      <c r="H1314" s="7">
        <f t="shared" si="114"/>
        <v>0</v>
      </c>
      <c r="I1314" s="7">
        <f t="shared" si="115"/>
        <v>0</v>
      </c>
      <c r="J1314" s="7">
        <f t="shared" si="115"/>
        <v>1</v>
      </c>
      <c r="K1314" s="7">
        <f t="shared" si="115"/>
        <v>0</v>
      </c>
      <c r="L1314" s="11">
        <v>4571.4130500000001</v>
      </c>
      <c r="M1314" s="12" cm="1">
        <f t="array" ref="M1314">IF(($R$34+SUMPRODUCT(TRANSPOSE(D1314:K1314),$R$35:$R$42))&lt;0,"-",$R$34+SUMPRODUCT(TRANSPOSE(D1314:K1314),$R$35:$R$42))</f>
        <v>5239.5264022820083</v>
      </c>
      <c r="N1314" s="13" t="str">
        <f t="shared" si="112"/>
        <v>-</v>
      </c>
      <c r="O1314" s="13">
        <f t="shared" si="113"/>
        <v>17363.73097931713</v>
      </c>
    </row>
    <row r="1315" spans="1:15" x14ac:dyDescent="0.25">
      <c r="A1315" s="1" t="s">
        <v>3</v>
      </c>
      <c r="B1315" s="1" t="s">
        <v>4</v>
      </c>
      <c r="C1315" s="1" t="s">
        <v>2</v>
      </c>
      <c r="D1315" s="1">
        <v>34</v>
      </c>
      <c r="E1315" s="1">
        <v>42.9</v>
      </c>
      <c r="F1315" s="1">
        <v>1</v>
      </c>
      <c r="G1315" s="7">
        <f t="shared" si="111"/>
        <v>0</v>
      </c>
      <c r="H1315" s="7">
        <f t="shared" si="114"/>
        <v>0</v>
      </c>
      <c r="I1315" s="7">
        <f t="shared" si="115"/>
        <v>0</v>
      </c>
      <c r="J1315" s="7">
        <f t="shared" si="115"/>
        <v>0</v>
      </c>
      <c r="K1315" s="7">
        <f t="shared" si="115"/>
        <v>0</v>
      </c>
      <c r="L1315" s="11">
        <v>4536.259</v>
      </c>
      <c r="M1315" s="12" cm="1">
        <f t="array" ref="M1315">IF(($R$34+SUMPRODUCT(TRANSPOSE(D1315:K1315),$R$35:$R$42))&lt;0,"-",$R$34+SUMPRODUCT(TRANSPOSE(D1315:K1315),$R$35:$R$42))</f>
        <v>10730.111764460857</v>
      </c>
      <c r="N1315" s="13" t="str">
        <f t="shared" si="112"/>
        <v>-</v>
      </c>
      <c r="O1315" s="13">
        <f t="shared" si="113"/>
        <v>22854.316341495978</v>
      </c>
    </row>
    <row r="1316" spans="1:15" x14ac:dyDescent="0.25">
      <c r="A1316" s="1" t="s">
        <v>0</v>
      </c>
      <c r="B1316" s="1" t="s">
        <v>1</v>
      </c>
      <c r="C1316" s="1" t="s">
        <v>2</v>
      </c>
      <c r="D1316" s="1">
        <v>19</v>
      </c>
      <c r="E1316" s="1">
        <v>34.700000000000003</v>
      </c>
      <c r="F1316" s="1">
        <v>2</v>
      </c>
      <c r="G1316" s="7">
        <f t="shared" si="111"/>
        <v>1</v>
      </c>
      <c r="H1316" s="7">
        <f t="shared" si="114"/>
        <v>1</v>
      </c>
      <c r="I1316" s="7">
        <f t="shared" ref="I1316:K1340" si="116">IF($C1316=I$2,1,0)</f>
        <v>0</v>
      </c>
      <c r="J1316" s="7">
        <f t="shared" si="116"/>
        <v>0</v>
      </c>
      <c r="K1316" s="7">
        <f t="shared" si="116"/>
        <v>0</v>
      </c>
      <c r="L1316" s="11">
        <v>36397.576000000001</v>
      </c>
      <c r="M1316" s="12" cm="1">
        <f t="array" ref="M1316">IF(($R$34+SUMPRODUCT(TRANSPOSE(D1316:K1316),$R$35:$R$42))&lt;0,"-",$R$34+SUMPRODUCT(TRANSPOSE(D1316:K1316),$R$35:$R$42))</f>
        <v>28551.229603248779</v>
      </c>
      <c r="N1316" s="13">
        <f t="shared" si="112"/>
        <v>16427.025026213654</v>
      </c>
      <c r="O1316" s="13">
        <f t="shared" si="113"/>
        <v>40675.434180283904</v>
      </c>
    </row>
    <row r="1317" spans="1:15" x14ac:dyDescent="0.25">
      <c r="A1317" s="1" t="s">
        <v>0</v>
      </c>
      <c r="B1317" s="1" t="s">
        <v>1</v>
      </c>
      <c r="C1317" s="1" t="s">
        <v>6</v>
      </c>
      <c r="D1317" s="1">
        <v>30</v>
      </c>
      <c r="E1317" s="1">
        <v>23.655000000000001</v>
      </c>
      <c r="F1317" s="1">
        <v>3</v>
      </c>
      <c r="G1317" s="7">
        <f t="shared" si="111"/>
        <v>1</v>
      </c>
      <c r="H1317" s="7">
        <f t="shared" si="114"/>
        <v>1</v>
      </c>
      <c r="I1317" s="7">
        <f t="shared" si="116"/>
        <v>0</v>
      </c>
      <c r="J1317" s="7">
        <f t="shared" si="116"/>
        <v>1</v>
      </c>
      <c r="K1317" s="7">
        <f t="shared" si="116"/>
        <v>0</v>
      </c>
      <c r="L1317" s="11">
        <v>18765.87545</v>
      </c>
      <c r="M1317" s="12" cm="1">
        <f t="array" ref="M1317">IF(($R$34+SUMPRODUCT(TRANSPOSE(D1317:K1317),$R$35:$R$42))&lt;0,"-",$R$34+SUMPRODUCT(TRANSPOSE(D1317:K1317),$R$35:$R$42))</f>
        <v>28712.845423053201</v>
      </c>
      <c r="N1317" s="13">
        <f t="shared" si="112"/>
        <v>16588.640846018076</v>
      </c>
      <c r="O1317" s="13">
        <f t="shared" si="113"/>
        <v>40837.050000088326</v>
      </c>
    </row>
    <row r="1318" spans="1:15" x14ac:dyDescent="0.25">
      <c r="A1318" s="1" t="s">
        <v>3</v>
      </c>
      <c r="B1318" s="1" t="s">
        <v>4</v>
      </c>
      <c r="C1318" s="1" t="s">
        <v>7</v>
      </c>
      <c r="D1318" s="1">
        <v>18</v>
      </c>
      <c r="E1318" s="1">
        <v>28.31</v>
      </c>
      <c r="F1318" s="1">
        <v>1</v>
      </c>
      <c r="G1318" s="7">
        <f t="shared" si="111"/>
        <v>0</v>
      </c>
      <c r="H1318" s="7">
        <f t="shared" si="114"/>
        <v>0</v>
      </c>
      <c r="I1318" s="7">
        <f t="shared" si="116"/>
        <v>0</v>
      </c>
      <c r="J1318" s="7">
        <f t="shared" si="116"/>
        <v>0</v>
      </c>
      <c r="K1318" s="7">
        <f t="shared" si="116"/>
        <v>1</v>
      </c>
      <c r="L1318" s="11">
        <v>11272.331389999999</v>
      </c>
      <c r="M1318" s="12" cm="1">
        <f t="array" ref="M1318">IF(($R$34+SUMPRODUCT(TRANSPOSE(D1318:K1318),$R$35:$R$42))&lt;0,"-",$R$34+SUMPRODUCT(TRANSPOSE(D1318:K1318),$R$35:$R$42))</f>
        <v>2631.628626981963</v>
      </c>
      <c r="N1318" s="13" t="str">
        <f t="shared" si="112"/>
        <v>-</v>
      </c>
      <c r="O1318" s="13">
        <f t="shared" si="113"/>
        <v>14755.833204017086</v>
      </c>
    </row>
    <row r="1319" spans="1:15" x14ac:dyDescent="0.25">
      <c r="A1319" s="1" t="s">
        <v>0</v>
      </c>
      <c r="B1319" s="1" t="s">
        <v>4</v>
      </c>
      <c r="C1319" s="1" t="s">
        <v>2</v>
      </c>
      <c r="D1319" s="1">
        <v>19</v>
      </c>
      <c r="E1319" s="1">
        <v>20.6</v>
      </c>
      <c r="F1319" s="1">
        <v>0</v>
      </c>
      <c r="G1319" s="7">
        <f t="shared" si="111"/>
        <v>1</v>
      </c>
      <c r="H1319" s="7">
        <f t="shared" si="114"/>
        <v>0</v>
      </c>
      <c r="I1319" s="7">
        <f t="shared" si="116"/>
        <v>0</v>
      </c>
      <c r="J1319" s="7">
        <f t="shared" si="116"/>
        <v>0</v>
      </c>
      <c r="K1319" s="7">
        <f t="shared" si="116"/>
        <v>0</v>
      </c>
      <c r="L1319" s="11">
        <v>1731.6769999999999</v>
      </c>
      <c r="M1319" s="12" t="str" cm="1">
        <f t="array" ref="M1319">IF(($R$34+SUMPRODUCT(TRANSPOSE(D1319:K1319),$R$35:$R$42))&lt;0,"-",$R$34+SUMPRODUCT(TRANSPOSE(D1319:K1319),$R$35:$R$42))</f>
        <v>-</v>
      </c>
      <c r="N1319" s="13" t="str">
        <f t="shared" si="112"/>
        <v>-</v>
      </c>
      <c r="O1319" s="13" t="str">
        <f t="shared" si="113"/>
        <v>-</v>
      </c>
    </row>
    <row r="1320" spans="1:15" x14ac:dyDescent="0.25">
      <c r="A1320" s="1" t="s">
        <v>3</v>
      </c>
      <c r="B1320" s="1" t="s">
        <v>4</v>
      </c>
      <c r="C1320" s="1" t="s">
        <v>5</v>
      </c>
      <c r="D1320" s="1">
        <v>18</v>
      </c>
      <c r="E1320" s="1">
        <v>53.13</v>
      </c>
      <c r="F1320" s="1">
        <v>0</v>
      </c>
      <c r="G1320" s="7">
        <f t="shared" si="111"/>
        <v>0</v>
      </c>
      <c r="H1320" s="7">
        <f t="shared" si="114"/>
        <v>0</v>
      </c>
      <c r="I1320" s="7">
        <f t="shared" si="116"/>
        <v>1</v>
      </c>
      <c r="J1320" s="7">
        <f t="shared" si="116"/>
        <v>0</v>
      </c>
      <c r="K1320" s="7">
        <f t="shared" si="116"/>
        <v>0</v>
      </c>
      <c r="L1320" s="11">
        <v>1163.4627</v>
      </c>
      <c r="M1320" s="12" cm="1">
        <f t="array" ref="M1320">IF(($R$34+SUMPRODUCT(TRANSPOSE(D1320:K1320),$R$35:$R$42))&lt;0,"-",$R$34+SUMPRODUCT(TRANSPOSE(D1320:K1320),$R$35:$R$42))</f>
        <v>9539.8875510660619</v>
      </c>
      <c r="N1320" s="13" t="str">
        <f t="shared" si="112"/>
        <v>-</v>
      </c>
      <c r="O1320" s="13">
        <f t="shared" si="113"/>
        <v>21664.092128101183</v>
      </c>
    </row>
    <row r="1321" spans="1:15" x14ac:dyDescent="0.25">
      <c r="A1321" s="1" t="s">
        <v>3</v>
      </c>
      <c r="B1321" s="1" t="s">
        <v>4</v>
      </c>
      <c r="C1321" s="1" t="s">
        <v>7</v>
      </c>
      <c r="D1321" s="1">
        <v>35</v>
      </c>
      <c r="E1321" s="1">
        <v>39.71</v>
      </c>
      <c r="F1321" s="1">
        <v>4</v>
      </c>
      <c r="G1321" s="7">
        <f t="shared" si="111"/>
        <v>0</v>
      </c>
      <c r="H1321" s="7">
        <f t="shared" si="114"/>
        <v>0</v>
      </c>
      <c r="I1321" s="7">
        <f t="shared" si="116"/>
        <v>0</v>
      </c>
      <c r="J1321" s="7">
        <f t="shared" si="116"/>
        <v>0</v>
      </c>
      <c r="K1321" s="7">
        <f t="shared" si="116"/>
        <v>1</v>
      </c>
      <c r="L1321" s="11">
        <v>19496.71917</v>
      </c>
      <c r="M1321" s="12" cm="1">
        <f t="array" ref="M1321">IF(($R$34+SUMPRODUCT(TRANSPOSE(D1321:K1321),$R$35:$R$42))&lt;0,"-",$R$34+SUMPRODUCT(TRANSPOSE(D1321:K1321),$R$35:$R$42))</f>
        <v>12291.49362672785</v>
      </c>
      <c r="N1321" s="13">
        <f t="shared" si="112"/>
        <v>167.28904969272662</v>
      </c>
      <c r="O1321" s="13">
        <f t="shared" si="113"/>
        <v>24415.698203762971</v>
      </c>
    </row>
    <row r="1322" spans="1:15" x14ac:dyDescent="0.25">
      <c r="A1322" s="1" t="s">
        <v>0</v>
      </c>
      <c r="B1322" s="1" t="s">
        <v>4</v>
      </c>
      <c r="C1322" s="1" t="s">
        <v>6</v>
      </c>
      <c r="D1322" s="1">
        <v>39</v>
      </c>
      <c r="E1322" s="1">
        <v>26.315000000000001</v>
      </c>
      <c r="F1322" s="1">
        <v>2</v>
      </c>
      <c r="G1322" s="7">
        <f t="shared" si="111"/>
        <v>1</v>
      </c>
      <c r="H1322" s="7">
        <f t="shared" si="114"/>
        <v>0</v>
      </c>
      <c r="I1322" s="7">
        <f t="shared" si="116"/>
        <v>0</v>
      </c>
      <c r="J1322" s="7">
        <f t="shared" si="116"/>
        <v>1</v>
      </c>
      <c r="K1322" s="7">
        <f t="shared" si="116"/>
        <v>0</v>
      </c>
      <c r="L1322" s="11">
        <v>7201.7008500000002</v>
      </c>
      <c r="M1322" s="12" cm="1">
        <f t="array" ref="M1322">IF(($R$34+SUMPRODUCT(TRANSPOSE(D1322:K1322),$R$35:$R$42))&lt;0,"-",$R$34+SUMPRODUCT(TRANSPOSE(D1322:K1322),$R$35:$R$42))</f>
        <v>7602.7720954322394</v>
      </c>
      <c r="N1322" s="13" t="str">
        <f t="shared" si="112"/>
        <v>-</v>
      </c>
      <c r="O1322" s="13">
        <f t="shared" si="113"/>
        <v>19726.976672467361</v>
      </c>
    </row>
    <row r="1323" spans="1:15" x14ac:dyDescent="0.25">
      <c r="A1323" s="1" t="s">
        <v>3</v>
      </c>
      <c r="B1323" s="1" t="s">
        <v>4</v>
      </c>
      <c r="C1323" s="1" t="s">
        <v>6</v>
      </c>
      <c r="D1323" s="1">
        <v>31</v>
      </c>
      <c r="E1323" s="1">
        <v>31.065000000000001</v>
      </c>
      <c r="F1323" s="1">
        <v>3</v>
      </c>
      <c r="G1323" s="7">
        <f t="shared" si="111"/>
        <v>0</v>
      </c>
      <c r="H1323" s="7">
        <f t="shared" si="114"/>
        <v>0</v>
      </c>
      <c r="I1323" s="7">
        <f t="shared" si="116"/>
        <v>0</v>
      </c>
      <c r="J1323" s="7">
        <f t="shared" si="116"/>
        <v>1</v>
      </c>
      <c r="K1323" s="7">
        <f t="shared" si="116"/>
        <v>0</v>
      </c>
      <c r="L1323" s="11">
        <v>5425.0233500000004</v>
      </c>
      <c r="M1323" s="12" cm="1">
        <f t="array" ref="M1323">IF(($R$34+SUMPRODUCT(TRANSPOSE(D1323:K1323),$R$35:$R$42))&lt;0,"-",$R$34+SUMPRODUCT(TRANSPOSE(D1323:K1323),$R$35:$R$42))</f>
        <v>7503.2763655389754</v>
      </c>
      <c r="N1323" s="13" t="str">
        <f t="shared" si="112"/>
        <v>-</v>
      </c>
      <c r="O1323" s="13">
        <f t="shared" si="113"/>
        <v>19627.480942574097</v>
      </c>
    </row>
    <row r="1324" spans="1:15" x14ac:dyDescent="0.25">
      <c r="A1324" s="1" t="s">
        <v>3</v>
      </c>
      <c r="B1324" s="1" t="s">
        <v>1</v>
      </c>
      <c r="C1324" s="1" t="s">
        <v>7</v>
      </c>
      <c r="D1324" s="1">
        <v>62</v>
      </c>
      <c r="E1324" s="1">
        <v>26.695</v>
      </c>
      <c r="F1324" s="1">
        <v>0</v>
      </c>
      <c r="G1324" s="7">
        <f t="shared" si="111"/>
        <v>0</v>
      </c>
      <c r="H1324" s="7">
        <f t="shared" si="114"/>
        <v>1</v>
      </c>
      <c r="I1324" s="7">
        <f t="shared" si="116"/>
        <v>0</v>
      </c>
      <c r="J1324" s="7">
        <f t="shared" si="116"/>
        <v>0</v>
      </c>
      <c r="K1324" s="7">
        <f t="shared" si="116"/>
        <v>1</v>
      </c>
      <c r="L1324" s="11">
        <v>28101.333050000001</v>
      </c>
      <c r="M1324" s="12" cm="1">
        <f t="array" ref="M1324">IF(($R$34+SUMPRODUCT(TRANSPOSE(D1324:K1324),$R$35:$R$42))&lt;0,"-",$R$34+SUMPRODUCT(TRANSPOSE(D1324:K1324),$R$35:$R$42))</f>
        <v>36758.544707807421</v>
      </c>
      <c r="N1324" s="13">
        <f t="shared" si="112"/>
        <v>24634.340130772296</v>
      </c>
      <c r="O1324" s="13">
        <f t="shared" si="113"/>
        <v>48882.749284842546</v>
      </c>
    </row>
    <row r="1325" spans="1:15" x14ac:dyDescent="0.25">
      <c r="A1325" s="1" t="s">
        <v>3</v>
      </c>
      <c r="B1325" s="1" t="s">
        <v>4</v>
      </c>
      <c r="C1325" s="1" t="s">
        <v>5</v>
      </c>
      <c r="D1325" s="1">
        <v>62</v>
      </c>
      <c r="E1325" s="1">
        <v>38.83</v>
      </c>
      <c r="F1325" s="1">
        <v>0</v>
      </c>
      <c r="G1325" s="7">
        <f t="shared" si="111"/>
        <v>0</v>
      </c>
      <c r="H1325" s="7">
        <f t="shared" si="114"/>
        <v>0</v>
      </c>
      <c r="I1325" s="7">
        <f t="shared" si="116"/>
        <v>1</v>
      </c>
      <c r="J1325" s="7">
        <f t="shared" si="116"/>
        <v>0</v>
      </c>
      <c r="K1325" s="7">
        <f t="shared" si="116"/>
        <v>0</v>
      </c>
      <c r="L1325" s="11">
        <v>12981.3457</v>
      </c>
      <c r="M1325" s="12" cm="1">
        <f t="array" ref="M1325">IF(($R$34+SUMPRODUCT(TRANSPOSE(D1325:K1325),$R$35:$R$42))&lt;0,"-",$R$34+SUMPRODUCT(TRANSPOSE(D1325:K1325),$R$35:$R$42))</f>
        <v>15991.100676074358</v>
      </c>
      <c r="N1325" s="13">
        <f t="shared" si="112"/>
        <v>3866.8960990392352</v>
      </c>
      <c r="O1325" s="13">
        <f t="shared" si="113"/>
        <v>28115.30525310948</v>
      </c>
    </row>
    <row r="1326" spans="1:15" x14ac:dyDescent="0.25">
      <c r="A1326" s="1" t="s">
        <v>0</v>
      </c>
      <c r="B1326" s="1" t="s">
        <v>1</v>
      </c>
      <c r="C1326" s="1" t="s">
        <v>5</v>
      </c>
      <c r="D1326" s="1">
        <v>42</v>
      </c>
      <c r="E1326" s="1">
        <v>40.369999999999997</v>
      </c>
      <c r="F1326" s="1">
        <v>2</v>
      </c>
      <c r="G1326" s="7">
        <f t="shared" si="111"/>
        <v>1</v>
      </c>
      <c r="H1326" s="7">
        <f t="shared" si="114"/>
        <v>1</v>
      </c>
      <c r="I1326" s="7">
        <f t="shared" si="116"/>
        <v>1</v>
      </c>
      <c r="J1326" s="7">
        <f t="shared" si="116"/>
        <v>0</v>
      </c>
      <c r="K1326" s="7">
        <f t="shared" si="116"/>
        <v>0</v>
      </c>
      <c r="L1326" s="11">
        <v>43896.376300000004</v>
      </c>
      <c r="M1326" s="12" cm="1">
        <f t="array" ref="M1326">IF(($R$34+SUMPRODUCT(TRANSPOSE(D1326:K1326),$R$35:$R$42))&lt;0,"-",$R$34+SUMPRODUCT(TRANSPOSE(D1326:K1326),$R$35:$R$42))</f>
        <v>36307.181535494259</v>
      </c>
      <c r="N1326" s="13">
        <f t="shared" si="112"/>
        <v>24182.976958459134</v>
      </c>
      <c r="O1326" s="13">
        <f t="shared" si="113"/>
        <v>48431.386112529384</v>
      </c>
    </row>
    <row r="1327" spans="1:15" x14ac:dyDescent="0.25">
      <c r="A1327" s="1" t="s">
        <v>3</v>
      </c>
      <c r="B1327" s="1" t="s">
        <v>4</v>
      </c>
      <c r="C1327" s="1" t="s">
        <v>6</v>
      </c>
      <c r="D1327" s="1">
        <v>31</v>
      </c>
      <c r="E1327" s="1">
        <v>25.934999999999999</v>
      </c>
      <c r="F1327" s="1">
        <v>1</v>
      </c>
      <c r="G1327" s="7">
        <f t="shared" si="111"/>
        <v>0</v>
      </c>
      <c r="H1327" s="7">
        <f t="shared" si="114"/>
        <v>0</v>
      </c>
      <c r="I1327" s="7">
        <f t="shared" si="116"/>
        <v>0</v>
      </c>
      <c r="J1327" s="7">
        <f t="shared" si="116"/>
        <v>1</v>
      </c>
      <c r="K1327" s="7">
        <f t="shared" si="116"/>
        <v>0</v>
      </c>
      <c r="L1327" s="11">
        <v>4239.8926499999998</v>
      </c>
      <c r="M1327" s="12" cm="1">
        <f t="array" ref="M1327">IF(($R$34+SUMPRODUCT(TRANSPOSE(D1327:K1327),$R$35:$R$42))&lt;0,"-",$R$34+SUMPRODUCT(TRANSPOSE(D1327:K1327),$R$35:$R$42))</f>
        <v>4812.212858217099</v>
      </c>
      <c r="N1327" s="13" t="str">
        <f t="shared" si="112"/>
        <v>-</v>
      </c>
      <c r="O1327" s="13">
        <f t="shared" si="113"/>
        <v>16936.417435252224</v>
      </c>
    </row>
    <row r="1328" spans="1:15" x14ac:dyDescent="0.25">
      <c r="A1328" s="1" t="s">
        <v>3</v>
      </c>
      <c r="B1328" s="1" t="s">
        <v>4</v>
      </c>
      <c r="C1328" s="1" t="s">
        <v>7</v>
      </c>
      <c r="D1328" s="1">
        <v>61</v>
      </c>
      <c r="E1328" s="1">
        <v>33.534999999999997</v>
      </c>
      <c r="F1328" s="1">
        <v>0</v>
      </c>
      <c r="G1328" s="7">
        <f t="shared" si="111"/>
        <v>0</v>
      </c>
      <c r="H1328" s="7">
        <f t="shared" si="114"/>
        <v>0</v>
      </c>
      <c r="I1328" s="7">
        <f t="shared" si="116"/>
        <v>0</v>
      </c>
      <c r="J1328" s="7">
        <f t="shared" si="116"/>
        <v>0</v>
      </c>
      <c r="K1328" s="7">
        <f t="shared" si="116"/>
        <v>1</v>
      </c>
      <c r="L1328" s="11">
        <v>13143.336649999999</v>
      </c>
      <c r="M1328" s="12" cm="1">
        <f t="array" ref="M1328">IF(($R$34+SUMPRODUCT(TRANSPOSE(D1328:K1328),$R$35:$R$42))&lt;0,"-",$R$34+SUMPRODUCT(TRANSPOSE(D1328:K1328),$R$35:$R$42))</f>
        <v>14973.237036055431</v>
      </c>
      <c r="N1328" s="13">
        <f t="shared" si="112"/>
        <v>2849.0324590203072</v>
      </c>
      <c r="O1328" s="13">
        <f t="shared" si="113"/>
        <v>27097.441613090552</v>
      </c>
    </row>
    <row r="1329" spans="1:15" x14ac:dyDescent="0.25">
      <c r="A1329" s="1" t="s">
        <v>0</v>
      </c>
      <c r="B1329" s="1" t="s">
        <v>4</v>
      </c>
      <c r="C1329" s="1" t="s">
        <v>7</v>
      </c>
      <c r="D1329" s="1">
        <v>42</v>
      </c>
      <c r="E1329" s="1">
        <v>32.869999999999997</v>
      </c>
      <c r="F1329" s="1">
        <v>0</v>
      </c>
      <c r="G1329" s="7">
        <f t="shared" si="111"/>
        <v>1</v>
      </c>
      <c r="H1329" s="7">
        <f t="shared" si="114"/>
        <v>0</v>
      </c>
      <c r="I1329" s="7">
        <f t="shared" si="116"/>
        <v>0</v>
      </c>
      <c r="J1329" s="7">
        <f t="shared" si="116"/>
        <v>0</v>
      </c>
      <c r="K1329" s="7">
        <f t="shared" si="116"/>
        <v>1</v>
      </c>
      <c r="L1329" s="11">
        <v>7050.0213000000003</v>
      </c>
      <c r="M1329" s="12" cm="1">
        <f t="array" ref="M1329">IF(($R$34+SUMPRODUCT(TRANSPOSE(D1329:K1329),$R$35:$R$42))&lt;0,"-",$R$34+SUMPRODUCT(TRANSPOSE(D1329:K1329),$R$35:$R$42))</f>
        <v>9998.7170505897157</v>
      </c>
      <c r="N1329" s="13" t="str">
        <f t="shared" si="112"/>
        <v>-</v>
      </c>
      <c r="O1329" s="13">
        <f t="shared" si="113"/>
        <v>22122.921627624841</v>
      </c>
    </row>
    <row r="1330" spans="1:15" x14ac:dyDescent="0.25">
      <c r="A1330" s="1" t="s">
        <v>3</v>
      </c>
      <c r="B1330" s="1" t="s">
        <v>4</v>
      </c>
      <c r="C1330" s="1" t="s">
        <v>5</v>
      </c>
      <c r="D1330" s="1">
        <v>51</v>
      </c>
      <c r="E1330" s="1">
        <v>30.03</v>
      </c>
      <c r="F1330" s="1">
        <v>1</v>
      </c>
      <c r="G1330" s="7">
        <f t="shared" si="111"/>
        <v>0</v>
      </c>
      <c r="H1330" s="7">
        <f t="shared" si="114"/>
        <v>0</v>
      </c>
      <c r="I1330" s="7">
        <f t="shared" si="116"/>
        <v>1</v>
      </c>
      <c r="J1330" s="7">
        <f t="shared" si="116"/>
        <v>0</v>
      </c>
      <c r="K1330" s="7">
        <f t="shared" si="116"/>
        <v>0</v>
      </c>
      <c r="L1330" s="11">
        <v>9377.9046999999991</v>
      </c>
      <c r="M1330" s="12" cm="1">
        <f t="array" ref="M1330">IF(($R$34+SUMPRODUCT(TRANSPOSE(D1330:K1330),$R$35:$R$42))&lt;0,"-",$R$34+SUMPRODUCT(TRANSPOSE(D1330:K1330),$R$35:$R$42))</f>
        <v>10656.278951537275</v>
      </c>
      <c r="N1330" s="13" t="str">
        <f t="shared" si="112"/>
        <v>-</v>
      </c>
      <c r="O1330" s="13">
        <f t="shared" si="113"/>
        <v>22780.483528572397</v>
      </c>
    </row>
    <row r="1331" spans="1:15" x14ac:dyDescent="0.25">
      <c r="A1331" s="1" t="s">
        <v>0</v>
      </c>
      <c r="B1331" s="1" t="s">
        <v>4</v>
      </c>
      <c r="C1331" s="1" t="s">
        <v>7</v>
      </c>
      <c r="D1331" s="1">
        <v>23</v>
      </c>
      <c r="E1331" s="1">
        <v>24.225000000000001</v>
      </c>
      <c r="F1331" s="1">
        <v>2</v>
      </c>
      <c r="G1331" s="7">
        <f t="shared" si="111"/>
        <v>1</v>
      </c>
      <c r="H1331" s="7">
        <f t="shared" si="114"/>
        <v>0</v>
      </c>
      <c r="I1331" s="7">
        <f t="shared" si="116"/>
        <v>0</v>
      </c>
      <c r="J1331" s="7">
        <f t="shared" si="116"/>
        <v>0</v>
      </c>
      <c r="K1331" s="7">
        <f t="shared" si="116"/>
        <v>1</v>
      </c>
      <c r="L1331" s="11">
        <v>22395.74424</v>
      </c>
      <c r="M1331" s="12" cm="1">
        <f t="array" ref="M1331">IF(($R$34+SUMPRODUCT(TRANSPOSE(D1331:K1331),$R$35:$R$42))&lt;0,"-",$R$34+SUMPRODUCT(TRANSPOSE(D1331:K1331),$R$35:$R$42))</f>
        <v>3137.1200362126601</v>
      </c>
      <c r="N1331" s="13" t="str">
        <f t="shared" si="112"/>
        <v>-</v>
      </c>
      <c r="O1331" s="13">
        <f t="shared" si="113"/>
        <v>15261.324613247783</v>
      </c>
    </row>
    <row r="1332" spans="1:15" x14ac:dyDescent="0.25">
      <c r="A1332" s="1" t="s">
        <v>3</v>
      </c>
      <c r="B1332" s="1" t="s">
        <v>4</v>
      </c>
      <c r="C1332" s="1" t="s">
        <v>2</v>
      </c>
      <c r="D1332" s="1">
        <v>52</v>
      </c>
      <c r="E1332" s="1">
        <v>38.6</v>
      </c>
      <c r="F1332" s="1">
        <v>2</v>
      </c>
      <c r="G1332" s="7">
        <f t="shared" si="111"/>
        <v>0</v>
      </c>
      <c r="H1332" s="7">
        <f t="shared" si="114"/>
        <v>0</v>
      </c>
      <c r="I1332" s="7">
        <f t="shared" si="116"/>
        <v>0</v>
      </c>
      <c r="J1332" s="7">
        <f t="shared" si="116"/>
        <v>0</v>
      </c>
      <c r="K1332" s="7">
        <f t="shared" si="116"/>
        <v>0</v>
      </c>
      <c r="L1332" s="11">
        <v>10325.206</v>
      </c>
      <c r="M1332" s="12" cm="1">
        <f t="array" ref="M1332">IF(($R$34+SUMPRODUCT(TRANSPOSE(D1332:K1332),$R$35:$R$42))&lt;0,"-",$R$34+SUMPRODUCT(TRANSPOSE(D1332:K1332),$R$35:$R$42))</f>
        <v>14370.494804755639</v>
      </c>
      <c r="N1332" s="13">
        <f t="shared" si="112"/>
        <v>2246.2902277205158</v>
      </c>
      <c r="O1332" s="13">
        <f t="shared" si="113"/>
        <v>26494.699381790764</v>
      </c>
    </row>
    <row r="1333" spans="1:15" x14ac:dyDescent="0.25">
      <c r="A1333" s="1" t="s">
        <v>0</v>
      </c>
      <c r="B1333" s="1" t="s">
        <v>4</v>
      </c>
      <c r="C1333" s="1" t="s">
        <v>5</v>
      </c>
      <c r="D1333" s="1">
        <v>57</v>
      </c>
      <c r="E1333" s="1">
        <v>25.74</v>
      </c>
      <c r="F1333" s="1">
        <v>2</v>
      </c>
      <c r="G1333" s="7">
        <f t="shared" si="111"/>
        <v>1</v>
      </c>
      <c r="H1333" s="7">
        <f t="shared" si="114"/>
        <v>0</v>
      </c>
      <c r="I1333" s="7">
        <f t="shared" si="116"/>
        <v>1</v>
      </c>
      <c r="J1333" s="7">
        <f t="shared" si="116"/>
        <v>0</v>
      </c>
      <c r="K1333" s="7">
        <f t="shared" si="116"/>
        <v>0</v>
      </c>
      <c r="L1333" s="11">
        <v>12629.1656</v>
      </c>
      <c r="M1333" s="12" cm="1">
        <f t="array" ref="M1333">IF(($R$34+SUMPRODUCT(TRANSPOSE(D1333:K1333),$R$35:$R$42))&lt;0,"-",$R$34+SUMPRODUCT(TRANSPOSE(D1333:K1333),$R$35:$R$42))</f>
        <v>11349.092055315094</v>
      </c>
      <c r="N1333" s="13" t="str">
        <f t="shared" si="112"/>
        <v>-</v>
      </c>
      <c r="O1333" s="13">
        <f t="shared" si="113"/>
        <v>23473.296632350219</v>
      </c>
    </row>
    <row r="1334" spans="1:15" x14ac:dyDescent="0.25">
      <c r="A1334" s="1" t="s">
        <v>0</v>
      </c>
      <c r="B1334" s="1" t="s">
        <v>4</v>
      </c>
      <c r="C1334" s="1" t="s">
        <v>2</v>
      </c>
      <c r="D1334" s="1">
        <v>23</v>
      </c>
      <c r="E1334" s="1">
        <v>33.4</v>
      </c>
      <c r="F1334" s="1">
        <v>0</v>
      </c>
      <c r="G1334" s="7">
        <f t="shared" si="111"/>
        <v>1</v>
      </c>
      <c r="H1334" s="7">
        <f t="shared" si="114"/>
        <v>0</v>
      </c>
      <c r="I1334" s="7">
        <f t="shared" si="116"/>
        <v>0</v>
      </c>
      <c r="J1334" s="7">
        <f t="shared" si="116"/>
        <v>0</v>
      </c>
      <c r="K1334" s="7">
        <f t="shared" si="116"/>
        <v>0</v>
      </c>
      <c r="L1334" s="11">
        <v>10795.937330000001</v>
      </c>
      <c r="M1334" s="12" cm="1">
        <f t="array" ref="M1334">IF(($R$34+SUMPRODUCT(TRANSPOSE(D1334:K1334),$R$35:$R$42))&lt;0,"-",$R$34+SUMPRODUCT(TRANSPOSE(D1334:K1334),$R$35:$R$42))</f>
        <v>4338.1678914930199</v>
      </c>
      <c r="N1334" s="13" t="str">
        <f t="shared" si="112"/>
        <v>-</v>
      </c>
      <c r="O1334" s="13">
        <f t="shared" si="113"/>
        <v>16462.372468528141</v>
      </c>
    </row>
    <row r="1335" spans="1:15" x14ac:dyDescent="0.25">
      <c r="A1335" s="1" t="s">
        <v>0</v>
      </c>
      <c r="B1335" s="1" t="s">
        <v>4</v>
      </c>
      <c r="C1335" s="1" t="s">
        <v>2</v>
      </c>
      <c r="D1335" s="1">
        <v>52</v>
      </c>
      <c r="E1335" s="1">
        <v>44.7</v>
      </c>
      <c r="F1335" s="1">
        <v>3</v>
      </c>
      <c r="G1335" s="7">
        <f t="shared" si="111"/>
        <v>1</v>
      </c>
      <c r="H1335" s="7">
        <f t="shared" si="114"/>
        <v>0</v>
      </c>
      <c r="I1335" s="7">
        <f t="shared" si="116"/>
        <v>0</v>
      </c>
      <c r="J1335" s="7">
        <f t="shared" si="116"/>
        <v>0</v>
      </c>
      <c r="K1335" s="7">
        <f t="shared" si="116"/>
        <v>0</v>
      </c>
      <c r="L1335" s="11">
        <v>11411.684999999999</v>
      </c>
      <c r="M1335" s="12" cm="1">
        <f t="array" ref="M1335">IF(($R$34+SUMPRODUCT(TRANSPOSE(D1335:K1335),$R$35:$R$42))&lt;0,"-",$R$34+SUMPRODUCT(TRANSPOSE(D1335:K1335),$R$35:$R$42))</f>
        <v>17046.389776326007</v>
      </c>
      <c r="N1335" s="13">
        <f t="shared" si="112"/>
        <v>4922.1851992908832</v>
      </c>
      <c r="O1335" s="13">
        <f t="shared" si="113"/>
        <v>29170.594353361128</v>
      </c>
    </row>
    <row r="1336" spans="1:15" x14ac:dyDescent="0.25">
      <c r="A1336" s="1" t="s">
        <v>3</v>
      </c>
      <c r="B1336" s="1" t="s">
        <v>4</v>
      </c>
      <c r="C1336" s="1" t="s">
        <v>6</v>
      </c>
      <c r="D1336" s="1">
        <v>50</v>
      </c>
      <c r="E1336" s="1">
        <v>30.97</v>
      </c>
      <c r="F1336" s="1">
        <v>3</v>
      </c>
      <c r="G1336" s="7">
        <f t="shared" si="111"/>
        <v>0</v>
      </c>
      <c r="H1336" s="7">
        <f t="shared" si="114"/>
        <v>0</v>
      </c>
      <c r="I1336" s="7">
        <f t="shared" si="116"/>
        <v>0</v>
      </c>
      <c r="J1336" s="7">
        <f t="shared" si="116"/>
        <v>1</v>
      </c>
      <c r="K1336" s="7">
        <f t="shared" si="116"/>
        <v>0</v>
      </c>
      <c r="L1336" s="11">
        <v>10600.5483</v>
      </c>
      <c r="M1336" s="12" cm="1">
        <f t="array" ref="M1336">IF(($R$34+SUMPRODUCT(TRANSPOSE(D1336:K1336),$R$35:$R$42))&lt;0,"-",$R$34+SUMPRODUCT(TRANSPOSE(D1336:K1336),$R$35:$R$42))</f>
        <v>12351.323685655556</v>
      </c>
      <c r="N1336" s="13">
        <f t="shared" si="112"/>
        <v>227.1191086204326</v>
      </c>
      <c r="O1336" s="13">
        <f t="shared" si="113"/>
        <v>24475.528262690677</v>
      </c>
    </row>
    <row r="1337" spans="1:15" x14ac:dyDescent="0.25">
      <c r="A1337" s="1" t="s">
        <v>0</v>
      </c>
      <c r="B1337" s="1" t="s">
        <v>4</v>
      </c>
      <c r="C1337" s="1" t="s">
        <v>7</v>
      </c>
      <c r="D1337" s="1">
        <v>18</v>
      </c>
      <c r="E1337" s="1">
        <v>31.92</v>
      </c>
      <c r="F1337" s="1">
        <v>0</v>
      </c>
      <c r="G1337" s="7">
        <f t="shared" si="111"/>
        <v>1</v>
      </c>
      <c r="H1337" s="7">
        <f t="shared" si="114"/>
        <v>0</v>
      </c>
      <c r="I1337" s="7">
        <f t="shared" si="116"/>
        <v>0</v>
      </c>
      <c r="J1337" s="7">
        <f t="shared" si="116"/>
        <v>0</v>
      </c>
      <c r="K1337" s="7">
        <f t="shared" si="116"/>
        <v>1</v>
      </c>
      <c r="L1337" s="11">
        <v>2205.9807999999998</v>
      </c>
      <c r="M1337" s="12" cm="1">
        <f t="array" ref="M1337">IF(($R$34+SUMPRODUCT(TRANSPOSE(D1337:K1337),$R$35:$R$42))&lt;0,"-",$R$34+SUMPRODUCT(TRANSPOSE(D1337:K1337),$R$35:$R$42))</f>
        <v>3511.9308087630707</v>
      </c>
      <c r="N1337" s="13" t="str">
        <f t="shared" si="112"/>
        <v>-</v>
      </c>
      <c r="O1337" s="13">
        <f t="shared" si="113"/>
        <v>15636.135385798194</v>
      </c>
    </row>
    <row r="1338" spans="1:15" x14ac:dyDescent="0.25">
      <c r="A1338" s="1" t="s">
        <v>0</v>
      </c>
      <c r="B1338" s="1" t="s">
        <v>4</v>
      </c>
      <c r="C1338" s="1" t="s">
        <v>5</v>
      </c>
      <c r="D1338" s="1">
        <v>18</v>
      </c>
      <c r="E1338" s="1">
        <v>36.85</v>
      </c>
      <c r="F1338" s="1">
        <v>0</v>
      </c>
      <c r="G1338" s="7">
        <f t="shared" si="111"/>
        <v>1</v>
      </c>
      <c r="H1338" s="7">
        <f t="shared" si="114"/>
        <v>0</v>
      </c>
      <c r="I1338" s="7">
        <f t="shared" si="116"/>
        <v>1</v>
      </c>
      <c r="J1338" s="7">
        <f t="shared" si="116"/>
        <v>0</v>
      </c>
      <c r="K1338" s="7">
        <f t="shared" si="116"/>
        <v>0</v>
      </c>
      <c r="L1338" s="11">
        <v>1629.8335</v>
      </c>
      <c r="M1338" s="12" cm="1">
        <f t="array" ref="M1338">IF(($R$34+SUMPRODUCT(TRANSPOSE(D1338:K1338),$R$35:$R$42))&lt;0,"-",$R$34+SUMPRODUCT(TRANSPOSE(D1338:K1338),$R$35:$R$42))</f>
        <v>4149.1324856766914</v>
      </c>
      <c r="N1338" s="13" t="str">
        <f t="shared" si="112"/>
        <v>-</v>
      </c>
      <c r="O1338" s="13">
        <f t="shared" si="113"/>
        <v>16273.337062711815</v>
      </c>
    </row>
    <row r="1339" spans="1:15" x14ac:dyDescent="0.25">
      <c r="A1339" s="1" t="s">
        <v>0</v>
      </c>
      <c r="B1339" s="1" t="s">
        <v>4</v>
      </c>
      <c r="C1339" s="1" t="s">
        <v>2</v>
      </c>
      <c r="D1339" s="1">
        <v>21</v>
      </c>
      <c r="E1339" s="1">
        <v>25.8</v>
      </c>
      <c r="F1339" s="1">
        <v>0</v>
      </c>
      <c r="G1339" s="7">
        <f t="shared" si="111"/>
        <v>1</v>
      </c>
      <c r="H1339" s="7">
        <f t="shared" si="114"/>
        <v>0</v>
      </c>
      <c r="I1339" s="7">
        <f t="shared" si="116"/>
        <v>0</v>
      </c>
      <c r="J1339" s="7">
        <f t="shared" si="116"/>
        <v>0</v>
      </c>
      <c r="K1339" s="7">
        <f t="shared" si="116"/>
        <v>0</v>
      </c>
      <c r="L1339" s="11">
        <v>2007.9449999999999</v>
      </c>
      <c r="M1339" s="12" cm="1">
        <f t="array" ref="M1339">IF(($R$34+SUMPRODUCT(TRANSPOSE(D1339:K1339),$R$35:$R$42))&lt;0,"-",$R$34+SUMPRODUCT(TRANSPOSE(D1339:K1339),$R$35:$R$42))</f>
        <v>1246.5849389759424</v>
      </c>
      <c r="N1339" s="13" t="str">
        <f t="shared" si="112"/>
        <v>-</v>
      </c>
      <c r="O1339" s="13">
        <f t="shared" si="113"/>
        <v>13370.789516011066</v>
      </c>
    </row>
    <row r="1340" spans="1:15" x14ac:dyDescent="0.25">
      <c r="A1340" s="1" t="s">
        <v>0</v>
      </c>
      <c r="B1340" s="1" t="s">
        <v>1</v>
      </c>
      <c r="C1340" s="1" t="s">
        <v>6</v>
      </c>
      <c r="D1340" s="1">
        <v>61</v>
      </c>
      <c r="E1340" s="1">
        <v>29.07</v>
      </c>
      <c r="F1340" s="1">
        <v>0</v>
      </c>
      <c r="G1340" s="7">
        <f t="shared" si="111"/>
        <v>1</v>
      </c>
      <c r="H1340" s="7">
        <f t="shared" si="114"/>
        <v>1</v>
      </c>
      <c r="I1340" s="7">
        <f t="shared" si="116"/>
        <v>0</v>
      </c>
      <c r="J1340" s="7">
        <f t="shared" si="116"/>
        <v>1</v>
      </c>
      <c r="K1340" s="7">
        <f t="shared" si="116"/>
        <v>0</v>
      </c>
      <c r="L1340" s="11">
        <v>29141.3603</v>
      </c>
      <c r="M1340" s="12" cm="1">
        <f t="array" ref="M1340">IF(($R$34+SUMPRODUCT(TRANSPOSE(D1340:K1340),$R$35:$R$42))&lt;0,"-",$R$34+SUMPRODUCT(TRANSPOSE(D1340:K1340),$R$35:$R$42))</f>
        <v>37085.62326756629</v>
      </c>
      <c r="N1340" s="13">
        <f t="shared" si="112"/>
        <v>24961.418690531165</v>
      </c>
      <c r="O1340" s="13">
        <f t="shared" si="113"/>
        <v>49209.827844601416</v>
      </c>
    </row>
  </sheetData>
  <mergeCells count="11">
    <mergeCell ref="Q101:AE103"/>
    <mergeCell ref="Q88:AE90"/>
    <mergeCell ref="V21:AC21"/>
    <mergeCell ref="I1:K1"/>
    <mergeCell ref="Q2:R2"/>
    <mergeCell ref="M1:O1"/>
    <mergeCell ref="Q44:AE45"/>
    <mergeCell ref="X46:AE60"/>
    <mergeCell ref="Q46:W60"/>
    <mergeCell ref="T61:AA75"/>
    <mergeCell ref="T2:AE17"/>
  </mergeCells>
  <conditionalFormatting sqref="V23:AC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Project_Analysis</vt:lpstr>
      <vt:lpstr>MAX_Cost</vt:lpstr>
      <vt:lpstr>Total_Cost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Scribner, Holden</dc:creator>
  <cp:lastModifiedBy>Scribner, Holden</cp:lastModifiedBy>
  <dcterms:created xsi:type="dcterms:W3CDTF">2026-08-03T23:02:15Z</dcterms:created>
  <dcterms:modified xsi:type="dcterms:W3CDTF">2026-10-05T14:31:04Z</dcterms:modified>
</cp:coreProperties>
</file>